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hi\OneDrive\Desktop\Excel by Revenue\"/>
    </mc:Choice>
  </mc:AlternateContent>
  <xr:revisionPtr revIDLastSave="0" documentId="13_ncr:1_{32BDBA13-0BBA-4A80-95B4-39816A75A9F3}" xr6:coauthVersionLast="47" xr6:coauthVersionMax="47" xr10:uidLastSave="{00000000-0000-0000-0000-000000000000}"/>
  <bookViews>
    <workbookView xWindow="-110" yWindow="-110" windowWidth="19420" windowHeight="11020" activeTab="1" xr2:uid="{0831C785-C8C9-4E4D-A527-2762C912F535}"/>
  </bookViews>
  <sheets>
    <sheet name="Revenue" sheetId="1" r:id="rId1"/>
    <sheet name="Agrigation" sheetId="2" r:id="rId2"/>
  </sheets>
  <definedNames>
    <definedName name="_xlnm._FilterDatabase" localSheetId="0" hidden="1">Revenue!$A$1:$L$1001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5" i="2" l="1"/>
  <c r="P65" i="2"/>
  <c r="Q65" i="2"/>
  <c r="R65" i="2"/>
  <c r="S65" i="2"/>
  <c r="O66" i="2"/>
  <c r="P66" i="2"/>
  <c r="Q66" i="2"/>
  <c r="R66" i="2"/>
  <c r="S66" i="2"/>
  <c r="O67" i="2"/>
  <c r="P67" i="2"/>
  <c r="Q67" i="2"/>
  <c r="R67" i="2"/>
  <c r="S67" i="2"/>
  <c r="O68" i="2"/>
  <c r="P68" i="2"/>
  <c r="Q68" i="2"/>
  <c r="R68" i="2"/>
  <c r="S68" i="2"/>
  <c r="O69" i="2"/>
  <c r="P69" i="2"/>
  <c r="Q69" i="2"/>
  <c r="R69" i="2"/>
  <c r="S69" i="2"/>
  <c r="O70" i="2"/>
  <c r="P70" i="2"/>
  <c r="Q70" i="2"/>
  <c r="R70" i="2"/>
  <c r="S70" i="2"/>
  <c r="O71" i="2"/>
  <c r="P71" i="2"/>
  <c r="Q71" i="2"/>
  <c r="R71" i="2"/>
  <c r="S71" i="2"/>
  <c r="O72" i="2"/>
  <c r="P72" i="2"/>
  <c r="Q72" i="2"/>
  <c r="R72" i="2"/>
  <c r="S72" i="2"/>
  <c r="O73" i="2"/>
  <c r="P73" i="2"/>
  <c r="Q73" i="2"/>
  <c r="R73" i="2"/>
  <c r="S73" i="2"/>
  <c r="O74" i="2"/>
  <c r="P74" i="2"/>
  <c r="Q74" i="2"/>
  <c r="R74" i="2"/>
  <c r="S74" i="2"/>
  <c r="O75" i="2"/>
  <c r="P75" i="2"/>
  <c r="Q75" i="2"/>
  <c r="R75" i="2"/>
  <c r="S75" i="2"/>
  <c r="O76" i="2"/>
  <c r="P76" i="2"/>
  <c r="Q76" i="2"/>
  <c r="R76" i="2"/>
  <c r="S76" i="2"/>
  <c r="O77" i="2"/>
  <c r="P77" i="2"/>
  <c r="Q77" i="2"/>
  <c r="R77" i="2"/>
  <c r="S77" i="2"/>
  <c r="O78" i="2"/>
  <c r="P78" i="2"/>
  <c r="Q78" i="2"/>
  <c r="R78" i="2"/>
  <c r="S78" i="2"/>
  <c r="O79" i="2"/>
  <c r="P79" i="2"/>
  <c r="Q79" i="2"/>
  <c r="R79" i="2"/>
  <c r="S79" i="2"/>
  <c r="O80" i="2"/>
  <c r="P80" i="2"/>
  <c r="Q80" i="2"/>
  <c r="R80" i="2"/>
  <c r="S80" i="2"/>
  <c r="O81" i="2"/>
  <c r="P81" i="2"/>
  <c r="Q81" i="2"/>
  <c r="R81" i="2"/>
  <c r="S81" i="2"/>
  <c r="O82" i="2"/>
  <c r="P82" i="2"/>
  <c r="Q82" i="2"/>
  <c r="R82" i="2"/>
  <c r="S82" i="2"/>
  <c r="O83" i="2"/>
  <c r="P83" i="2"/>
  <c r="Q83" i="2"/>
  <c r="R83" i="2"/>
  <c r="S83" i="2"/>
  <c r="O84" i="2"/>
  <c r="P84" i="2"/>
  <c r="Q84" i="2"/>
  <c r="R84" i="2"/>
  <c r="S84" i="2"/>
  <c r="O85" i="2"/>
  <c r="P85" i="2"/>
  <c r="Q85" i="2"/>
  <c r="R85" i="2"/>
  <c r="S85" i="2"/>
  <c r="O86" i="2"/>
  <c r="P86" i="2"/>
  <c r="Q86" i="2"/>
  <c r="R86" i="2"/>
  <c r="S86" i="2"/>
  <c r="O87" i="2"/>
  <c r="P87" i="2"/>
  <c r="Q87" i="2"/>
  <c r="R87" i="2"/>
  <c r="S87" i="2"/>
  <c r="P64" i="2"/>
  <c r="Q64" i="2"/>
  <c r="R64" i="2"/>
  <c r="S64" i="2"/>
  <c r="O64" i="2"/>
  <c r="X3" i="2" a="1"/>
  <c r="X3" i="2" s="1"/>
  <c r="U3" i="2" a="1"/>
  <c r="U3" i="2" s="1"/>
  <c r="O35" i="2"/>
  <c r="P35" i="2"/>
  <c r="Q35" i="2"/>
  <c r="R35" i="2"/>
  <c r="S35" i="2"/>
  <c r="O36" i="2"/>
  <c r="P36" i="2"/>
  <c r="Q36" i="2"/>
  <c r="R36" i="2"/>
  <c r="S36" i="2"/>
  <c r="O37" i="2"/>
  <c r="P37" i="2"/>
  <c r="Q37" i="2"/>
  <c r="R37" i="2"/>
  <c r="S37" i="2"/>
  <c r="O38" i="2"/>
  <c r="P38" i="2"/>
  <c r="Q38" i="2"/>
  <c r="R38" i="2"/>
  <c r="S38" i="2"/>
  <c r="O39" i="2"/>
  <c r="P39" i="2"/>
  <c r="Q39" i="2"/>
  <c r="R39" i="2"/>
  <c r="S39" i="2"/>
  <c r="O40" i="2"/>
  <c r="P40" i="2"/>
  <c r="Q40" i="2"/>
  <c r="R40" i="2"/>
  <c r="S40" i="2"/>
  <c r="O41" i="2"/>
  <c r="P41" i="2"/>
  <c r="Q41" i="2"/>
  <c r="R41" i="2"/>
  <c r="S41" i="2"/>
  <c r="O42" i="2"/>
  <c r="P42" i="2"/>
  <c r="Q42" i="2"/>
  <c r="R42" i="2"/>
  <c r="S42" i="2"/>
  <c r="O43" i="2"/>
  <c r="P43" i="2"/>
  <c r="Q43" i="2"/>
  <c r="R43" i="2"/>
  <c r="S43" i="2"/>
  <c r="O44" i="2"/>
  <c r="P44" i="2"/>
  <c r="Q44" i="2"/>
  <c r="R44" i="2"/>
  <c r="S44" i="2"/>
  <c r="O45" i="2"/>
  <c r="P45" i="2"/>
  <c r="Q45" i="2"/>
  <c r="R45" i="2"/>
  <c r="S45" i="2"/>
  <c r="O46" i="2"/>
  <c r="P46" i="2"/>
  <c r="Q46" i="2"/>
  <c r="R46" i="2"/>
  <c r="S46" i="2"/>
  <c r="O47" i="2"/>
  <c r="P47" i="2"/>
  <c r="Q47" i="2"/>
  <c r="R47" i="2"/>
  <c r="S47" i="2"/>
  <c r="O48" i="2"/>
  <c r="P48" i="2"/>
  <c r="Q48" i="2"/>
  <c r="R48" i="2"/>
  <c r="S48" i="2"/>
  <c r="O49" i="2"/>
  <c r="P49" i="2"/>
  <c r="Q49" i="2"/>
  <c r="R49" i="2"/>
  <c r="S49" i="2"/>
  <c r="O50" i="2"/>
  <c r="P50" i="2"/>
  <c r="Q50" i="2"/>
  <c r="R50" i="2"/>
  <c r="S50" i="2"/>
  <c r="O51" i="2"/>
  <c r="P51" i="2"/>
  <c r="Q51" i="2"/>
  <c r="R51" i="2"/>
  <c r="S51" i="2"/>
  <c r="O52" i="2"/>
  <c r="P52" i="2"/>
  <c r="Q52" i="2"/>
  <c r="R52" i="2"/>
  <c r="S52" i="2"/>
  <c r="O53" i="2"/>
  <c r="P53" i="2"/>
  <c r="Q53" i="2"/>
  <c r="R53" i="2"/>
  <c r="S53" i="2"/>
  <c r="O54" i="2"/>
  <c r="P54" i="2"/>
  <c r="Q54" i="2"/>
  <c r="R54" i="2"/>
  <c r="S54" i="2"/>
  <c r="O55" i="2"/>
  <c r="P55" i="2"/>
  <c r="Q55" i="2"/>
  <c r="R55" i="2"/>
  <c r="S55" i="2"/>
  <c r="O56" i="2"/>
  <c r="P56" i="2"/>
  <c r="Q56" i="2"/>
  <c r="R56" i="2"/>
  <c r="S56" i="2"/>
  <c r="O57" i="2"/>
  <c r="P57" i="2"/>
  <c r="Q57" i="2"/>
  <c r="R57" i="2"/>
  <c r="S57" i="2"/>
  <c r="P34" i="2"/>
  <c r="Q34" i="2"/>
  <c r="R34" i="2"/>
  <c r="S34" i="2"/>
  <c r="O34" i="2"/>
  <c r="X6" i="1"/>
  <c r="K1001" i="2"/>
  <c r="L1001" i="2" s="1"/>
  <c r="K1000" i="2"/>
  <c r="L1000" i="2" s="1"/>
  <c r="K999" i="2"/>
  <c r="L999" i="2" s="1"/>
  <c r="K998" i="2"/>
  <c r="L998" i="2" s="1"/>
  <c r="K997" i="2"/>
  <c r="L997" i="2" s="1"/>
  <c r="K996" i="2"/>
  <c r="L996" i="2" s="1"/>
  <c r="K995" i="2"/>
  <c r="L995" i="2" s="1"/>
  <c r="K994" i="2"/>
  <c r="L994" i="2" s="1"/>
  <c r="K993" i="2"/>
  <c r="L993" i="2" s="1"/>
  <c r="K992" i="2"/>
  <c r="L992" i="2" s="1"/>
  <c r="K991" i="2"/>
  <c r="L991" i="2" s="1"/>
  <c r="K990" i="2"/>
  <c r="L990" i="2" s="1"/>
  <c r="K989" i="2"/>
  <c r="L989" i="2" s="1"/>
  <c r="K988" i="2"/>
  <c r="L988" i="2" s="1"/>
  <c r="K987" i="2"/>
  <c r="L987" i="2" s="1"/>
  <c r="K986" i="2"/>
  <c r="L986" i="2" s="1"/>
  <c r="K985" i="2"/>
  <c r="L985" i="2" s="1"/>
  <c r="K984" i="2"/>
  <c r="L984" i="2" s="1"/>
  <c r="K983" i="2"/>
  <c r="L983" i="2" s="1"/>
  <c r="K982" i="2"/>
  <c r="L982" i="2" s="1"/>
  <c r="K981" i="2"/>
  <c r="L981" i="2" s="1"/>
  <c r="K980" i="2"/>
  <c r="L980" i="2" s="1"/>
  <c r="K979" i="2"/>
  <c r="L979" i="2" s="1"/>
  <c r="K978" i="2"/>
  <c r="L978" i="2" s="1"/>
  <c r="K977" i="2"/>
  <c r="L977" i="2" s="1"/>
  <c r="K976" i="2"/>
  <c r="L976" i="2" s="1"/>
  <c r="L975" i="2"/>
  <c r="K975" i="2"/>
  <c r="K974" i="2"/>
  <c r="L974" i="2" s="1"/>
  <c r="K973" i="2"/>
  <c r="L973" i="2" s="1"/>
  <c r="K972" i="2"/>
  <c r="L972" i="2" s="1"/>
  <c r="K971" i="2"/>
  <c r="L971" i="2" s="1"/>
  <c r="K970" i="2"/>
  <c r="L970" i="2" s="1"/>
  <c r="K969" i="2"/>
  <c r="L969" i="2" s="1"/>
  <c r="K968" i="2"/>
  <c r="L968" i="2" s="1"/>
  <c r="K967" i="2"/>
  <c r="L967" i="2" s="1"/>
  <c r="K966" i="2"/>
  <c r="L966" i="2" s="1"/>
  <c r="K965" i="2"/>
  <c r="L965" i="2" s="1"/>
  <c r="K964" i="2"/>
  <c r="L964" i="2" s="1"/>
  <c r="K963" i="2"/>
  <c r="L963" i="2" s="1"/>
  <c r="K962" i="2"/>
  <c r="L962" i="2" s="1"/>
  <c r="K961" i="2"/>
  <c r="L961" i="2" s="1"/>
  <c r="K960" i="2"/>
  <c r="L960" i="2" s="1"/>
  <c r="K959" i="2"/>
  <c r="L959" i="2" s="1"/>
  <c r="K958" i="2"/>
  <c r="L958" i="2" s="1"/>
  <c r="K957" i="2"/>
  <c r="L957" i="2" s="1"/>
  <c r="K956" i="2"/>
  <c r="L956" i="2" s="1"/>
  <c r="K955" i="2"/>
  <c r="L955" i="2" s="1"/>
  <c r="K954" i="2"/>
  <c r="L954" i="2" s="1"/>
  <c r="L953" i="2"/>
  <c r="K953" i="2"/>
  <c r="K952" i="2"/>
  <c r="L952" i="2" s="1"/>
  <c r="K951" i="2"/>
  <c r="L951" i="2" s="1"/>
  <c r="K950" i="2"/>
  <c r="L950" i="2" s="1"/>
  <c r="K949" i="2"/>
  <c r="L949" i="2" s="1"/>
  <c r="K948" i="2"/>
  <c r="L948" i="2" s="1"/>
  <c r="K947" i="2"/>
  <c r="L947" i="2" s="1"/>
  <c r="K946" i="2"/>
  <c r="L946" i="2" s="1"/>
  <c r="K945" i="2"/>
  <c r="L945" i="2" s="1"/>
  <c r="K944" i="2"/>
  <c r="L944" i="2" s="1"/>
  <c r="K943" i="2"/>
  <c r="L943" i="2" s="1"/>
  <c r="L942" i="2"/>
  <c r="K942" i="2"/>
  <c r="K941" i="2"/>
  <c r="L941" i="2" s="1"/>
  <c r="K940" i="2"/>
  <c r="L940" i="2" s="1"/>
  <c r="K939" i="2"/>
  <c r="L939" i="2" s="1"/>
  <c r="K938" i="2"/>
  <c r="L938" i="2" s="1"/>
  <c r="K937" i="2"/>
  <c r="L937" i="2" s="1"/>
  <c r="K936" i="2"/>
  <c r="L936" i="2" s="1"/>
  <c r="K935" i="2"/>
  <c r="L935" i="2" s="1"/>
  <c r="K934" i="2"/>
  <c r="L934" i="2" s="1"/>
  <c r="K933" i="2"/>
  <c r="L933" i="2" s="1"/>
  <c r="K932" i="2"/>
  <c r="L932" i="2" s="1"/>
  <c r="K931" i="2"/>
  <c r="L931" i="2" s="1"/>
  <c r="K930" i="2"/>
  <c r="L930" i="2" s="1"/>
  <c r="L929" i="2"/>
  <c r="K929" i="2"/>
  <c r="K928" i="2"/>
  <c r="L928" i="2" s="1"/>
  <c r="K927" i="2"/>
  <c r="L927" i="2" s="1"/>
  <c r="K926" i="2"/>
  <c r="L926" i="2" s="1"/>
  <c r="K925" i="2"/>
  <c r="L925" i="2" s="1"/>
  <c r="K924" i="2"/>
  <c r="L924" i="2" s="1"/>
  <c r="K923" i="2"/>
  <c r="L923" i="2" s="1"/>
  <c r="K922" i="2"/>
  <c r="L922" i="2" s="1"/>
  <c r="K921" i="2"/>
  <c r="L921" i="2" s="1"/>
  <c r="K920" i="2"/>
  <c r="L920" i="2" s="1"/>
  <c r="K919" i="2"/>
  <c r="L919" i="2" s="1"/>
  <c r="K918" i="2"/>
  <c r="L918" i="2" s="1"/>
  <c r="L917" i="2"/>
  <c r="K917" i="2"/>
  <c r="K916" i="2"/>
  <c r="L916" i="2" s="1"/>
  <c r="K915" i="2"/>
  <c r="L915" i="2" s="1"/>
  <c r="K914" i="2"/>
  <c r="L914" i="2" s="1"/>
  <c r="K913" i="2"/>
  <c r="L913" i="2" s="1"/>
  <c r="K912" i="2"/>
  <c r="L912" i="2" s="1"/>
  <c r="K911" i="2"/>
  <c r="L911" i="2" s="1"/>
  <c r="K910" i="2"/>
  <c r="L910" i="2" s="1"/>
  <c r="K909" i="2"/>
  <c r="L909" i="2" s="1"/>
  <c r="K908" i="2"/>
  <c r="L908" i="2" s="1"/>
  <c r="K907" i="2"/>
  <c r="L907" i="2" s="1"/>
  <c r="K906" i="2"/>
  <c r="L906" i="2" s="1"/>
  <c r="K905" i="2"/>
  <c r="L905" i="2" s="1"/>
  <c r="K904" i="2"/>
  <c r="L904" i="2" s="1"/>
  <c r="K903" i="2"/>
  <c r="L903" i="2" s="1"/>
  <c r="K902" i="2"/>
  <c r="L902" i="2" s="1"/>
  <c r="K901" i="2"/>
  <c r="L901" i="2" s="1"/>
  <c r="K900" i="2"/>
  <c r="L900" i="2" s="1"/>
  <c r="K899" i="2"/>
  <c r="L899" i="2" s="1"/>
  <c r="K898" i="2"/>
  <c r="L898" i="2" s="1"/>
  <c r="K897" i="2"/>
  <c r="L897" i="2" s="1"/>
  <c r="K896" i="2"/>
  <c r="L896" i="2" s="1"/>
  <c r="K895" i="2"/>
  <c r="L895" i="2" s="1"/>
  <c r="K894" i="2"/>
  <c r="L894" i="2" s="1"/>
  <c r="K893" i="2"/>
  <c r="L893" i="2" s="1"/>
  <c r="K892" i="2"/>
  <c r="L892" i="2" s="1"/>
  <c r="K891" i="2"/>
  <c r="L891" i="2" s="1"/>
  <c r="K890" i="2"/>
  <c r="L890" i="2" s="1"/>
  <c r="L889" i="2"/>
  <c r="K889" i="2"/>
  <c r="K888" i="2"/>
  <c r="L888" i="2" s="1"/>
  <c r="K887" i="2"/>
  <c r="L887" i="2" s="1"/>
  <c r="K886" i="2"/>
  <c r="L886" i="2" s="1"/>
  <c r="K885" i="2"/>
  <c r="L885" i="2" s="1"/>
  <c r="K884" i="2"/>
  <c r="L884" i="2" s="1"/>
  <c r="K883" i="2"/>
  <c r="L883" i="2" s="1"/>
  <c r="K882" i="2"/>
  <c r="L882" i="2" s="1"/>
  <c r="L881" i="2"/>
  <c r="K881" i="2"/>
  <c r="K880" i="2"/>
  <c r="L880" i="2" s="1"/>
  <c r="K879" i="2"/>
  <c r="L879" i="2" s="1"/>
  <c r="L878" i="2"/>
  <c r="K878" i="2"/>
  <c r="K877" i="2"/>
  <c r="L877" i="2" s="1"/>
  <c r="K876" i="2"/>
  <c r="L876" i="2" s="1"/>
  <c r="K875" i="2"/>
  <c r="L875" i="2" s="1"/>
  <c r="K874" i="2"/>
  <c r="L874" i="2" s="1"/>
  <c r="L873" i="2"/>
  <c r="K873" i="2"/>
  <c r="K872" i="2"/>
  <c r="L872" i="2" s="1"/>
  <c r="K871" i="2"/>
  <c r="L871" i="2" s="1"/>
  <c r="K870" i="2"/>
  <c r="L870" i="2" s="1"/>
  <c r="K869" i="2"/>
  <c r="L869" i="2" s="1"/>
  <c r="K868" i="2"/>
  <c r="L868" i="2" s="1"/>
  <c r="K867" i="2"/>
  <c r="L867" i="2" s="1"/>
  <c r="L866" i="2"/>
  <c r="K866" i="2"/>
  <c r="K865" i="2"/>
  <c r="L865" i="2" s="1"/>
  <c r="K864" i="2"/>
  <c r="L864" i="2" s="1"/>
  <c r="K863" i="2"/>
  <c r="L863" i="2" s="1"/>
  <c r="K862" i="2"/>
  <c r="L862" i="2" s="1"/>
  <c r="K861" i="2"/>
  <c r="L861" i="2" s="1"/>
  <c r="K860" i="2"/>
  <c r="L860" i="2" s="1"/>
  <c r="K859" i="2"/>
  <c r="L859" i="2" s="1"/>
  <c r="K858" i="2"/>
  <c r="L858" i="2" s="1"/>
  <c r="L857" i="2"/>
  <c r="K857" i="2"/>
  <c r="K856" i="2"/>
  <c r="L856" i="2" s="1"/>
  <c r="K855" i="2"/>
  <c r="L855" i="2" s="1"/>
  <c r="K854" i="2"/>
  <c r="L854" i="2" s="1"/>
  <c r="K853" i="2"/>
  <c r="L853" i="2" s="1"/>
  <c r="K852" i="2"/>
  <c r="L852" i="2" s="1"/>
  <c r="K851" i="2"/>
  <c r="L851" i="2" s="1"/>
  <c r="K850" i="2"/>
  <c r="L850" i="2" s="1"/>
  <c r="K849" i="2"/>
  <c r="L849" i="2" s="1"/>
  <c r="K848" i="2"/>
  <c r="L848" i="2" s="1"/>
  <c r="K847" i="2"/>
  <c r="L847" i="2" s="1"/>
  <c r="K846" i="2"/>
  <c r="L846" i="2" s="1"/>
  <c r="K845" i="2"/>
  <c r="L845" i="2" s="1"/>
  <c r="K844" i="2"/>
  <c r="L844" i="2" s="1"/>
  <c r="K843" i="2"/>
  <c r="L843" i="2" s="1"/>
  <c r="K842" i="2"/>
  <c r="L842" i="2" s="1"/>
  <c r="K841" i="2"/>
  <c r="L841" i="2" s="1"/>
  <c r="K840" i="2"/>
  <c r="L840" i="2" s="1"/>
  <c r="K839" i="2"/>
  <c r="L839" i="2" s="1"/>
  <c r="L838" i="2"/>
  <c r="K838" i="2"/>
  <c r="K837" i="2"/>
  <c r="L837" i="2" s="1"/>
  <c r="K836" i="2"/>
  <c r="L836" i="2" s="1"/>
  <c r="K835" i="2"/>
  <c r="L835" i="2" s="1"/>
  <c r="K834" i="2"/>
  <c r="L834" i="2" s="1"/>
  <c r="K833" i="2"/>
  <c r="L833" i="2" s="1"/>
  <c r="K832" i="2"/>
  <c r="L832" i="2" s="1"/>
  <c r="K831" i="2"/>
  <c r="L831" i="2" s="1"/>
  <c r="K830" i="2"/>
  <c r="L830" i="2" s="1"/>
  <c r="K829" i="2"/>
  <c r="L829" i="2" s="1"/>
  <c r="K828" i="2"/>
  <c r="L828" i="2" s="1"/>
  <c r="K827" i="2"/>
  <c r="L827" i="2" s="1"/>
  <c r="K826" i="2"/>
  <c r="L826" i="2" s="1"/>
  <c r="K825" i="2"/>
  <c r="L825" i="2" s="1"/>
  <c r="K824" i="2"/>
  <c r="L824" i="2" s="1"/>
  <c r="L823" i="2"/>
  <c r="K823" i="2"/>
  <c r="K822" i="2"/>
  <c r="L822" i="2" s="1"/>
  <c r="K821" i="2"/>
  <c r="L821" i="2" s="1"/>
  <c r="K820" i="2"/>
  <c r="L820" i="2" s="1"/>
  <c r="K819" i="2"/>
  <c r="L819" i="2" s="1"/>
  <c r="K818" i="2"/>
  <c r="L818" i="2" s="1"/>
  <c r="K817" i="2"/>
  <c r="L817" i="2" s="1"/>
  <c r="K816" i="2"/>
  <c r="L816" i="2" s="1"/>
  <c r="K815" i="2"/>
  <c r="L815" i="2" s="1"/>
  <c r="K814" i="2"/>
  <c r="L814" i="2" s="1"/>
  <c r="K813" i="2"/>
  <c r="L813" i="2" s="1"/>
  <c r="K812" i="2"/>
  <c r="L812" i="2" s="1"/>
  <c r="K811" i="2"/>
  <c r="L811" i="2" s="1"/>
  <c r="K810" i="2"/>
  <c r="L810" i="2" s="1"/>
  <c r="L809" i="2"/>
  <c r="K809" i="2"/>
  <c r="K808" i="2"/>
  <c r="L808" i="2" s="1"/>
  <c r="K807" i="2"/>
  <c r="L807" i="2" s="1"/>
  <c r="L806" i="2"/>
  <c r="K806" i="2"/>
  <c r="K805" i="2"/>
  <c r="L805" i="2" s="1"/>
  <c r="K804" i="2"/>
  <c r="L804" i="2" s="1"/>
  <c r="K803" i="2"/>
  <c r="L803" i="2" s="1"/>
  <c r="K802" i="2"/>
  <c r="L802" i="2" s="1"/>
  <c r="K801" i="2"/>
  <c r="L801" i="2" s="1"/>
  <c r="K800" i="2"/>
  <c r="L800" i="2" s="1"/>
  <c r="K799" i="2"/>
  <c r="L799" i="2" s="1"/>
  <c r="K798" i="2"/>
  <c r="L798" i="2" s="1"/>
  <c r="L797" i="2"/>
  <c r="K797" i="2"/>
  <c r="K796" i="2"/>
  <c r="L796" i="2" s="1"/>
  <c r="K795" i="2"/>
  <c r="L795" i="2" s="1"/>
  <c r="K794" i="2"/>
  <c r="L794" i="2" s="1"/>
  <c r="K793" i="2"/>
  <c r="L793" i="2" s="1"/>
  <c r="K792" i="2"/>
  <c r="L792" i="2" s="1"/>
  <c r="K791" i="2"/>
  <c r="L791" i="2" s="1"/>
  <c r="K790" i="2"/>
  <c r="L790" i="2" s="1"/>
  <c r="L789" i="2"/>
  <c r="K789" i="2"/>
  <c r="K788" i="2"/>
  <c r="L788" i="2" s="1"/>
  <c r="K787" i="2"/>
  <c r="L787" i="2" s="1"/>
  <c r="K786" i="2"/>
  <c r="L786" i="2" s="1"/>
  <c r="K785" i="2"/>
  <c r="L785" i="2" s="1"/>
  <c r="K784" i="2"/>
  <c r="L784" i="2" s="1"/>
  <c r="K783" i="2"/>
  <c r="L783" i="2" s="1"/>
  <c r="K782" i="2"/>
  <c r="L782" i="2" s="1"/>
  <c r="K781" i="2"/>
  <c r="L781" i="2" s="1"/>
  <c r="K780" i="2"/>
  <c r="L780" i="2" s="1"/>
  <c r="K779" i="2"/>
  <c r="L779" i="2" s="1"/>
  <c r="K778" i="2"/>
  <c r="L778" i="2" s="1"/>
  <c r="K777" i="2"/>
  <c r="L777" i="2" s="1"/>
  <c r="K776" i="2"/>
  <c r="L776" i="2" s="1"/>
  <c r="K775" i="2"/>
  <c r="L775" i="2" s="1"/>
  <c r="K774" i="2"/>
  <c r="L774" i="2" s="1"/>
  <c r="K773" i="2"/>
  <c r="L773" i="2" s="1"/>
  <c r="K772" i="2"/>
  <c r="L772" i="2" s="1"/>
  <c r="K771" i="2"/>
  <c r="L771" i="2" s="1"/>
  <c r="K770" i="2"/>
  <c r="L770" i="2" s="1"/>
  <c r="K769" i="2"/>
  <c r="L769" i="2" s="1"/>
  <c r="K768" i="2"/>
  <c r="L768" i="2" s="1"/>
  <c r="K767" i="2"/>
  <c r="L767" i="2" s="1"/>
  <c r="L766" i="2"/>
  <c r="K766" i="2"/>
  <c r="K765" i="2"/>
  <c r="L765" i="2" s="1"/>
  <c r="K764" i="2"/>
  <c r="L764" i="2" s="1"/>
  <c r="K763" i="2"/>
  <c r="L763" i="2" s="1"/>
  <c r="K762" i="2"/>
  <c r="L762" i="2" s="1"/>
  <c r="K761" i="2"/>
  <c r="L761" i="2" s="1"/>
  <c r="K760" i="2"/>
  <c r="L760" i="2" s="1"/>
  <c r="K759" i="2"/>
  <c r="L759" i="2" s="1"/>
  <c r="K758" i="2"/>
  <c r="L758" i="2" s="1"/>
  <c r="K757" i="2"/>
  <c r="L757" i="2" s="1"/>
  <c r="K756" i="2"/>
  <c r="L756" i="2" s="1"/>
  <c r="L755" i="2"/>
  <c r="K755" i="2"/>
  <c r="K754" i="2"/>
  <c r="L754" i="2" s="1"/>
  <c r="K753" i="2"/>
  <c r="L753" i="2" s="1"/>
  <c r="K752" i="2"/>
  <c r="L752" i="2" s="1"/>
  <c r="K751" i="2"/>
  <c r="L751" i="2" s="1"/>
  <c r="K750" i="2"/>
  <c r="L750" i="2" s="1"/>
  <c r="K749" i="2"/>
  <c r="L749" i="2" s="1"/>
  <c r="K748" i="2"/>
  <c r="L748" i="2" s="1"/>
  <c r="K747" i="2"/>
  <c r="L747" i="2" s="1"/>
  <c r="K746" i="2"/>
  <c r="L746" i="2" s="1"/>
  <c r="K745" i="2"/>
  <c r="L745" i="2" s="1"/>
  <c r="K744" i="2"/>
  <c r="L744" i="2" s="1"/>
  <c r="K743" i="2"/>
  <c r="L743" i="2" s="1"/>
  <c r="K742" i="2"/>
  <c r="L742" i="2" s="1"/>
  <c r="K741" i="2"/>
  <c r="L741" i="2" s="1"/>
  <c r="K740" i="2"/>
  <c r="L740" i="2" s="1"/>
  <c r="K739" i="2"/>
  <c r="L739" i="2" s="1"/>
  <c r="K738" i="2"/>
  <c r="L738" i="2" s="1"/>
  <c r="L737" i="2"/>
  <c r="K737" i="2"/>
  <c r="K736" i="2"/>
  <c r="L736" i="2" s="1"/>
  <c r="K735" i="2"/>
  <c r="L735" i="2" s="1"/>
  <c r="K734" i="2"/>
  <c r="L734" i="2" s="1"/>
  <c r="K733" i="2"/>
  <c r="L733" i="2" s="1"/>
  <c r="K732" i="2"/>
  <c r="L732" i="2" s="1"/>
  <c r="K731" i="2"/>
  <c r="L731" i="2" s="1"/>
  <c r="K730" i="2"/>
  <c r="L730" i="2" s="1"/>
  <c r="K729" i="2"/>
  <c r="L729" i="2" s="1"/>
  <c r="K728" i="2"/>
  <c r="L728" i="2" s="1"/>
  <c r="K727" i="2"/>
  <c r="L727" i="2" s="1"/>
  <c r="K726" i="2"/>
  <c r="L726" i="2" s="1"/>
  <c r="K725" i="2"/>
  <c r="L725" i="2" s="1"/>
  <c r="K724" i="2"/>
  <c r="L724" i="2" s="1"/>
  <c r="K723" i="2"/>
  <c r="L723" i="2" s="1"/>
  <c r="K722" i="2"/>
  <c r="L722" i="2" s="1"/>
  <c r="K721" i="2"/>
  <c r="L721" i="2" s="1"/>
  <c r="K720" i="2"/>
  <c r="L720" i="2" s="1"/>
  <c r="L719" i="2"/>
  <c r="K719" i="2"/>
  <c r="L718" i="2"/>
  <c r="K718" i="2"/>
  <c r="L717" i="2"/>
  <c r="K717" i="2"/>
  <c r="K716" i="2"/>
  <c r="L716" i="2" s="1"/>
  <c r="K715" i="2"/>
  <c r="L715" i="2" s="1"/>
  <c r="K714" i="2"/>
  <c r="L714" i="2" s="1"/>
  <c r="K713" i="2"/>
  <c r="L713" i="2" s="1"/>
  <c r="K712" i="2"/>
  <c r="L712" i="2" s="1"/>
  <c r="K711" i="2"/>
  <c r="L711" i="2" s="1"/>
  <c r="K710" i="2"/>
  <c r="L710" i="2" s="1"/>
  <c r="K709" i="2"/>
  <c r="L709" i="2" s="1"/>
  <c r="K708" i="2"/>
  <c r="L708" i="2" s="1"/>
  <c r="K707" i="2"/>
  <c r="L707" i="2" s="1"/>
  <c r="L706" i="2"/>
  <c r="K706" i="2"/>
  <c r="K705" i="2"/>
  <c r="L705" i="2" s="1"/>
  <c r="K704" i="2"/>
  <c r="L704" i="2" s="1"/>
  <c r="K703" i="2"/>
  <c r="L703" i="2" s="1"/>
  <c r="K702" i="2"/>
  <c r="L702" i="2" s="1"/>
  <c r="K701" i="2"/>
  <c r="L701" i="2" s="1"/>
  <c r="K700" i="2"/>
  <c r="L700" i="2" s="1"/>
  <c r="K699" i="2"/>
  <c r="L699" i="2" s="1"/>
  <c r="K698" i="2"/>
  <c r="L698" i="2" s="1"/>
  <c r="K697" i="2"/>
  <c r="L697" i="2" s="1"/>
  <c r="K696" i="2"/>
  <c r="L696" i="2" s="1"/>
  <c r="K695" i="2"/>
  <c r="L695" i="2" s="1"/>
  <c r="K694" i="2"/>
  <c r="L694" i="2" s="1"/>
  <c r="K693" i="2"/>
  <c r="L693" i="2" s="1"/>
  <c r="K692" i="2"/>
  <c r="L692" i="2" s="1"/>
  <c r="K691" i="2"/>
  <c r="L691" i="2" s="1"/>
  <c r="K690" i="2"/>
  <c r="L690" i="2" s="1"/>
  <c r="K689" i="2"/>
  <c r="L689" i="2" s="1"/>
  <c r="K688" i="2"/>
  <c r="L688" i="2" s="1"/>
  <c r="K687" i="2"/>
  <c r="L687" i="2" s="1"/>
  <c r="K686" i="2"/>
  <c r="L686" i="2" s="1"/>
  <c r="K685" i="2"/>
  <c r="L685" i="2" s="1"/>
  <c r="K684" i="2"/>
  <c r="L684" i="2" s="1"/>
  <c r="K683" i="2"/>
  <c r="L683" i="2" s="1"/>
  <c r="K682" i="2"/>
  <c r="L682" i="2" s="1"/>
  <c r="K681" i="2"/>
  <c r="L681" i="2" s="1"/>
  <c r="K680" i="2"/>
  <c r="L680" i="2" s="1"/>
  <c r="K679" i="2"/>
  <c r="L679" i="2" s="1"/>
  <c r="K678" i="2"/>
  <c r="L678" i="2" s="1"/>
  <c r="K677" i="2"/>
  <c r="L677" i="2" s="1"/>
  <c r="K676" i="2"/>
  <c r="L676" i="2" s="1"/>
  <c r="K675" i="2"/>
  <c r="L675" i="2" s="1"/>
  <c r="K674" i="2"/>
  <c r="L674" i="2" s="1"/>
  <c r="K673" i="2"/>
  <c r="L673" i="2" s="1"/>
  <c r="K672" i="2"/>
  <c r="L672" i="2" s="1"/>
  <c r="K671" i="2"/>
  <c r="L671" i="2" s="1"/>
  <c r="L670" i="2"/>
  <c r="K670" i="2"/>
  <c r="K669" i="2"/>
  <c r="L669" i="2" s="1"/>
  <c r="K668" i="2"/>
  <c r="L668" i="2" s="1"/>
  <c r="K667" i="2"/>
  <c r="L667" i="2" s="1"/>
  <c r="K666" i="2"/>
  <c r="L666" i="2" s="1"/>
  <c r="K665" i="2"/>
  <c r="L665" i="2" s="1"/>
  <c r="K664" i="2"/>
  <c r="L664" i="2" s="1"/>
  <c r="L663" i="2"/>
  <c r="K663" i="2"/>
  <c r="K662" i="2"/>
  <c r="L662" i="2" s="1"/>
  <c r="L661" i="2"/>
  <c r="K661" i="2"/>
  <c r="K660" i="2"/>
  <c r="L660" i="2" s="1"/>
  <c r="K659" i="2"/>
  <c r="L659" i="2" s="1"/>
  <c r="K658" i="2"/>
  <c r="L658" i="2" s="1"/>
  <c r="K657" i="2"/>
  <c r="L657" i="2" s="1"/>
  <c r="K656" i="2"/>
  <c r="L656" i="2" s="1"/>
  <c r="K655" i="2"/>
  <c r="L655" i="2" s="1"/>
  <c r="K654" i="2"/>
  <c r="L654" i="2" s="1"/>
  <c r="K653" i="2"/>
  <c r="L653" i="2" s="1"/>
  <c r="K652" i="2"/>
  <c r="L652" i="2" s="1"/>
  <c r="K651" i="2"/>
  <c r="L651" i="2" s="1"/>
  <c r="K650" i="2"/>
  <c r="L650" i="2" s="1"/>
  <c r="K649" i="2"/>
  <c r="L649" i="2" s="1"/>
  <c r="K648" i="2"/>
  <c r="L648" i="2" s="1"/>
  <c r="K647" i="2"/>
  <c r="L647" i="2" s="1"/>
  <c r="K646" i="2"/>
  <c r="L646" i="2" s="1"/>
  <c r="K645" i="2"/>
  <c r="L645" i="2" s="1"/>
  <c r="K644" i="2"/>
  <c r="L644" i="2" s="1"/>
  <c r="K643" i="2"/>
  <c r="L643" i="2" s="1"/>
  <c r="K642" i="2"/>
  <c r="L642" i="2" s="1"/>
  <c r="K641" i="2"/>
  <c r="L641" i="2" s="1"/>
  <c r="K640" i="2"/>
  <c r="L640" i="2" s="1"/>
  <c r="K639" i="2"/>
  <c r="L639" i="2" s="1"/>
  <c r="K638" i="2"/>
  <c r="L638" i="2" s="1"/>
  <c r="L637" i="2"/>
  <c r="K637" i="2"/>
  <c r="K636" i="2"/>
  <c r="L636" i="2" s="1"/>
  <c r="K635" i="2"/>
  <c r="L635" i="2" s="1"/>
  <c r="K634" i="2"/>
  <c r="L634" i="2" s="1"/>
  <c r="K633" i="2"/>
  <c r="L633" i="2" s="1"/>
  <c r="K632" i="2"/>
  <c r="L632" i="2" s="1"/>
  <c r="L631" i="2"/>
  <c r="K631" i="2"/>
  <c r="K630" i="2"/>
  <c r="L630" i="2" s="1"/>
  <c r="K629" i="2"/>
  <c r="L629" i="2" s="1"/>
  <c r="K628" i="2"/>
  <c r="L628" i="2" s="1"/>
  <c r="K627" i="2"/>
  <c r="L627" i="2" s="1"/>
  <c r="K626" i="2"/>
  <c r="L626" i="2" s="1"/>
  <c r="L625" i="2"/>
  <c r="K625" i="2"/>
  <c r="K624" i="2"/>
  <c r="L624" i="2" s="1"/>
  <c r="K623" i="2"/>
  <c r="L623" i="2" s="1"/>
  <c r="K622" i="2"/>
  <c r="L622" i="2" s="1"/>
  <c r="K621" i="2"/>
  <c r="L621" i="2" s="1"/>
  <c r="K620" i="2"/>
  <c r="L620" i="2" s="1"/>
  <c r="L619" i="2"/>
  <c r="K619" i="2"/>
  <c r="K618" i="2"/>
  <c r="L618" i="2" s="1"/>
  <c r="K617" i="2"/>
  <c r="L617" i="2" s="1"/>
  <c r="K616" i="2"/>
  <c r="L616" i="2" s="1"/>
  <c r="K615" i="2"/>
  <c r="L615" i="2" s="1"/>
  <c r="K614" i="2"/>
  <c r="L614" i="2" s="1"/>
  <c r="K613" i="2"/>
  <c r="L613" i="2" s="1"/>
  <c r="K612" i="2"/>
  <c r="L612" i="2" s="1"/>
  <c r="L611" i="2"/>
  <c r="K611" i="2"/>
  <c r="K610" i="2"/>
  <c r="L610" i="2" s="1"/>
  <c r="K609" i="2"/>
  <c r="L609" i="2" s="1"/>
  <c r="K608" i="2"/>
  <c r="L608" i="2" s="1"/>
  <c r="L607" i="2"/>
  <c r="K607" i="2"/>
  <c r="K606" i="2"/>
  <c r="L606" i="2" s="1"/>
  <c r="L605" i="2"/>
  <c r="K605" i="2"/>
  <c r="K604" i="2"/>
  <c r="L604" i="2" s="1"/>
  <c r="K603" i="2"/>
  <c r="L603" i="2" s="1"/>
  <c r="K602" i="2"/>
  <c r="L602" i="2" s="1"/>
  <c r="K601" i="2"/>
  <c r="L601" i="2" s="1"/>
  <c r="K600" i="2"/>
  <c r="L600" i="2" s="1"/>
  <c r="L599" i="2"/>
  <c r="K599" i="2"/>
  <c r="K598" i="2"/>
  <c r="L598" i="2" s="1"/>
  <c r="K597" i="2"/>
  <c r="L597" i="2" s="1"/>
  <c r="L596" i="2"/>
  <c r="K596" i="2"/>
  <c r="K595" i="2"/>
  <c r="L595" i="2" s="1"/>
  <c r="K594" i="2"/>
  <c r="L594" i="2" s="1"/>
  <c r="K593" i="2"/>
  <c r="L593" i="2" s="1"/>
  <c r="K592" i="2"/>
  <c r="L592" i="2" s="1"/>
  <c r="K591" i="2"/>
  <c r="L591" i="2" s="1"/>
  <c r="K590" i="2"/>
  <c r="L590" i="2" s="1"/>
  <c r="K589" i="2"/>
  <c r="L589" i="2" s="1"/>
  <c r="K588" i="2"/>
  <c r="L588" i="2" s="1"/>
  <c r="K587" i="2"/>
  <c r="L587" i="2" s="1"/>
  <c r="K586" i="2"/>
  <c r="L586" i="2" s="1"/>
  <c r="K585" i="2"/>
  <c r="L585" i="2" s="1"/>
  <c r="K584" i="2"/>
  <c r="L584" i="2" s="1"/>
  <c r="L583" i="2"/>
  <c r="K583" i="2"/>
  <c r="K582" i="2"/>
  <c r="L582" i="2" s="1"/>
  <c r="K581" i="2"/>
  <c r="L581" i="2" s="1"/>
  <c r="L580" i="2"/>
  <c r="K580" i="2"/>
  <c r="K579" i="2"/>
  <c r="L579" i="2" s="1"/>
  <c r="K578" i="2"/>
  <c r="L578" i="2" s="1"/>
  <c r="K577" i="2"/>
  <c r="L577" i="2" s="1"/>
  <c r="K576" i="2"/>
  <c r="L576" i="2" s="1"/>
  <c r="K575" i="2"/>
  <c r="L575" i="2" s="1"/>
  <c r="K574" i="2"/>
  <c r="L574" i="2" s="1"/>
  <c r="K573" i="2"/>
  <c r="L573" i="2" s="1"/>
  <c r="K572" i="2"/>
  <c r="L572" i="2" s="1"/>
  <c r="K571" i="2"/>
  <c r="L571" i="2" s="1"/>
  <c r="K570" i="2"/>
  <c r="L570" i="2" s="1"/>
  <c r="K569" i="2"/>
  <c r="L569" i="2" s="1"/>
  <c r="K568" i="2"/>
  <c r="L568" i="2" s="1"/>
  <c r="K567" i="2"/>
  <c r="L567" i="2" s="1"/>
  <c r="K566" i="2"/>
  <c r="L566" i="2" s="1"/>
  <c r="K565" i="2"/>
  <c r="L565" i="2" s="1"/>
  <c r="K564" i="2"/>
  <c r="L564" i="2" s="1"/>
  <c r="K563" i="2"/>
  <c r="L563" i="2" s="1"/>
  <c r="K562" i="2"/>
  <c r="L562" i="2" s="1"/>
  <c r="K561" i="2"/>
  <c r="L561" i="2" s="1"/>
  <c r="K560" i="2"/>
  <c r="L560" i="2" s="1"/>
  <c r="K559" i="2"/>
  <c r="L559" i="2" s="1"/>
  <c r="K558" i="2"/>
  <c r="L558" i="2" s="1"/>
  <c r="K557" i="2"/>
  <c r="L557" i="2" s="1"/>
  <c r="K556" i="2"/>
  <c r="L556" i="2" s="1"/>
  <c r="K555" i="2"/>
  <c r="L555" i="2" s="1"/>
  <c r="K554" i="2"/>
  <c r="L554" i="2" s="1"/>
  <c r="K553" i="2"/>
  <c r="L553" i="2" s="1"/>
  <c r="K552" i="2"/>
  <c r="L552" i="2" s="1"/>
  <c r="L551" i="2"/>
  <c r="K551" i="2"/>
  <c r="K550" i="2"/>
  <c r="L550" i="2" s="1"/>
  <c r="K549" i="2"/>
  <c r="L549" i="2" s="1"/>
  <c r="K548" i="2"/>
  <c r="L548" i="2" s="1"/>
  <c r="K547" i="2"/>
  <c r="L547" i="2" s="1"/>
  <c r="K546" i="2"/>
  <c r="L546" i="2" s="1"/>
  <c r="K545" i="2"/>
  <c r="L545" i="2" s="1"/>
  <c r="K544" i="2"/>
  <c r="L544" i="2" s="1"/>
  <c r="K543" i="2"/>
  <c r="L543" i="2" s="1"/>
  <c r="K542" i="2"/>
  <c r="L542" i="2" s="1"/>
  <c r="K541" i="2"/>
  <c r="L541" i="2" s="1"/>
  <c r="K540" i="2"/>
  <c r="L540" i="2" s="1"/>
  <c r="K539" i="2"/>
  <c r="L539" i="2" s="1"/>
  <c r="K538" i="2"/>
  <c r="L538" i="2" s="1"/>
  <c r="K537" i="2"/>
  <c r="L537" i="2" s="1"/>
  <c r="K536" i="2"/>
  <c r="L536" i="2" s="1"/>
  <c r="K535" i="2"/>
  <c r="L535" i="2" s="1"/>
  <c r="K534" i="2"/>
  <c r="L534" i="2" s="1"/>
  <c r="K533" i="2"/>
  <c r="L533" i="2" s="1"/>
  <c r="K532" i="2"/>
  <c r="L532" i="2" s="1"/>
  <c r="K531" i="2"/>
  <c r="L531" i="2" s="1"/>
  <c r="K530" i="2"/>
  <c r="L530" i="2" s="1"/>
  <c r="K529" i="2"/>
  <c r="L529" i="2" s="1"/>
  <c r="K528" i="2"/>
  <c r="L528" i="2" s="1"/>
  <c r="K527" i="2"/>
  <c r="L527" i="2" s="1"/>
  <c r="K526" i="2"/>
  <c r="L526" i="2" s="1"/>
  <c r="K525" i="2"/>
  <c r="L525" i="2" s="1"/>
  <c r="K524" i="2"/>
  <c r="L524" i="2" s="1"/>
  <c r="L523" i="2"/>
  <c r="K523" i="2"/>
  <c r="K522" i="2"/>
  <c r="L522" i="2" s="1"/>
  <c r="K521" i="2"/>
  <c r="L521" i="2" s="1"/>
  <c r="K520" i="2"/>
  <c r="L520" i="2" s="1"/>
  <c r="K519" i="2"/>
  <c r="L519" i="2" s="1"/>
  <c r="K518" i="2"/>
  <c r="L518" i="2" s="1"/>
  <c r="K517" i="2"/>
  <c r="L517" i="2" s="1"/>
  <c r="K516" i="2"/>
  <c r="L516" i="2" s="1"/>
  <c r="K515" i="2"/>
  <c r="L515" i="2" s="1"/>
  <c r="K514" i="2"/>
  <c r="L514" i="2" s="1"/>
  <c r="K513" i="2"/>
  <c r="L513" i="2" s="1"/>
  <c r="K512" i="2"/>
  <c r="L512" i="2" s="1"/>
  <c r="K511" i="2"/>
  <c r="L511" i="2" s="1"/>
  <c r="K510" i="2"/>
  <c r="L510" i="2" s="1"/>
  <c r="L509" i="2"/>
  <c r="K509" i="2"/>
  <c r="K508" i="2"/>
  <c r="L508" i="2" s="1"/>
  <c r="K507" i="2"/>
  <c r="L507" i="2" s="1"/>
  <c r="K506" i="2"/>
  <c r="L506" i="2" s="1"/>
  <c r="K505" i="2"/>
  <c r="L505" i="2" s="1"/>
  <c r="K504" i="2"/>
  <c r="L504" i="2" s="1"/>
  <c r="K503" i="2"/>
  <c r="L503" i="2" s="1"/>
  <c r="K502" i="2"/>
  <c r="L502" i="2" s="1"/>
  <c r="K501" i="2"/>
  <c r="L501" i="2" s="1"/>
  <c r="K500" i="2"/>
  <c r="L500" i="2" s="1"/>
  <c r="K499" i="2"/>
  <c r="L499" i="2" s="1"/>
  <c r="K498" i="2"/>
  <c r="L498" i="2" s="1"/>
  <c r="K497" i="2"/>
  <c r="L497" i="2" s="1"/>
  <c r="K496" i="2"/>
  <c r="L496" i="2" s="1"/>
  <c r="K495" i="2"/>
  <c r="L495" i="2" s="1"/>
  <c r="K494" i="2"/>
  <c r="L494" i="2" s="1"/>
  <c r="K493" i="2"/>
  <c r="L493" i="2" s="1"/>
  <c r="K492" i="2"/>
  <c r="L492" i="2" s="1"/>
  <c r="K491" i="2"/>
  <c r="L491" i="2" s="1"/>
  <c r="K490" i="2"/>
  <c r="L490" i="2" s="1"/>
  <c r="K489" i="2"/>
  <c r="L489" i="2" s="1"/>
  <c r="K488" i="2"/>
  <c r="L488" i="2" s="1"/>
  <c r="K487" i="2"/>
  <c r="L487" i="2" s="1"/>
  <c r="K486" i="2"/>
  <c r="L486" i="2" s="1"/>
  <c r="K485" i="2"/>
  <c r="L485" i="2" s="1"/>
  <c r="K484" i="2"/>
  <c r="L484" i="2" s="1"/>
  <c r="K483" i="2"/>
  <c r="L483" i="2" s="1"/>
  <c r="K482" i="2"/>
  <c r="L482" i="2" s="1"/>
  <c r="K481" i="2"/>
  <c r="L481" i="2" s="1"/>
  <c r="K480" i="2"/>
  <c r="L480" i="2" s="1"/>
  <c r="K479" i="2"/>
  <c r="L479" i="2" s="1"/>
  <c r="K478" i="2"/>
  <c r="L478" i="2" s="1"/>
  <c r="K477" i="2"/>
  <c r="L477" i="2" s="1"/>
  <c r="K476" i="2"/>
  <c r="L476" i="2" s="1"/>
  <c r="K475" i="2"/>
  <c r="L475" i="2" s="1"/>
  <c r="K474" i="2"/>
  <c r="L474" i="2" s="1"/>
  <c r="K473" i="2"/>
  <c r="L473" i="2" s="1"/>
  <c r="K472" i="2"/>
  <c r="L472" i="2" s="1"/>
  <c r="K471" i="2"/>
  <c r="L471" i="2" s="1"/>
  <c r="K470" i="2"/>
  <c r="L470" i="2" s="1"/>
  <c r="K469" i="2"/>
  <c r="L469" i="2" s="1"/>
  <c r="K468" i="2"/>
  <c r="L468" i="2" s="1"/>
  <c r="K467" i="2"/>
  <c r="L467" i="2" s="1"/>
  <c r="K466" i="2"/>
  <c r="L466" i="2" s="1"/>
  <c r="K465" i="2"/>
  <c r="L465" i="2" s="1"/>
  <c r="K464" i="2"/>
  <c r="L464" i="2" s="1"/>
  <c r="K463" i="2"/>
  <c r="L463" i="2" s="1"/>
  <c r="K462" i="2"/>
  <c r="L462" i="2" s="1"/>
  <c r="K461" i="2"/>
  <c r="L461" i="2" s="1"/>
  <c r="K460" i="2"/>
  <c r="L460" i="2" s="1"/>
  <c r="K459" i="2"/>
  <c r="L459" i="2" s="1"/>
  <c r="K458" i="2"/>
  <c r="L458" i="2" s="1"/>
  <c r="K457" i="2"/>
  <c r="L457" i="2" s="1"/>
  <c r="K456" i="2"/>
  <c r="L456" i="2" s="1"/>
  <c r="K455" i="2"/>
  <c r="L455" i="2" s="1"/>
  <c r="K454" i="2"/>
  <c r="L454" i="2" s="1"/>
  <c r="K453" i="2"/>
  <c r="L453" i="2" s="1"/>
  <c r="K452" i="2"/>
  <c r="L452" i="2" s="1"/>
  <c r="K451" i="2"/>
  <c r="L451" i="2" s="1"/>
  <c r="K450" i="2"/>
  <c r="L450" i="2" s="1"/>
  <c r="K449" i="2"/>
  <c r="L449" i="2" s="1"/>
  <c r="L448" i="2"/>
  <c r="K448" i="2"/>
  <c r="K447" i="2"/>
  <c r="L447" i="2" s="1"/>
  <c r="K446" i="2"/>
  <c r="L446" i="2" s="1"/>
  <c r="K445" i="2"/>
  <c r="L445" i="2" s="1"/>
  <c r="K444" i="2"/>
  <c r="L444" i="2" s="1"/>
  <c r="K443" i="2"/>
  <c r="L443" i="2" s="1"/>
  <c r="K442" i="2"/>
  <c r="L442" i="2" s="1"/>
  <c r="K441" i="2"/>
  <c r="L441" i="2" s="1"/>
  <c r="K440" i="2"/>
  <c r="L440" i="2" s="1"/>
  <c r="K439" i="2"/>
  <c r="L439" i="2" s="1"/>
  <c r="K438" i="2"/>
  <c r="L438" i="2" s="1"/>
  <c r="L437" i="2"/>
  <c r="K437" i="2"/>
  <c r="K436" i="2"/>
  <c r="L436" i="2" s="1"/>
  <c r="K435" i="2"/>
  <c r="L435" i="2" s="1"/>
  <c r="K434" i="2"/>
  <c r="L434" i="2" s="1"/>
  <c r="K433" i="2"/>
  <c r="L433" i="2" s="1"/>
  <c r="K432" i="2"/>
  <c r="L432" i="2" s="1"/>
  <c r="K431" i="2"/>
  <c r="L431" i="2" s="1"/>
  <c r="K430" i="2"/>
  <c r="L430" i="2" s="1"/>
  <c r="K429" i="2"/>
  <c r="L429" i="2" s="1"/>
  <c r="K428" i="2"/>
  <c r="L428" i="2" s="1"/>
  <c r="K427" i="2"/>
  <c r="L427" i="2" s="1"/>
  <c r="K426" i="2"/>
  <c r="L426" i="2" s="1"/>
  <c r="K425" i="2"/>
  <c r="L425" i="2" s="1"/>
  <c r="K424" i="2"/>
  <c r="L424" i="2" s="1"/>
  <c r="K423" i="2"/>
  <c r="L423" i="2" s="1"/>
  <c r="K422" i="2"/>
  <c r="L422" i="2" s="1"/>
  <c r="K421" i="2"/>
  <c r="L421" i="2" s="1"/>
  <c r="K420" i="2"/>
  <c r="L420" i="2" s="1"/>
  <c r="K419" i="2"/>
  <c r="L419" i="2" s="1"/>
  <c r="K418" i="2"/>
  <c r="L418" i="2" s="1"/>
  <c r="K417" i="2"/>
  <c r="L417" i="2" s="1"/>
  <c r="K416" i="2"/>
  <c r="L416" i="2" s="1"/>
  <c r="K415" i="2"/>
  <c r="L415" i="2" s="1"/>
  <c r="K414" i="2"/>
  <c r="L414" i="2" s="1"/>
  <c r="K413" i="2"/>
  <c r="L413" i="2" s="1"/>
  <c r="K412" i="2"/>
  <c r="L412" i="2" s="1"/>
  <c r="R27" i="2" s="1"/>
  <c r="K411" i="2"/>
  <c r="L411" i="2" s="1"/>
  <c r="K410" i="2"/>
  <c r="L410" i="2" s="1"/>
  <c r="K409" i="2"/>
  <c r="L409" i="2" s="1"/>
  <c r="K408" i="2"/>
  <c r="L408" i="2" s="1"/>
  <c r="K407" i="2"/>
  <c r="L407" i="2" s="1"/>
  <c r="K406" i="2"/>
  <c r="L406" i="2" s="1"/>
  <c r="K405" i="2"/>
  <c r="L405" i="2" s="1"/>
  <c r="K404" i="2"/>
  <c r="L404" i="2" s="1"/>
  <c r="K403" i="2"/>
  <c r="L403" i="2" s="1"/>
  <c r="K402" i="2"/>
  <c r="L402" i="2" s="1"/>
  <c r="K401" i="2"/>
  <c r="L401" i="2" s="1"/>
  <c r="K400" i="2"/>
  <c r="L400" i="2" s="1"/>
  <c r="K399" i="2"/>
  <c r="L399" i="2" s="1"/>
  <c r="K398" i="2"/>
  <c r="L398" i="2" s="1"/>
  <c r="K397" i="2"/>
  <c r="L397" i="2" s="1"/>
  <c r="K396" i="2"/>
  <c r="L396" i="2" s="1"/>
  <c r="K395" i="2"/>
  <c r="L395" i="2" s="1"/>
  <c r="K394" i="2"/>
  <c r="L394" i="2" s="1"/>
  <c r="K393" i="2"/>
  <c r="L393" i="2" s="1"/>
  <c r="K392" i="2"/>
  <c r="L392" i="2" s="1"/>
  <c r="K391" i="2"/>
  <c r="L391" i="2" s="1"/>
  <c r="K390" i="2"/>
  <c r="L390" i="2" s="1"/>
  <c r="K389" i="2"/>
  <c r="L389" i="2" s="1"/>
  <c r="K388" i="2"/>
  <c r="L388" i="2" s="1"/>
  <c r="K387" i="2"/>
  <c r="L387" i="2" s="1"/>
  <c r="K386" i="2"/>
  <c r="L386" i="2" s="1"/>
  <c r="K385" i="2"/>
  <c r="L385" i="2" s="1"/>
  <c r="K384" i="2"/>
  <c r="L384" i="2" s="1"/>
  <c r="K383" i="2"/>
  <c r="L383" i="2" s="1"/>
  <c r="K382" i="2"/>
  <c r="L382" i="2" s="1"/>
  <c r="K381" i="2"/>
  <c r="L381" i="2" s="1"/>
  <c r="K380" i="2"/>
  <c r="L380" i="2" s="1"/>
  <c r="K379" i="2"/>
  <c r="L379" i="2" s="1"/>
  <c r="K378" i="2"/>
  <c r="L378" i="2" s="1"/>
  <c r="K377" i="2"/>
  <c r="L377" i="2" s="1"/>
  <c r="K376" i="2"/>
  <c r="L376" i="2" s="1"/>
  <c r="K375" i="2"/>
  <c r="L375" i="2" s="1"/>
  <c r="K374" i="2"/>
  <c r="L374" i="2" s="1"/>
  <c r="K373" i="2"/>
  <c r="L373" i="2" s="1"/>
  <c r="K372" i="2"/>
  <c r="L372" i="2" s="1"/>
  <c r="K371" i="2"/>
  <c r="L371" i="2" s="1"/>
  <c r="L370" i="2"/>
  <c r="K370" i="2"/>
  <c r="K369" i="2"/>
  <c r="L369" i="2" s="1"/>
  <c r="K368" i="2"/>
  <c r="L368" i="2" s="1"/>
  <c r="K367" i="2"/>
  <c r="L367" i="2" s="1"/>
  <c r="K366" i="2"/>
  <c r="L366" i="2" s="1"/>
  <c r="K365" i="2"/>
  <c r="L365" i="2" s="1"/>
  <c r="K364" i="2"/>
  <c r="L364" i="2" s="1"/>
  <c r="K363" i="2"/>
  <c r="L363" i="2" s="1"/>
  <c r="K362" i="2"/>
  <c r="L362" i="2" s="1"/>
  <c r="K361" i="2"/>
  <c r="L361" i="2" s="1"/>
  <c r="K360" i="2"/>
  <c r="L360" i="2" s="1"/>
  <c r="K359" i="2"/>
  <c r="L359" i="2" s="1"/>
  <c r="K358" i="2"/>
  <c r="L358" i="2" s="1"/>
  <c r="K357" i="2"/>
  <c r="L357" i="2" s="1"/>
  <c r="K356" i="2"/>
  <c r="L356" i="2" s="1"/>
  <c r="K355" i="2"/>
  <c r="L355" i="2" s="1"/>
  <c r="K354" i="2"/>
  <c r="L354" i="2" s="1"/>
  <c r="K353" i="2"/>
  <c r="L353" i="2" s="1"/>
  <c r="K352" i="2"/>
  <c r="L352" i="2" s="1"/>
  <c r="K351" i="2"/>
  <c r="L351" i="2" s="1"/>
  <c r="K350" i="2"/>
  <c r="L350" i="2" s="1"/>
  <c r="K349" i="2"/>
  <c r="L349" i="2" s="1"/>
  <c r="K348" i="2"/>
  <c r="L348" i="2" s="1"/>
  <c r="K347" i="2"/>
  <c r="L347" i="2" s="1"/>
  <c r="K346" i="2"/>
  <c r="L346" i="2" s="1"/>
  <c r="K345" i="2"/>
  <c r="L345" i="2" s="1"/>
  <c r="K344" i="2"/>
  <c r="L344" i="2" s="1"/>
  <c r="K343" i="2"/>
  <c r="L343" i="2" s="1"/>
  <c r="K342" i="2"/>
  <c r="L342" i="2" s="1"/>
  <c r="K341" i="2"/>
  <c r="L341" i="2" s="1"/>
  <c r="K340" i="2"/>
  <c r="L340" i="2" s="1"/>
  <c r="K339" i="2"/>
  <c r="L339" i="2" s="1"/>
  <c r="K338" i="2"/>
  <c r="L338" i="2" s="1"/>
  <c r="K337" i="2"/>
  <c r="L337" i="2" s="1"/>
  <c r="K336" i="2"/>
  <c r="L336" i="2" s="1"/>
  <c r="K335" i="2"/>
  <c r="L335" i="2" s="1"/>
  <c r="K334" i="2"/>
  <c r="L334" i="2" s="1"/>
  <c r="K333" i="2"/>
  <c r="L333" i="2" s="1"/>
  <c r="K332" i="2"/>
  <c r="L332" i="2" s="1"/>
  <c r="K331" i="2"/>
  <c r="L331" i="2" s="1"/>
  <c r="K330" i="2"/>
  <c r="L330" i="2" s="1"/>
  <c r="K329" i="2"/>
  <c r="L329" i="2" s="1"/>
  <c r="K328" i="2"/>
  <c r="L328" i="2" s="1"/>
  <c r="K327" i="2"/>
  <c r="L327" i="2" s="1"/>
  <c r="K326" i="2"/>
  <c r="L326" i="2" s="1"/>
  <c r="K325" i="2"/>
  <c r="L325" i="2" s="1"/>
  <c r="K324" i="2"/>
  <c r="L324" i="2" s="1"/>
  <c r="L323" i="2"/>
  <c r="K323" i="2"/>
  <c r="K322" i="2"/>
  <c r="L322" i="2" s="1"/>
  <c r="Q16" i="2" s="1"/>
  <c r="K321" i="2"/>
  <c r="L321" i="2" s="1"/>
  <c r="K320" i="2"/>
  <c r="L320" i="2" s="1"/>
  <c r="K319" i="2"/>
  <c r="L319" i="2" s="1"/>
  <c r="K318" i="2"/>
  <c r="L318" i="2" s="1"/>
  <c r="K317" i="2"/>
  <c r="L317" i="2" s="1"/>
  <c r="K316" i="2"/>
  <c r="L316" i="2" s="1"/>
  <c r="K315" i="2"/>
  <c r="L315" i="2" s="1"/>
  <c r="K314" i="2"/>
  <c r="L314" i="2" s="1"/>
  <c r="K313" i="2"/>
  <c r="L313" i="2" s="1"/>
  <c r="K312" i="2"/>
  <c r="L312" i="2" s="1"/>
  <c r="K311" i="2"/>
  <c r="L311" i="2" s="1"/>
  <c r="K310" i="2"/>
  <c r="L310" i="2" s="1"/>
  <c r="K309" i="2"/>
  <c r="L309" i="2" s="1"/>
  <c r="K308" i="2"/>
  <c r="L308" i="2" s="1"/>
  <c r="K307" i="2"/>
  <c r="L307" i="2" s="1"/>
  <c r="L306" i="2"/>
  <c r="K306" i="2"/>
  <c r="K305" i="2"/>
  <c r="L305" i="2" s="1"/>
  <c r="K304" i="2"/>
  <c r="L304" i="2" s="1"/>
  <c r="K303" i="2"/>
  <c r="L303" i="2" s="1"/>
  <c r="K302" i="2"/>
  <c r="L302" i="2" s="1"/>
  <c r="K301" i="2"/>
  <c r="L301" i="2" s="1"/>
  <c r="K300" i="2"/>
  <c r="L300" i="2" s="1"/>
  <c r="K299" i="2"/>
  <c r="L299" i="2" s="1"/>
  <c r="K298" i="2"/>
  <c r="L298" i="2" s="1"/>
  <c r="K297" i="2"/>
  <c r="L297" i="2" s="1"/>
  <c r="K296" i="2"/>
  <c r="L296" i="2" s="1"/>
  <c r="K295" i="2"/>
  <c r="L295" i="2" s="1"/>
  <c r="K294" i="2"/>
  <c r="L294" i="2" s="1"/>
  <c r="K293" i="2"/>
  <c r="L293" i="2" s="1"/>
  <c r="K292" i="2"/>
  <c r="L292" i="2" s="1"/>
  <c r="K291" i="2"/>
  <c r="L291" i="2" s="1"/>
  <c r="K290" i="2"/>
  <c r="L290" i="2" s="1"/>
  <c r="K289" i="2"/>
  <c r="L289" i="2" s="1"/>
  <c r="K288" i="2"/>
  <c r="L288" i="2" s="1"/>
  <c r="K287" i="2"/>
  <c r="L287" i="2" s="1"/>
  <c r="K286" i="2"/>
  <c r="L286" i="2" s="1"/>
  <c r="K285" i="2"/>
  <c r="L285" i="2" s="1"/>
  <c r="K284" i="2"/>
  <c r="L284" i="2" s="1"/>
  <c r="K283" i="2"/>
  <c r="L283" i="2" s="1"/>
  <c r="K282" i="2"/>
  <c r="L282" i="2" s="1"/>
  <c r="K281" i="2"/>
  <c r="L281" i="2" s="1"/>
  <c r="K280" i="2"/>
  <c r="L280" i="2" s="1"/>
  <c r="K279" i="2"/>
  <c r="L279" i="2" s="1"/>
  <c r="K278" i="2"/>
  <c r="L278" i="2" s="1"/>
  <c r="K277" i="2"/>
  <c r="L277" i="2" s="1"/>
  <c r="K276" i="2"/>
  <c r="L276" i="2" s="1"/>
  <c r="K275" i="2"/>
  <c r="L275" i="2" s="1"/>
  <c r="K274" i="2"/>
  <c r="L274" i="2" s="1"/>
  <c r="K273" i="2"/>
  <c r="L273" i="2" s="1"/>
  <c r="K272" i="2"/>
  <c r="L272" i="2" s="1"/>
  <c r="K271" i="2"/>
  <c r="L271" i="2" s="1"/>
  <c r="K270" i="2"/>
  <c r="L270" i="2" s="1"/>
  <c r="K269" i="2"/>
  <c r="L269" i="2" s="1"/>
  <c r="K268" i="2"/>
  <c r="L268" i="2" s="1"/>
  <c r="K267" i="2"/>
  <c r="L267" i="2" s="1"/>
  <c r="K266" i="2"/>
  <c r="L266" i="2" s="1"/>
  <c r="K265" i="2"/>
  <c r="L265" i="2" s="1"/>
  <c r="K264" i="2"/>
  <c r="L264" i="2" s="1"/>
  <c r="K263" i="2"/>
  <c r="L263" i="2" s="1"/>
  <c r="K262" i="2"/>
  <c r="L262" i="2" s="1"/>
  <c r="K261" i="2"/>
  <c r="L261" i="2" s="1"/>
  <c r="K260" i="2"/>
  <c r="L260" i="2" s="1"/>
  <c r="K259" i="2"/>
  <c r="L259" i="2" s="1"/>
  <c r="K258" i="2"/>
  <c r="L258" i="2" s="1"/>
  <c r="O7" i="2" s="1"/>
  <c r="K257" i="2"/>
  <c r="L257" i="2" s="1"/>
  <c r="K256" i="2"/>
  <c r="L256" i="2" s="1"/>
  <c r="K255" i="2"/>
  <c r="L255" i="2" s="1"/>
  <c r="K254" i="2"/>
  <c r="L254" i="2" s="1"/>
  <c r="K253" i="2"/>
  <c r="L253" i="2" s="1"/>
  <c r="K252" i="2"/>
  <c r="L252" i="2" s="1"/>
  <c r="K251" i="2"/>
  <c r="L251" i="2" s="1"/>
  <c r="K250" i="2"/>
  <c r="L250" i="2" s="1"/>
  <c r="K249" i="2"/>
  <c r="L249" i="2" s="1"/>
  <c r="K248" i="2"/>
  <c r="L248" i="2" s="1"/>
  <c r="K247" i="2"/>
  <c r="L247" i="2" s="1"/>
  <c r="K246" i="2"/>
  <c r="L246" i="2" s="1"/>
  <c r="K245" i="2"/>
  <c r="L245" i="2" s="1"/>
  <c r="K244" i="2"/>
  <c r="L244" i="2" s="1"/>
  <c r="K243" i="2"/>
  <c r="L243" i="2" s="1"/>
  <c r="L242" i="2"/>
  <c r="K242" i="2"/>
  <c r="K241" i="2"/>
  <c r="L241" i="2" s="1"/>
  <c r="K240" i="2"/>
  <c r="L240" i="2" s="1"/>
  <c r="K239" i="2"/>
  <c r="L239" i="2" s="1"/>
  <c r="L238" i="2"/>
  <c r="K238" i="2"/>
  <c r="K237" i="2"/>
  <c r="L237" i="2" s="1"/>
  <c r="K236" i="2"/>
  <c r="L236" i="2" s="1"/>
  <c r="K235" i="2"/>
  <c r="L235" i="2" s="1"/>
  <c r="K234" i="2"/>
  <c r="L234" i="2" s="1"/>
  <c r="K233" i="2"/>
  <c r="L233" i="2" s="1"/>
  <c r="K232" i="2"/>
  <c r="L232" i="2" s="1"/>
  <c r="L231" i="2"/>
  <c r="K231" i="2"/>
  <c r="K230" i="2"/>
  <c r="L230" i="2" s="1"/>
  <c r="K229" i="2"/>
  <c r="L229" i="2" s="1"/>
  <c r="S16" i="2" s="1"/>
  <c r="K228" i="2"/>
  <c r="L228" i="2" s="1"/>
  <c r="K227" i="2"/>
  <c r="L227" i="2" s="1"/>
  <c r="K226" i="2"/>
  <c r="L226" i="2" s="1"/>
  <c r="K225" i="2"/>
  <c r="L225" i="2" s="1"/>
  <c r="K224" i="2"/>
  <c r="L224" i="2" s="1"/>
  <c r="K223" i="2"/>
  <c r="L223" i="2" s="1"/>
  <c r="K222" i="2"/>
  <c r="L222" i="2" s="1"/>
  <c r="K221" i="2"/>
  <c r="L221" i="2" s="1"/>
  <c r="K220" i="2"/>
  <c r="L220" i="2" s="1"/>
  <c r="K219" i="2"/>
  <c r="L219" i="2" s="1"/>
  <c r="K218" i="2"/>
  <c r="L218" i="2" s="1"/>
  <c r="K217" i="2"/>
  <c r="L217" i="2" s="1"/>
  <c r="K216" i="2"/>
  <c r="L216" i="2" s="1"/>
  <c r="K215" i="2"/>
  <c r="L215" i="2" s="1"/>
  <c r="K214" i="2"/>
  <c r="L214" i="2" s="1"/>
  <c r="K213" i="2"/>
  <c r="L213" i="2" s="1"/>
  <c r="K212" i="2"/>
  <c r="L212" i="2" s="1"/>
  <c r="K211" i="2"/>
  <c r="L211" i="2" s="1"/>
  <c r="K210" i="2"/>
  <c r="L210" i="2" s="1"/>
  <c r="K209" i="2"/>
  <c r="L209" i="2" s="1"/>
  <c r="K208" i="2"/>
  <c r="L208" i="2" s="1"/>
  <c r="K207" i="2"/>
  <c r="L207" i="2" s="1"/>
  <c r="K206" i="2"/>
  <c r="L206" i="2" s="1"/>
  <c r="K205" i="2"/>
  <c r="L205" i="2" s="1"/>
  <c r="K204" i="2"/>
  <c r="L204" i="2" s="1"/>
  <c r="K203" i="2"/>
  <c r="L203" i="2" s="1"/>
  <c r="K202" i="2"/>
  <c r="L202" i="2" s="1"/>
  <c r="K201" i="2"/>
  <c r="L201" i="2" s="1"/>
  <c r="K200" i="2"/>
  <c r="L200" i="2" s="1"/>
  <c r="K199" i="2"/>
  <c r="L199" i="2" s="1"/>
  <c r="K198" i="2"/>
  <c r="L198" i="2" s="1"/>
  <c r="K197" i="2"/>
  <c r="L197" i="2" s="1"/>
  <c r="K196" i="2"/>
  <c r="L196" i="2" s="1"/>
  <c r="K195" i="2"/>
  <c r="L195" i="2" s="1"/>
  <c r="K194" i="2"/>
  <c r="L194" i="2" s="1"/>
  <c r="K193" i="2"/>
  <c r="L193" i="2" s="1"/>
  <c r="K192" i="2"/>
  <c r="L192" i="2" s="1"/>
  <c r="K191" i="2"/>
  <c r="L191" i="2" s="1"/>
  <c r="K190" i="2"/>
  <c r="L190" i="2" s="1"/>
  <c r="K189" i="2"/>
  <c r="L189" i="2" s="1"/>
  <c r="K188" i="2"/>
  <c r="L188" i="2" s="1"/>
  <c r="K187" i="2"/>
  <c r="L187" i="2" s="1"/>
  <c r="K186" i="2"/>
  <c r="L186" i="2" s="1"/>
  <c r="K185" i="2"/>
  <c r="L185" i="2" s="1"/>
  <c r="K184" i="2"/>
  <c r="L184" i="2" s="1"/>
  <c r="K183" i="2"/>
  <c r="L183" i="2" s="1"/>
  <c r="K182" i="2"/>
  <c r="L182" i="2" s="1"/>
  <c r="K181" i="2"/>
  <c r="L181" i="2" s="1"/>
  <c r="K180" i="2"/>
  <c r="L180" i="2" s="1"/>
  <c r="K179" i="2"/>
  <c r="L179" i="2" s="1"/>
  <c r="L178" i="2"/>
  <c r="K178" i="2"/>
  <c r="K177" i="2"/>
  <c r="L177" i="2" s="1"/>
  <c r="K176" i="2"/>
  <c r="L176" i="2" s="1"/>
  <c r="K175" i="2"/>
  <c r="L175" i="2" s="1"/>
  <c r="L174" i="2"/>
  <c r="K174" i="2"/>
  <c r="K173" i="2"/>
  <c r="L173" i="2" s="1"/>
  <c r="K172" i="2"/>
  <c r="L172" i="2" s="1"/>
  <c r="K171" i="2"/>
  <c r="L171" i="2" s="1"/>
  <c r="K170" i="2"/>
  <c r="L170" i="2" s="1"/>
  <c r="K169" i="2"/>
  <c r="L169" i="2" s="1"/>
  <c r="K168" i="2"/>
  <c r="L168" i="2" s="1"/>
  <c r="L167" i="2"/>
  <c r="K167" i="2"/>
  <c r="K166" i="2"/>
  <c r="L166" i="2" s="1"/>
  <c r="K165" i="2"/>
  <c r="L165" i="2" s="1"/>
  <c r="K164" i="2"/>
  <c r="L164" i="2" s="1"/>
  <c r="K163" i="2"/>
  <c r="L163" i="2" s="1"/>
  <c r="K162" i="2"/>
  <c r="L162" i="2" s="1"/>
  <c r="K161" i="2"/>
  <c r="L161" i="2" s="1"/>
  <c r="K160" i="2"/>
  <c r="L160" i="2" s="1"/>
  <c r="K159" i="2"/>
  <c r="L159" i="2" s="1"/>
  <c r="K158" i="2"/>
  <c r="L158" i="2" s="1"/>
  <c r="K157" i="2"/>
  <c r="L157" i="2" s="1"/>
  <c r="K156" i="2"/>
  <c r="L156" i="2" s="1"/>
  <c r="K155" i="2"/>
  <c r="L155" i="2" s="1"/>
  <c r="K154" i="2"/>
  <c r="L154" i="2" s="1"/>
  <c r="K153" i="2"/>
  <c r="L153" i="2" s="1"/>
  <c r="K152" i="2"/>
  <c r="L152" i="2" s="1"/>
  <c r="K151" i="2"/>
  <c r="L151" i="2" s="1"/>
  <c r="K150" i="2"/>
  <c r="L150" i="2" s="1"/>
  <c r="K149" i="2"/>
  <c r="L149" i="2" s="1"/>
  <c r="K148" i="2"/>
  <c r="L148" i="2" s="1"/>
  <c r="K147" i="2"/>
  <c r="L147" i="2" s="1"/>
  <c r="K146" i="2"/>
  <c r="L146" i="2" s="1"/>
  <c r="K145" i="2"/>
  <c r="L145" i="2" s="1"/>
  <c r="K144" i="2"/>
  <c r="L144" i="2" s="1"/>
  <c r="K143" i="2"/>
  <c r="L143" i="2" s="1"/>
  <c r="K142" i="2"/>
  <c r="L142" i="2" s="1"/>
  <c r="K141" i="2"/>
  <c r="L141" i="2" s="1"/>
  <c r="K140" i="2"/>
  <c r="L140" i="2" s="1"/>
  <c r="K139" i="2"/>
  <c r="L139" i="2" s="1"/>
  <c r="K138" i="2"/>
  <c r="L138" i="2" s="1"/>
  <c r="K137" i="2"/>
  <c r="L137" i="2" s="1"/>
  <c r="K136" i="2"/>
  <c r="L136" i="2" s="1"/>
  <c r="K135" i="2"/>
  <c r="L135" i="2" s="1"/>
  <c r="K134" i="2"/>
  <c r="L134" i="2" s="1"/>
  <c r="K133" i="2"/>
  <c r="L133" i="2" s="1"/>
  <c r="K132" i="2"/>
  <c r="L132" i="2" s="1"/>
  <c r="K131" i="2"/>
  <c r="L131" i="2" s="1"/>
  <c r="K130" i="2"/>
  <c r="L130" i="2" s="1"/>
  <c r="K129" i="2"/>
  <c r="L129" i="2" s="1"/>
  <c r="K128" i="2"/>
  <c r="L128" i="2" s="1"/>
  <c r="K127" i="2"/>
  <c r="L127" i="2" s="1"/>
  <c r="K126" i="2"/>
  <c r="L126" i="2" s="1"/>
  <c r="K125" i="2"/>
  <c r="L125" i="2" s="1"/>
  <c r="K124" i="2"/>
  <c r="L124" i="2" s="1"/>
  <c r="K123" i="2"/>
  <c r="L123" i="2" s="1"/>
  <c r="K122" i="2"/>
  <c r="L122" i="2" s="1"/>
  <c r="K121" i="2"/>
  <c r="L121" i="2" s="1"/>
  <c r="K120" i="2"/>
  <c r="L120" i="2" s="1"/>
  <c r="K119" i="2"/>
  <c r="L119" i="2" s="1"/>
  <c r="K118" i="2"/>
  <c r="L118" i="2" s="1"/>
  <c r="K117" i="2"/>
  <c r="L117" i="2" s="1"/>
  <c r="K116" i="2"/>
  <c r="L116" i="2" s="1"/>
  <c r="K115" i="2"/>
  <c r="L115" i="2" s="1"/>
  <c r="K114" i="2"/>
  <c r="L114" i="2" s="1"/>
  <c r="K113" i="2"/>
  <c r="L113" i="2" s="1"/>
  <c r="K112" i="2"/>
  <c r="L112" i="2" s="1"/>
  <c r="K111" i="2"/>
  <c r="L111" i="2" s="1"/>
  <c r="K110" i="2"/>
  <c r="L110" i="2" s="1"/>
  <c r="O22" i="2" s="1"/>
  <c r="K109" i="2"/>
  <c r="L109" i="2" s="1"/>
  <c r="K108" i="2"/>
  <c r="L108" i="2" s="1"/>
  <c r="K107" i="2"/>
  <c r="L107" i="2" s="1"/>
  <c r="K106" i="2"/>
  <c r="L106" i="2" s="1"/>
  <c r="K105" i="2"/>
  <c r="L105" i="2" s="1"/>
  <c r="K104" i="2"/>
  <c r="L104" i="2" s="1"/>
  <c r="K103" i="2"/>
  <c r="L103" i="2" s="1"/>
  <c r="K102" i="2"/>
  <c r="L102" i="2" s="1"/>
  <c r="K101" i="2"/>
  <c r="L101" i="2" s="1"/>
  <c r="K100" i="2"/>
  <c r="L100" i="2" s="1"/>
  <c r="K99" i="2"/>
  <c r="L99" i="2" s="1"/>
  <c r="K98" i="2"/>
  <c r="L98" i="2" s="1"/>
  <c r="K97" i="2"/>
  <c r="L97" i="2" s="1"/>
  <c r="K96" i="2"/>
  <c r="L96" i="2" s="1"/>
  <c r="K95" i="2"/>
  <c r="L95" i="2" s="1"/>
  <c r="K94" i="2"/>
  <c r="L94" i="2" s="1"/>
  <c r="K93" i="2"/>
  <c r="L93" i="2" s="1"/>
  <c r="K92" i="2"/>
  <c r="L92" i="2" s="1"/>
  <c r="K91" i="2"/>
  <c r="L91" i="2" s="1"/>
  <c r="K90" i="2"/>
  <c r="L90" i="2" s="1"/>
  <c r="K89" i="2"/>
  <c r="L89" i="2" s="1"/>
  <c r="K88" i="2"/>
  <c r="L88" i="2" s="1"/>
  <c r="K87" i="2"/>
  <c r="L87" i="2" s="1"/>
  <c r="K86" i="2"/>
  <c r="L86" i="2" s="1"/>
  <c r="K85" i="2"/>
  <c r="L85" i="2" s="1"/>
  <c r="K84" i="2"/>
  <c r="L84" i="2" s="1"/>
  <c r="K83" i="2"/>
  <c r="L83" i="2" s="1"/>
  <c r="K82" i="2"/>
  <c r="L82" i="2" s="1"/>
  <c r="P9" i="2" s="1"/>
  <c r="K81" i="2"/>
  <c r="L81" i="2" s="1"/>
  <c r="K80" i="2"/>
  <c r="L80" i="2" s="1"/>
  <c r="K79" i="2"/>
  <c r="L79" i="2" s="1"/>
  <c r="K78" i="2"/>
  <c r="L78" i="2" s="1"/>
  <c r="K77" i="2"/>
  <c r="L77" i="2" s="1"/>
  <c r="K76" i="2"/>
  <c r="L76" i="2" s="1"/>
  <c r="K75" i="2"/>
  <c r="L75" i="2" s="1"/>
  <c r="K74" i="2"/>
  <c r="L74" i="2" s="1"/>
  <c r="K73" i="2"/>
  <c r="L73" i="2" s="1"/>
  <c r="K72" i="2"/>
  <c r="L72" i="2" s="1"/>
  <c r="K71" i="2"/>
  <c r="L71" i="2" s="1"/>
  <c r="K70" i="2"/>
  <c r="L70" i="2" s="1"/>
  <c r="K69" i="2"/>
  <c r="L69" i="2" s="1"/>
  <c r="K68" i="2"/>
  <c r="L68" i="2" s="1"/>
  <c r="K67" i="2"/>
  <c r="L67" i="2" s="1"/>
  <c r="K66" i="2"/>
  <c r="L66" i="2" s="1"/>
  <c r="K65" i="2"/>
  <c r="L65" i="2" s="1"/>
  <c r="K64" i="2"/>
  <c r="L64" i="2" s="1"/>
  <c r="K63" i="2"/>
  <c r="L63" i="2" s="1"/>
  <c r="K62" i="2"/>
  <c r="L62" i="2" s="1"/>
  <c r="K61" i="2"/>
  <c r="L61" i="2" s="1"/>
  <c r="K60" i="2"/>
  <c r="L60" i="2" s="1"/>
  <c r="K59" i="2"/>
  <c r="L59" i="2" s="1"/>
  <c r="K58" i="2"/>
  <c r="L58" i="2" s="1"/>
  <c r="K57" i="2"/>
  <c r="L57" i="2" s="1"/>
  <c r="K56" i="2"/>
  <c r="L56" i="2" s="1"/>
  <c r="K55" i="2"/>
  <c r="L55" i="2" s="1"/>
  <c r="K54" i="2"/>
  <c r="L54" i="2" s="1"/>
  <c r="K53" i="2"/>
  <c r="L53" i="2" s="1"/>
  <c r="K52" i="2"/>
  <c r="L52" i="2" s="1"/>
  <c r="K51" i="2"/>
  <c r="L51" i="2" s="1"/>
  <c r="K50" i="2"/>
  <c r="L50" i="2" s="1"/>
  <c r="K49" i="2"/>
  <c r="L49" i="2" s="1"/>
  <c r="K48" i="2"/>
  <c r="L48" i="2" s="1"/>
  <c r="K47" i="2"/>
  <c r="L47" i="2" s="1"/>
  <c r="K46" i="2"/>
  <c r="L46" i="2" s="1"/>
  <c r="K45" i="2"/>
  <c r="L45" i="2" s="1"/>
  <c r="K44" i="2"/>
  <c r="L44" i="2" s="1"/>
  <c r="K43" i="2"/>
  <c r="L43" i="2" s="1"/>
  <c r="K42" i="2"/>
  <c r="L42" i="2" s="1"/>
  <c r="K41" i="2"/>
  <c r="L41" i="2" s="1"/>
  <c r="K40" i="2"/>
  <c r="L40" i="2" s="1"/>
  <c r="K39" i="2"/>
  <c r="L39" i="2" s="1"/>
  <c r="K38" i="2"/>
  <c r="L38" i="2" s="1"/>
  <c r="S20" i="2" s="1"/>
  <c r="K37" i="2"/>
  <c r="L37" i="2" s="1"/>
  <c r="K36" i="2"/>
  <c r="L36" i="2" s="1"/>
  <c r="K35" i="2"/>
  <c r="L35" i="2" s="1"/>
  <c r="K34" i="2"/>
  <c r="L34" i="2" s="1"/>
  <c r="K33" i="2"/>
  <c r="L33" i="2" s="1"/>
  <c r="K32" i="2"/>
  <c r="L32" i="2" s="1"/>
  <c r="K31" i="2"/>
  <c r="L31" i="2" s="1"/>
  <c r="K30" i="2"/>
  <c r="L30" i="2" s="1"/>
  <c r="K29" i="2"/>
  <c r="L29" i="2" s="1"/>
  <c r="K28" i="2"/>
  <c r="L28" i="2" s="1"/>
  <c r="K27" i="2"/>
  <c r="L27" i="2" s="1"/>
  <c r="K26" i="2"/>
  <c r="L26" i="2" s="1"/>
  <c r="K25" i="2"/>
  <c r="L25" i="2" s="1"/>
  <c r="K24" i="2"/>
  <c r="L24" i="2" s="1"/>
  <c r="K23" i="2"/>
  <c r="L23" i="2" s="1"/>
  <c r="K22" i="2"/>
  <c r="L22" i="2" s="1"/>
  <c r="K21" i="2"/>
  <c r="L21" i="2" s="1"/>
  <c r="K20" i="2"/>
  <c r="L20" i="2" s="1"/>
  <c r="K19" i="2"/>
  <c r="L19" i="2" s="1"/>
  <c r="K18" i="2"/>
  <c r="L18" i="2" s="1"/>
  <c r="O17" i="2" s="1"/>
  <c r="K17" i="2"/>
  <c r="L17" i="2" s="1"/>
  <c r="K16" i="2"/>
  <c r="L16" i="2" s="1"/>
  <c r="K15" i="2"/>
  <c r="L15" i="2" s="1"/>
  <c r="K14" i="2"/>
  <c r="L14" i="2" s="1"/>
  <c r="K13" i="2"/>
  <c r="L13" i="2" s="1"/>
  <c r="K12" i="2"/>
  <c r="L12" i="2" s="1"/>
  <c r="K11" i="2"/>
  <c r="L11" i="2" s="1"/>
  <c r="K10" i="2"/>
  <c r="L10" i="2" s="1"/>
  <c r="K9" i="2"/>
  <c r="L9" i="2" s="1"/>
  <c r="K8" i="2"/>
  <c r="L8" i="2" s="1"/>
  <c r="K7" i="2"/>
  <c r="L7" i="2" s="1"/>
  <c r="K6" i="2"/>
  <c r="L6" i="2" s="1"/>
  <c r="K5" i="2"/>
  <c r="L5" i="2" s="1"/>
  <c r="K4" i="2"/>
  <c r="L4" i="2" s="1"/>
  <c r="K3" i="2"/>
  <c r="L3" i="2" s="1"/>
  <c r="K2" i="2"/>
  <c r="L2" i="2" s="1"/>
  <c r="U7" i="1"/>
  <c r="U8" i="1"/>
  <c r="U12" i="1"/>
  <c r="K3" i="1"/>
  <c r="L3" i="1" s="1"/>
  <c r="X3" i="1" s="1"/>
  <c r="K4" i="1"/>
  <c r="L4" i="1" s="1"/>
  <c r="X4" i="1" s="1"/>
  <c r="K5" i="1"/>
  <c r="L5" i="1" s="1"/>
  <c r="U5" i="1" s="1"/>
  <c r="K6" i="1"/>
  <c r="L6" i="1" s="1"/>
  <c r="U6" i="1" s="1"/>
  <c r="K7" i="1"/>
  <c r="L7" i="1" s="1"/>
  <c r="X5" i="1" s="1"/>
  <c r="K8" i="1"/>
  <c r="L8" i="1" s="1"/>
  <c r="K9" i="1"/>
  <c r="L9" i="1" s="1"/>
  <c r="U9" i="1" s="1"/>
  <c r="K10" i="1"/>
  <c r="L10" i="1" s="1"/>
  <c r="U10" i="1" s="1"/>
  <c r="K11" i="1"/>
  <c r="L11" i="1" s="1"/>
  <c r="U11" i="1" s="1"/>
  <c r="K12" i="1"/>
  <c r="L12" i="1" s="1"/>
  <c r="K13" i="1"/>
  <c r="L13" i="1" s="1"/>
  <c r="K14" i="1"/>
  <c r="L14" i="1" s="1"/>
  <c r="Q6" i="1" s="1"/>
  <c r="K15" i="1"/>
  <c r="L15" i="1" s="1"/>
  <c r="U13" i="1" s="1"/>
  <c r="K16" i="1"/>
  <c r="L16" i="1" s="1"/>
  <c r="K17" i="1"/>
  <c r="L17" i="1" s="1"/>
  <c r="U14" i="1" s="1"/>
  <c r="K18" i="1"/>
  <c r="L18" i="1" s="1"/>
  <c r="K19" i="1"/>
  <c r="L19" i="1" s="1"/>
  <c r="K20" i="1"/>
  <c r="L20" i="1" s="1"/>
  <c r="K21" i="1"/>
  <c r="L21" i="1" s="1"/>
  <c r="K22" i="1"/>
  <c r="L22" i="1" s="1"/>
  <c r="U17" i="1" s="1"/>
  <c r="K23" i="1"/>
  <c r="L23" i="1" s="1"/>
  <c r="Q2" i="1" s="1"/>
  <c r="K24" i="1"/>
  <c r="L24" i="1" s="1"/>
  <c r="U18" i="1" s="1"/>
  <c r="K25" i="1"/>
  <c r="L25" i="1" s="1"/>
  <c r="K26" i="1"/>
  <c r="L26" i="1" s="1"/>
  <c r="U19" i="1" s="1"/>
  <c r="K27" i="1"/>
  <c r="L27" i="1" s="1"/>
  <c r="K28" i="1"/>
  <c r="L28" i="1" s="1"/>
  <c r="K29" i="1"/>
  <c r="L29" i="1" s="1"/>
  <c r="U20" i="1" s="1"/>
  <c r="K30" i="1"/>
  <c r="L30" i="1" s="1"/>
  <c r="K31" i="1"/>
  <c r="L31" i="1" s="1"/>
  <c r="K32" i="1"/>
  <c r="L32" i="1" s="1"/>
  <c r="U21" i="1" s="1"/>
  <c r="K33" i="1"/>
  <c r="L33" i="1" s="1"/>
  <c r="U22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U25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U15" i="1" s="1"/>
  <c r="K88" i="1"/>
  <c r="L88" i="1" s="1"/>
  <c r="K89" i="1"/>
  <c r="L89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L99" i="1" s="1"/>
  <c r="K100" i="1"/>
  <c r="L100" i="1" s="1"/>
  <c r="K101" i="1"/>
  <c r="L101" i="1" s="1"/>
  <c r="K102" i="1"/>
  <c r="L102" i="1" s="1"/>
  <c r="K103" i="1"/>
  <c r="L103" i="1" s="1"/>
  <c r="U23" i="1" s="1"/>
  <c r="K104" i="1"/>
  <c r="L104" i="1" s="1"/>
  <c r="K105" i="1"/>
  <c r="L105" i="1" s="1"/>
  <c r="K106" i="1"/>
  <c r="L106" i="1" s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13" i="1"/>
  <c r="L113" i="1" s="1"/>
  <c r="K114" i="1"/>
  <c r="L114" i="1" s="1"/>
  <c r="K115" i="1"/>
  <c r="L115" i="1" s="1"/>
  <c r="K116" i="1"/>
  <c r="L116" i="1" s="1"/>
  <c r="K117" i="1"/>
  <c r="L117" i="1" s="1"/>
  <c r="K118" i="1"/>
  <c r="L118" i="1" s="1"/>
  <c r="K119" i="1"/>
  <c r="L119" i="1" s="1"/>
  <c r="K120" i="1"/>
  <c r="L120" i="1" s="1"/>
  <c r="K121" i="1"/>
  <c r="L121" i="1" s="1"/>
  <c r="K122" i="1"/>
  <c r="L122" i="1" s="1"/>
  <c r="K123" i="1"/>
  <c r="L123" i="1" s="1"/>
  <c r="K124" i="1"/>
  <c r="L124" i="1" s="1"/>
  <c r="K125" i="1"/>
  <c r="L125" i="1" s="1"/>
  <c r="K126" i="1"/>
  <c r="L126" i="1" s="1"/>
  <c r="K127" i="1"/>
  <c r="L127" i="1" s="1"/>
  <c r="K128" i="1"/>
  <c r="L128" i="1" s="1"/>
  <c r="K129" i="1"/>
  <c r="L129" i="1" s="1"/>
  <c r="K130" i="1"/>
  <c r="L130" i="1" s="1"/>
  <c r="K131" i="1"/>
  <c r="L131" i="1" s="1"/>
  <c r="K132" i="1"/>
  <c r="L132" i="1" s="1"/>
  <c r="K133" i="1"/>
  <c r="L133" i="1" s="1"/>
  <c r="K134" i="1"/>
  <c r="L134" i="1" s="1"/>
  <c r="K135" i="1"/>
  <c r="L135" i="1" s="1"/>
  <c r="U16" i="1" s="1"/>
  <c r="K136" i="1"/>
  <c r="L136" i="1" s="1"/>
  <c r="K137" i="1"/>
  <c r="L137" i="1" s="1"/>
  <c r="K138" i="1"/>
  <c r="L138" i="1" s="1"/>
  <c r="K139" i="1"/>
  <c r="L139" i="1" s="1"/>
  <c r="K140" i="1"/>
  <c r="L140" i="1" s="1"/>
  <c r="K141" i="1"/>
  <c r="L141" i="1" s="1"/>
  <c r="K142" i="1"/>
  <c r="L142" i="1" s="1"/>
  <c r="K143" i="1"/>
  <c r="L143" i="1" s="1"/>
  <c r="K144" i="1"/>
  <c r="L144" i="1" s="1"/>
  <c r="K145" i="1"/>
  <c r="L145" i="1" s="1"/>
  <c r="K146" i="1"/>
  <c r="L146" i="1" s="1"/>
  <c r="K147" i="1"/>
  <c r="L147" i="1" s="1"/>
  <c r="K148" i="1"/>
  <c r="L148" i="1" s="1"/>
  <c r="K149" i="1"/>
  <c r="L149" i="1" s="1"/>
  <c r="K150" i="1"/>
  <c r="L150" i="1" s="1"/>
  <c r="K151" i="1"/>
  <c r="L151" i="1" s="1"/>
  <c r="K152" i="1"/>
  <c r="L152" i="1" s="1"/>
  <c r="K153" i="1"/>
  <c r="L153" i="1" s="1"/>
  <c r="K154" i="1"/>
  <c r="L154" i="1" s="1"/>
  <c r="K155" i="1"/>
  <c r="L155" i="1" s="1"/>
  <c r="K156" i="1"/>
  <c r="L156" i="1" s="1"/>
  <c r="K157" i="1"/>
  <c r="L157" i="1" s="1"/>
  <c r="K158" i="1"/>
  <c r="L158" i="1" s="1"/>
  <c r="K159" i="1"/>
  <c r="L159" i="1" s="1"/>
  <c r="K160" i="1"/>
  <c r="L160" i="1" s="1"/>
  <c r="K161" i="1"/>
  <c r="L161" i="1" s="1"/>
  <c r="K162" i="1"/>
  <c r="L162" i="1" s="1"/>
  <c r="K163" i="1"/>
  <c r="L163" i="1" s="1"/>
  <c r="K164" i="1"/>
  <c r="L164" i="1" s="1"/>
  <c r="K165" i="1"/>
  <c r="L165" i="1" s="1"/>
  <c r="K166" i="1"/>
  <c r="L166" i="1" s="1"/>
  <c r="K167" i="1"/>
  <c r="L167" i="1" s="1"/>
  <c r="K168" i="1"/>
  <c r="L168" i="1" s="1"/>
  <c r="K169" i="1"/>
  <c r="L169" i="1" s="1"/>
  <c r="K170" i="1"/>
  <c r="L170" i="1" s="1"/>
  <c r="K171" i="1"/>
  <c r="L171" i="1" s="1"/>
  <c r="K172" i="1"/>
  <c r="L172" i="1" s="1"/>
  <c r="K173" i="1"/>
  <c r="L173" i="1" s="1"/>
  <c r="K174" i="1"/>
  <c r="L174" i="1" s="1"/>
  <c r="K175" i="1"/>
  <c r="L175" i="1" s="1"/>
  <c r="K176" i="1"/>
  <c r="L176" i="1" s="1"/>
  <c r="K177" i="1"/>
  <c r="L177" i="1" s="1"/>
  <c r="K178" i="1"/>
  <c r="L178" i="1" s="1"/>
  <c r="K179" i="1"/>
  <c r="L179" i="1" s="1"/>
  <c r="K180" i="1"/>
  <c r="L180" i="1" s="1"/>
  <c r="K181" i="1"/>
  <c r="L181" i="1" s="1"/>
  <c r="K182" i="1"/>
  <c r="L182" i="1" s="1"/>
  <c r="K183" i="1"/>
  <c r="L183" i="1" s="1"/>
  <c r="K184" i="1"/>
  <c r="L184" i="1" s="1"/>
  <c r="K185" i="1"/>
  <c r="L185" i="1" s="1"/>
  <c r="K186" i="1"/>
  <c r="L186" i="1" s="1"/>
  <c r="K187" i="1"/>
  <c r="L187" i="1" s="1"/>
  <c r="K188" i="1"/>
  <c r="L188" i="1" s="1"/>
  <c r="K189" i="1"/>
  <c r="L189" i="1" s="1"/>
  <c r="K190" i="1"/>
  <c r="L190" i="1" s="1"/>
  <c r="K191" i="1"/>
  <c r="L191" i="1" s="1"/>
  <c r="K192" i="1"/>
  <c r="L192" i="1" s="1"/>
  <c r="K193" i="1"/>
  <c r="L193" i="1" s="1"/>
  <c r="K194" i="1"/>
  <c r="L194" i="1" s="1"/>
  <c r="K195" i="1"/>
  <c r="L195" i="1" s="1"/>
  <c r="K196" i="1"/>
  <c r="L196" i="1" s="1"/>
  <c r="K197" i="1"/>
  <c r="L197" i="1" s="1"/>
  <c r="K198" i="1"/>
  <c r="L198" i="1" s="1"/>
  <c r="K199" i="1"/>
  <c r="L199" i="1" s="1"/>
  <c r="K200" i="1"/>
  <c r="L200" i="1" s="1"/>
  <c r="K201" i="1"/>
  <c r="L201" i="1" s="1"/>
  <c r="K202" i="1"/>
  <c r="L202" i="1" s="1"/>
  <c r="K203" i="1"/>
  <c r="L203" i="1" s="1"/>
  <c r="K204" i="1"/>
  <c r="L204" i="1" s="1"/>
  <c r="K205" i="1"/>
  <c r="L205" i="1" s="1"/>
  <c r="K206" i="1"/>
  <c r="L206" i="1" s="1"/>
  <c r="K207" i="1"/>
  <c r="L207" i="1" s="1"/>
  <c r="K208" i="1"/>
  <c r="L208" i="1" s="1"/>
  <c r="K209" i="1"/>
  <c r="L209" i="1" s="1"/>
  <c r="K210" i="1"/>
  <c r="L210" i="1" s="1"/>
  <c r="K211" i="1"/>
  <c r="L211" i="1" s="1"/>
  <c r="K212" i="1"/>
  <c r="L212" i="1" s="1"/>
  <c r="K213" i="1"/>
  <c r="L213" i="1" s="1"/>
  <c r="K214" i="1"/>
  <c r="L214" i="1" s="1"/>
  <c r="K215" i="1"/>
  <c r="L215" i="1" s="1"/>
  <c r="K216" i="1"/>
  <c r="L216" i="1" s="1"/>
  <c r="K217" i="1"/>
  <c r="L217" i="1" s="1"/>
  <c r="K218" i="1"/>
  <c r="L218" i="1" s="1"/>
  <c r="K219" i="1"/>
  <c r="L219" i="1" s="1"/>
  <c r="K220" i="1"/>
  <c r="L220" i="1" s="1"/>
  <c r="K221" i="1"/>
  <c r="L221" i="1" s="1"/>
  <c r="K222" i="1"/>
  <c r="L222" i="1" s="1"/>
  <c r="K223" i="1"/>
  <c r="L223" i="1" s="1"/>
  <c r="K224" i="1"/>
  <c r="L224" i="1" s="1"/>
  <c r="K225" i="1"/>
  <c r="L225" i="1" s="1"/>
  <c r="K226" i="1"/>
  <c r="L226" i="1" s="1"/>
  <c r="K227" i="1"/>
  <c r="L227" i="1" s="1"/>
  <c r="K228" i="1"/>
  <c r="L228" i="1" s="1"/>
  <c r="K229" i="1"/>
  <c r="L229" i="1" s="1"/>
  <c r="K230" i="1"/>
  <c r="L230" i="1" s="1"/>
  <c r="K231" i="1"/>
  <c r="L231" i="1" s="1"/>
  <c r="U24" i="1" s="1"/>
  <c r="K232" i="1"/>
  <c r="L232" i="1" s="1"/>
  <c r="K233" i="1"/>
  <c r="L233" i="1" s="1"/>
  <c r="K234" i="1"/>
  <c r="L234" i="1" s="1"/>
  <c r="K235" i="1"/>
  <c r="L235" i="1" s="1"/>
  <c r="K236" i="1"/>
  <c r="L236" i="1" s="1"/>
  <c r="K237" i="1"/>
  <c r="L237" i="1" s="1"/>
  <c r="K238" i="1"/>
  <c r="L238" i="1" s="1"/>
  <c r="K239" i="1"/>
  <c r="L239" i="1" s="1"/>
  <c r="K240" i="1"/>
  <c r="L240" i="1" s="1"/>
  <c r="K241" i="1"/>
  <c r="L241" i="1" s="1"/>
  <c r="K242" i="1"/>
  <c r="L242" i="1" s="1"/>
  <c r="K243" i="1"/>
  <c r="L243" i="1" s="1"/>
  <c r="K244" i="1"/>
  <c r="L244" i="1" s="1"/>
  <c r="K245" i="1"/>
  <c r="L245" i="1" s="1"/>
  <c r="K246" i="1"/>
  <c r="L246" i="1" s="1"/>
  <c r="K247" i="1"/>
  <c r="L247" i="1" s="1"/>
  <c r="K248" i="1"/>
  <c r="L248" i="1" s="1"/>
  <c r="K249" i="1"/>
  <c r="L249" i="1" s="1"/>
  <c r="K250" i="1"/>
  <c r="L250" i="1" s="1"/>
  <c r="K251" i="1"/>
  <c r="L251" i="1" s="1"/>
  <c r="K252" i="1"/>
  <c r="L252" i="1" s="1"/>
  <c r="K253" i="1"/>
  <c r="L253" i="1" s="1"/>
  <c r="K254" i="1"/>
  <c r="L254" i="1" s="1"/>
  <c r="K255" i="1"/>
  <c r="L255" i="1" s="1"/>
  <c r="K256" i="1"/>
  <c r="L256" i="1" s="1"/>
  <c r="K257" i="1"/>
  <c r="L257" i="1" s="1"/>
  <c r="K258" i="1"/>
  <c r="L258" i="1" s="1"/>
  <c r="K259" i="1"/>
  <c r="L259" i="1" s="1"/>
  <c r="K260" i="1"/>
  <c r="L260" i="1" s="1"/>
  <c r="K261" i="1"/>
  <c r="L261" i="1" s="1"/>
  <c r="K262" i="1"/>
  <c r="L262" i="1" s="1"/>
  <c r="K263" i="1"/>
  <c r="L263" i="1" s="1"/>
  <c r="K264" i="1"/>
  <c r="L264" i="1" s="1"/>
  <c r="K265" i="1"/>
  <c r="L265" i="1" s="1"/>
  <c r="K266" i="1"/>
  <c r="L266" i="1" s="1"/>
  <c r="K267" i="1"/>
  <c r="L267" i="1" s="1"/>
  <c r="K268" i="1"/>
  <c r="L268" i="1" s="1"/>
  <c r="K269" i="1"/>
  <c r="L269" i="1" s="1"/>
  <c r="K270" i="1"/>
  <c r="L270" i="1" s="1"/>
  <c r="K271" i="1"/>
  <c r="L271" i="1" s="1"/>
  <c r="K272" i="1"/>
  <c r="L272" i="1" s="1"/>
  <c r="K273" i="1"/>
  <c r="L273" i="1" s="1"/>
  <c r="K274" i="1"/>
  <c r="L274" i="1" s="1"/>
  <c r="K275" i="1"/>
  <c r="L275" i="1" s="1"/>
  <c r="K276" i="1"/>
  <c r="L276" i="1" s="1"/>
  <c r="K277" i="1"/>
  <c r="L277" i="1" s="1"/>
  <c r="K278" i="1"/>
  <c r="L278" i="1" s="1"/>
  <c r="K279" i="1"/>
  <c r="L279" i="1" s="1"/>
  <c r="K280" i="1"/>
  <c r="L280" i="1" s="1"/>
  <c r="K281" i="1"/>
  <c r="L281" i="1" s="1"/>
  <c r="K282" i="1"/>
  <c r="L282" i="1" s="1"/>
  <c r="K283" i="1"/>
  <c r="L283" i="1" s="1"/>
  <c r="K284" i="1"/>
  <c r="L284" i="1" s="1"/>
  <c r="K285" i="1"/>
  <c r="L285" i="1" s="1"/>
  <c r="K286" i="1"/>
  <c r="L286" i="1" s="1"/>
  <c r="K287" i="1"/>
  <c r="L287" i="1" s="1"/>
  <c r="K288" i="1"/>
  <c r="L288" i="1" s="1"/>
  <c r="K289" i="1"/>
  <c r="L289" i="1" s="1"/>
  <c r="K290" i="1"/>
  <c r="L290" i="1" s="1"/>
  <c r="K291" i="1"/>
  <c r="L291" i="1" s="1"/>
  <c r="K292" i="1"/>
  <c r="L292" i="1" s="1"/>
  <c r="K293" i="1"/>
  <c r="L293" i="1" s="1"/>
  <c r="K294" i="1"/>
  <c r="L294" i="1" s="1"/>
  <c r="K295" i="1"/>
  <c r="L295" i="1" s="1"/>
  <c r="K296" i="1"/>
  <c r="L296" i="1" s="1"/>
  <c r="K297" i="1"/>
  <c r="L297" i="1" s="1"/>
  <c r="K298" i="1"/>
  <c r="L298" i="1" s="1"/>
  <c r="K299" i="1"/>
  <c r="L299" i="1" s="1"/>
  <c r="K300" i="1"/>
  <c r="L300" i="1" s="1"/>
  <c r="K301" i="1"/>
  <c r="L301" i="1" s="1"/>
  <c r="K302" i="1"/>
  <c r="L302" i="1" s="1"/>
  <c r="K303" i="1"/>
  <c r="L303" i="1" s="1"/>
  <c r="K304" i="1"/>
  <c r="L304" i="1" s="1"/>
  <c r="K305" i="1"/>
  <c r="L305" i="1" s="1"/>
  <c r="K306" i="1"/>
  <c r="L306" i="1" s="1"/>
  <c r="K307" i="1"/>
  <c r="L307" i="1" s="1"/>
  <c r="K308" i="1"/>
  <c r="L308" i="1" s="1"/>
  <c r="K309" i="1"/>
  <c r="L309" i="1" s="1"/>
  <c r="K310" i="1"/>
  <c r="L310" i="1" s="1"/>
  <c r="K311" i="1"/>
  <c r="L311" i="1" s="1"/>
  <c r="K312" i="1"/>
  <c r="L312" i="1" s="1"/>
  <c r="K313" i="1"/>
  <c r="L313" i="1" s="1"/>
  <c r="K314" i="1"/>
  <c r="L314" i="1" s="1"/>
  <c r="K315" i="1"/>
  <c r="L315" i="1" s="1"/>
  <c r="K316" i="1"/>
  <c r="L316" i="1" s="1"/>
  <c r="K317" i="1"/>
  <c r="L317" i="1" s="1"/>
  <c r="K318" i="1"/>
  <c r="L318" i="1" s="1"/>
  <c r="K319" i="1"/>
  <c r="L319" i="1" s="1"/>
  <c r="K320" i="1"/>
  <c r="L320" i="1" s="1"/>
  <c r="K321" i="1"/>
  <c r="L321" i="1" s="1"/>
  <c r="K322" i="1"/>
  <c r="L322" i="1" s="1"/>
  <c r="K323" i="1"/>
  <c r="L323" i="1" s="1"/>
  <c r="K324" i="1"/>
  <c r="L324" i="1" s="1"/>
  <c r="K325" i="1"/>
  <c r="L325" i="1" s="1"/>
  <c r="K326" i="1"/>
  <c r="L326" i="1" s="1"/>
  <c r="K327" i="1"/>
  <c r="L327" i="1" s="1"/>
  <c r="K328" i="1"/>
  <c r="L328" i="1" s="1"/>
  <c r="K329" i="1"/>
  <c r="L329" i="1" s="1"/>
  <c r="K330" i="1"/>
  <c r="L330" i="1" s="1"/>
  <c r="K331" i="1"/>
  <c r="L331" i="1" s="1"/>
  <c r="K332" i="1"/>
  <c r="L332" i="1" s="1"/>
  <c r="K333" i="1"/>
  <c r="L333" i="1" s="1"/>
  <c r="K334" i="1"/>
  <c r="L334" i="1" s="1"/>
  <c r="K335" i="1"/>
  <c r="L335" i="1" s="1"/>
  <c r="K336" i="1"/>
  <c r="L336" i="1" s="1"/>
  <c r="K337" i="1"/>
  <c r="L337" i="1" s="1"/>
  <c r="K338" i="1"/>
  <c r="L338" i="1" s="1"/>
  <c r="K339" i="1"/>
  <c r="L339" i="1" s="1"/>
  <c r="K340" i="1"/>
  <c r="L340" i="1" s="1"/>
  <c r="K341" i="1"/>
  <c r="L341" i="1" s="1"/>
  <c r="K342" i="1"/>
  <c r="L342" i="1" s="1"/>
  <c r="K343" i="1"/>
  <c r="L343" i="1" s="1"/>
  <c r="K344" i="1"/>
  <c r="L344" i="1" s="1"/>
  <c r="K345" i="1"/>
  <c r="L345" i="1" s="1"/>
  <c r="K346" i="1"/>
  <c r="L346" i="1" s="1"/>
  <c r="K347" i="1"/>
  <c r="L347" i="1" s="1"/>
  <c r="K348" i="1"/>
  <c r="L348" i="1" s="1"/>
  <c r="K349" i="1"/>
  <c r="L349" i="1" s="1"/>
  <c r="K350" i="1"/>
  <c r="L350" i="1" s="1"/>
  <c r="K351" i="1"/>
  <c r="L351" i="1" s="1"/>
  <c r="K352" i="1"/>
  <c r="L352" i="1" s="1"/>
  <c r="K353" i="1"/>
  <c r="L353" i="1" s="1"/>
  <c r="K354" i="1"/>
  <c r="L354" i="1" s="1"/>
  <c r="K355" i="1"/>
  <c r="L355" i="1" s="1"/>
  <c r="K356" i="1"/>
  <c r="L356" i="1" s="1"/>
  <c r="K357" i="1"/>
  <c r="L357" i="1" s="1"/>
  <c r="K358" i="1"/>
  <c r="L358" i="1" s="1"/>
  <c r="K359" i="1"/>
  <c r="L359" i="1" s="1"/>
  <c r="K360" i="1"/>
  <c r="L360" i="1" s="1"/>
  <c r="K361" i="1"/>
  <c r="L361" i="1" s="1"/>
  <c r="K362" i="1"/>
  <c r="L362" i="1" s="1"/>
  <c r="K363" i="1"/>
  <c r="L363" i="1" s="1"/>
  <c r="K364" i="1"/>
  <c r="L364" i="1" s="1"/>
  <c r="K365" i="1"/>
  <c r="L365" i="1" s="1"/>
  <c r="K366" i="1"/>
  <c r="L366" i="1" s="1"/>
  <c r="K367" i="1"/>
  <c r="L367" i="1" s="1"/>
  <c r="K368" i="1"/>
  <c r="L368" i="1" s="1"/>
  <c r="K369" i="1"/>
  <c r="L369" i="1" s="1"/>
  <c r="K370" i="1"/>
  <c r="L370" i="1" s="1"/>
  <c r="K371" i="1"/>
  <c r="L371" i="1" s="1"/>
  <c r="K372" i="1"/>
  <c r="L372" i="1" s="1"/>
  <c r="K373" i="1"/>
  <c r="L373" i="1" s="1"/>
  <c r="K374" i="1"/>
  <c r="L374" i="1" s="1"/>
  <c r="K375" i="1"/>
  <c r="L375" i="1" s="1"/>
  <c r="K376" i="1"/>
  <c r="L376" i="1" s="1"/>
  <c r="K377" i="1"/>
  <c r="L377" i="1" s="1"/>
  <c r="K378" i="1"/>
  <c r="L378" i="1" s="1"/>
  <c r="K379" i="1"/>
  <c r="L379" i="1" s="1"/>
  <c r="K380" i="1"/>
  <c r="L380" i="1" s="1"/>
  <c r="K381" i="1"/>
  <c r="L381" i="1" s="1"/>
  <c r="K382" i="1"/>
  <c r="L382" i="1" s="1"/>
  <c r="K383" i="1"/>
  <c r="L383" i="1" s="1"/>
  <c r="K384" i="1"/>
  <c r="L384" i="1" s="1"/>
  <c r="K385" i="1"/>
  <c r="L385" i="1" s="1"/>
  <c r="K386" i="1"/>
  <c r="L386" i="1" s="1"/>
  <c r="K387" i="1"/>
  <c r="L387" i="1" s="1"/>
  <c r="K388" i="1"/>
  <c r="L388" i="1" s="1"/>
  <c r="K389" i="1"/>
  <c r="L389" i="1" s="1"/>
  <c r="K390" i="1"/>
  <c r="L390" i="1" s="1"/>
  <c r="K391" i="1"/>
  <c r="L391" i="1" s="1"/>
  <c r="K392" i="1"/>
  <c r="L392" i="1" s="1"/>
  <c r="K393" i="1"/>
  <c r="L393" i="1" s="1"/>
  <c r="K394" i="1"/>
  <c r="L394" i="1" s="1"/>
  <c r="K395" i="1"/>
  <c r="L395" i="1" s="1"/>
  <c r="K396" i="1"/>
  <c r="L396" i="1" s="1"/>
  <c r="K397" i="1"/>
  <c r="L397" i="1" s="1"/>
  <c r="K398" i="1"/>
  <c r="L398" i="1" s="1"/>
  <c r="K399" i="1"/>
  <c r="L399" i="1" s="1"/>
  <c r="K400" i="1"/>
  <c r="L400" i="1" s="1"/>
  <c r="K401" i="1"/>
  <c r="L401" i="1" s="1"/>
  <c r="K402" i="1"/>
  <c r="L402" i="1" s="1"/>
  <c r="K403" i="1"/>
  <c r="L403" i="1" s="1"/>
  <c r="K404" i="1"/>
  <c r="L404" i="1" s="1"/>
  <c r="K405" i="1"/>
  <c r="L405" i="1" s="1"/>
  <c r="K406" i="1"/>
  <c r="L406" i="1" s="1"/>
  <c r="K407" i="1"/>
  <c r="L407" i="1" s="1"/>
  <c r="K408" i="1"/>
  <c r="L408" i="1" s="1"/>
  <c r="K409" i="1"/>
  <c r="L409" i="1" s="1"/>
  <c r="K410" i="1"/>
  <c r="L410" i="1" s="1"/>
  <c r="K411" i="1"/>
  <c r="L411" i="1" s="1"/>
  <c r="K412" i="1"/>
  <c r="L412" i="1" s="1"/>
  <c r="K413" i="1"/>
  <c r="L413" i="1" s="1"/>
  <c r="K414" i="1"/>
  <c r="L414" i="1" s="1"/>
  <c r="K415" i="1"/>
  <c r="L415" i="1" s="1"/>
  <c r="K416" i="1"/>
  <c r="L416" i="1" s="1"/>
  <c r="K417" i="1"/>
  <c r="L417" i="1" s="1"/>
  <c r="K418" i="1"/>
  <c r="L418" i="1" s="1"/>
  <c r="K419" i="1"/>
  <c r="L419" i="1" s="1"/>
  <c r="K420" i="1"/>
  <c r="L420" i="1" s="1"/>
  <c r="K421" i="1"/>
  <c r="L421" i="1" s="1"/>
  <c r="K422" i="1"/>
  <c r="L422" i="1" s="1"/>
  <c r="K423" i="1"/>
  <c r="L423" i="1" s="1"/>
  <c r="K424" i="1"/>
  <c r="L424" i="1" s="1"/>
  <c r="K425" i="1"/>
  <c r="L425" i="1" s="1"/>
  <c r="K426" i="1"/>
  <c r="L426" i="1" s="1"/>
  <c r="K427" i="1"/>
  <c r="L427" i="1" s="1"/>
  <c r="K428" i="1"/>
  <c r="L428" i="1" s="1"/>
  <c r="K429" i="1"/>
  <c r="L429" i="1" s="1"/>
  <c r="K430" i="1"/>
  <c r="L430" i="1" s="1"/>
  <c r="K431" i="1"/>
  <c r="L431" i="1" s="1"/>
  <c r="K432" i="1"/>
  <c r="L432" i="1" s="1"/>
  <c r="K433" i="1"/>
  <c r="L433" i="1" s="1"/>
  <c r="K434" i="1"/>
  <c r="L434" i="1" s="1"/>
  <c r="K435" i="1"/>
  <c r="L435" i="1" s="1"/>
  <c r="K436" i="1"/>
  <c r="L436" i="1" s="1"/>
  <c r="K437" i="1"/>
  <c r="L437" i="1" s="1"/>
  <c r="K438" i="1"/>
  <c r="L438" i="1" s="1"/>
  <c r="K439" i="1"/>
  <c r="L439" i="1" s="1"/>
  <c r="K440" i="1"/>
  <c r="L440" i="1" s="1"/>
  <c r="K441" i="1"/>
  <c r="L441" i="1" s="1"/>
  <c r="K442" i="1"/>
  <c r="L442" i="1" s="1"/>
  <c r="K443" i="1"/>
  <c r="L443" i="1" s="1"/>
  <c r="K444" i="1"/>
  <c r="L444" i="1" s="1"/>
  <c r="K445" i="1"/>
  <c r="L445" i="1" s="1"/>
  <c r="K446" i="1"/>
  <c r="L446" i="1" s="1"/>
  <c r="K447" i="1"/>
  <c r="L447" i="1" s="1"/>
  <c r="K448" i="1"/>
  <c r="L448" i="1" s="1"/>
  <c r="K449" i="1"/>
  <c r="L449" i="1" s="1"/>
  <c r="K450" i="1"/>
  <c r="L450" i="1" s="1"/>
  <c r="K451" i="1"/>
  <c r="L451" i="1" s="1"/>
  <c r="K452" i="1"/>
  <c r="L452" i="1" s="1"/>
  <c r="K453" i="1"/>
  <c r="L453" i="1" s="1"/>
  <c r="K454" i="1"/>
  <c r="L454" i="1" s="1"/>
  <c r="K455" i="1"/>
  <c r="L455" i="1" s="1"/>
  <c r="K456" i="1"/>
  <c r="L456" i="1" s="1"/>
  <c r="K457" i="1"/>
  <c r="L457" i="1" s="1"/>
  <c r="K458" i="1"/>
  <c r="L458" i="1" s="1"/>
  <c r="K459" i="1"/>
  <c r="L459" i="1" s="1"/>
  <c r="K460" i="1"/>
  <c r="L460" i="1" s="1"/>
  <c r="K461" i="1"/>
  <c r="L461" i="1" s="1"/>
  <c r="K462" i="1"/>
  <c r="L462" i="1" s="1"/>
  <c r="K463" i="1"/>
  <c r="L463" i="1" s="1"/>
  <c r="K464" i="1"/>
  <c r="L464" i="1" s="1"/>
  <c r="K465" i="1"/>
  <c r="L465" i="1" s="1"/>
  <c r="K466" i="1"/>
  <c r="L466" i="1" s="1"/>
  <c r="K467" i="1"/>
  <c r="L467" i="1" s="1"/>
  <c r="K468" i="1"/>
  <c r="L468" i="1" s="1"/>
  <c r="K469" i="1"/>
  <c r="L469" i="1" s="1"/>
  <c r="K470" i="1"/>
  <c r="L470" i="1" s="1"/>
  <c r="K471" i="1"/>
  <c r="L471" i="1" s="1"/>
  <c r="K472" i="1"/>
  <c r="L472" i="1" s="1"/>
  <c r="K473" i="1"/>
  <c r="L473" i="1" s="1"/>
  <c r="K474" i="1"/>
  <c r="L474" i="1" s="1"/>
  <c r="K475" i="1"/>
  <c r="L475" i="1" s="1"/>
  <c r="K476" i="1"/>
  <c r="L476" i="1" s="1"/>
  <c r="K477" i="1"/>
  <c r="L477" i="1" s="1"/>
  <c r="K478" i="1"/>
  <c r="L478" i="1" s="1"/>
  <c r="K479" i="1"/>
  <c r="L479" i="1" s="1"/>
  <c r="K480" i="1"/>
  <c r="L480" i="1" s="1"/>
  <c r="K481" i="1"/>
  <c r="L481" i="1" s="1"/>
  <c r="K482" i="1"/>
  <c r="L482" i="1" s="1"/>
  <c r="K483" i="1"/>
  <c r="L483" i="1" s="1"/>
  <c r="K484" i="1"/>
  <c r="L484" i="1" s="1"/>
  <c r="K485" i="1"/>
  <c r="L485" i="1" s="1"/>
  <c r="K486" i="1"/>
  <c r="L486" i="1" s="1"/>
  <c r="K487" i="1"/>
  <c r="L487" i="1" s="1"/>
  <c r="K488" i="1"/>
  <c r="L488" i="1" s="1"/>
  <c r="K489" i="1"/>
  <c r="L489" i="1" s="1"/>
  <c r="K490" i="1"/>
  <c r="L490" i="1" s="1"/>
  <c r="K491" i="1"/>
  <c r="L491" i="1" s="1"/>
  <c r="K492" i="1"/>
  <c r="L492" i="1" s="1"/>
  <c r="K493" i="1"/>
  <c r="L493" i="1" s="1"/>
  <c r="K494" i="1"/>
  <c r="L494" i="1" s="1"/>
  <c r="K495" i="1"/>
  <c r="L495" i="1" s="1"/>
  <c r="K496" i="1"/>
  <c r="L496" i="1" s="1"/>
  <c r="K497" i="1"/>
  <c r="L497" i="1" s="1"/>
  <c r="K498" i="1"/>
  <c r="L498" i="1" s="1"/>
  <c r="K499" i="1"/>
  <c r="L499" i="1" s="1"/>
  <c r="K500" i="1"/>
  <c r="L500" i="1" s="1"/>
  <c r="K501" i="1"/>
  <c r="L501" i="1" s="1"/>
  <c r="K502" i="1"/>
  <c r="L502" i="1" s="1"/>
  <c r="K503" i="1"/>
  <c r="L503" i="1" s="1"/>
  <c r="K504" i="1"/>
  <c r="L504" i="1" s="1"/>
  <c r="K505" i="1"/>
  <c r="L505" i="1" s="1"/>
  <c r="K506" i="1"/>
  <c r="L506" i="1" s="1"/>
  <c r="K507" i="1"/>
  <c r="L507" i="1" s="1"/>
  <c r="K508" i="1"/>
  <c r="L508" i="1" s="1"/>
  <c r="K509" i="1"/>
  <c r="L509" i="1" s="1"/>
  <c r="K510" i="1"/>
  <c r="L510" i="1" s="1"/>
  <c r="K511" i="1"/>
  <c r="L511" i="1" s="1"/>
  <c r="K512" i="1"/>
  <c r="L512" i="1" s="1"/>
  <c r="K513" i="1"/>
  <c r="L513" i="1" s="1"/>
  <c r="K514" i="1"/>
  <c r="L514" i="1" s="1"/>
  <c r="K515" i="1"/>
  <c r="L515" i="1" s="1"/>
  <c r="K516" i="1"/>
  <c r="L516" i="1" s="1"/>
  <c r="K517" i="1"/>
  <c r="L517" i="1" s="1"/>
  <c r="K518" i="1"/>
  <c r="L518" i="1" s="1"/>
  <c r="K519" i="1"/>
  <c r="L519" i="1" s="1"/>
  <c r="K520" i="1"/>
  <c r="L520" i="1" s="1"/>
  <c r="K521" i="1"/>
  <c r="L521" i="1" s="1"/>
  <c r="K522" i="1"/>
  <c r="L522" i="1" s="1"/>
  <c r="K523" i="1"/>
  <c r="L523" i="1" s="1"/>
  <c r="K524" i="1"/>
  <c r="L524" i="1" s="1"/>
  <c r="K525" i="1"/>
  <c r="L525" i="1" s="1"/>
  <c r="K526" i="1"/>
  <c r="L526" i="1" s="1"/>
  <c r="K527" i="1"/>
  <c r="L527" i="1" s="1"/>
  <c r="K528" i="1"/>
  <c r="L528" i="1" s="1"/>
  <c r="K529" i="1"/>
  <c r="L529" i="1" s="1"/>
  <c r="K530" i="1"/>
  <c r="L530" i="1" s="1"/>
  <c r="K531" i="1"/>
  <c r="L531" i="1" s="1"/>
  <c r="K532" i="1"/>
  <c r="L532" i="1" s="1"/>
  <c r="K533" i="1"/>
  <c r="L533" i="1" s="1"/>
  <c r="K534" i="1"/>
  <c r="L534" i="1" s="1"/>
  <c r="K535" i="1"/>
  <c r="L535" i="1" s="1"/>
  <c r="K536" i="1"/>
  <c r="L536" i="1" s="1"/>
  <c r="K537" i="1"/>
  <c r="L537" i="1" s="1"/>
  <c r="K538" i="1"/>
  <c r="L538" i="1" s="1"/>
  <c r="K539" i="1"/>
  <c r="L539" i="1" s="1"/>
  <c r="K540" i="1"/>
  <c r="L540" i="1" s="1"/>
  <c r="K541" i="1"/>
  <c r="L541" i="1" s="1"/>
  <c r="K542" i="1"/>
  <c r="L542" i="1" s="1"/>
  <c r="K543" i="1"/>
  <c r="L543" i="1" s="1"/>
  <c r="K544" i="1"/>
  <c r="L544" i="1" s="1"/>
  <c r="K545" i="1"/>
  <c r="L545" i="1" s="1"/>
  <c r="K546" i="1"/>
  <c r="L546" i="1" s="1"/>
  <c r="K547" i="1"/>
  <c r="L547" i="1" s="1"/>
  <c r="K548" i="1"/>
  <c r="L548" i="1" s="1"/>
  <c r="K549" i="1"/>
  <c r="L549" i="1" s="1"/>
  <c r="K550" i="1"/>
  <c r="L550" i="1" s="1"/>
  <c r="K551" i="1"/>
  <c r="L551" i="1" s="1"/>
  <c r="K552" i="1"/>
  <c r="L552" i="1" s="1"/>
  <c r="K553" i="1"/>
  <c r="L553" i="1" s="1"/>
  <c r="K554" i="1"/>
  <c r="L554" i="1" s="1"/>
  <c r="K555" i="1"/>
  <c r="L555" i="1" s="1"/>
  <c r="K556" i="1"/>
  <c r="L556" i="1" s="1"/>
  <c r="K557" i="1"/>
  <c r="L557" i="1" s="1"/>
  <c r="K558" i="1"/>
  <c r="L558" i="1" s="1"/>
  <c r="K559" i="1"/>
  <c r="L559" i="1" s="1"/>
  <c r="K560" i="1"/>
  <c r="L560" i="1" s="1"/>
  <c r="K561" i="1"/>
  <c r="L561" i="1" s="1"/>
  <c r="K562" i="1"/>
  <c r="L562" i="1" s="1"/>
  <c r="K563" i="1"/>
  <c r="L563" i="1" s="1"/>
  <c r="K564" i="1"/>
  <c r="L564" i="1" s="1"/>
  <c r="K565" i="1"/>
  <c r="L565" i="1" s="1"/>
  <c r="K566" i="1"/>
  <c r="L566" i="1" s="1"/>
  <c r="K567" i="1"/>
  <c r="L567" i="1" s="1"/>
  <c r="K568" i="1"/>
  <c r="L568" i="1" s="1"/>
  <c r="K569" i="1"/>
  <c r="L569" i="1" s="1"/>
  <c r="K570" i="1"/>
  <c r="L570" i="1" s="1"/>
  <c r="K571" i="1"/>
  <c r="L571" i="1" s="1"/>
  <c r="K572" i="1"/>
  <c r="L572" i="1" s="1"/>
  <c r="K573" i="1"/>
  <c r="L573" i="1" s="1"/>
  <c r="K574" i="1"/>
  <c r="L574" i="1" s="1"/>
  <c r="K575" i="1"/>
  <c r="L575" i="1" s="1"/>
  <c r="K576" i="1"/>
  <c r="L576" i="1" s="1"/>
  <c r="K577" i="1"/>
  <c r="L577" i="1" s="1"/>
  <c r="K578" i="1"/>
  <c r="L578" i="1" s="1"/>
  <c r="K579" i="1"/>
  <c r="L579" i="1" s="1"/>
  <c r="K580" i="1"/>
  <c r="L580" i="1" s="1"/>
  <c r="K581" i="1"/>
  <c r="L581" i="1" s="1"/>
  <c r="K582" i="1"/>
  <c r="L582" i="1" s="1"/>
  <c r="K583" i="1"/>
  <c r="L583" i="1" s="1"/>
  <c r="K584" i="1"/>
  <c r="L584" i="1" s="1"/>
  <c r="K585" i="1"/>
  <c r="L585" i="1" s="1"/>
  <c r="K586" i="1"/>
  <c r="L586" i="1" s="1"/>
  <c r="K587" i="1"/>
  <c r="L587" i="1" s="1"/>
  <c r="K588" i="1"/>
  <c r="L588" i="1" s="1"/>
  <c r="K589" i="1"/>
  <c r="L589" i="1" s="1"/>
  <c r="K590" i="1"/>
  <c r="L590" i="1" s="1"/>
  <c r="K591" i="1"/>
  <c r="L591" i="1" s="1"/>
  <c r="K592" i="1"/>
  <c r="L592" i="1" s="1"/>
  <c r="K593" i="1"/>
  <c r="L593" i="1" s="1"/>
  <c r="K594" i="1"/>
  <c r="L594" i="1" s="1"/>
  <c r="K595" i="1"/>
  <c r="L595" i="1" s="1"/>
  <c r="K596" i="1"/>
  <c r="L596" i="1" s="1"/>
  <c r="K597" i="1"/>
  <c r="L597" i="1" s="1"/>
  <c r="K598" i="1"/>
  <c r="L598" i="1" s="1"/>
  <c r="K599" i="1"/>
  <c r="L599" i="1" s="1"/>
  <c r="K600" i="1"/>
  <c r="L600" i="1" s="1"/>
  <c r="K601" i="1"/>
  <c r="L601" i="1" s="1"/>
  <c r="K602" i="1"/>
  <c r="L602" i="1" s="1"/>
  <c r="K603" i="1"/>
  <c r="L603" i="1" s="1"/>
  <c r="K604" i="1"/>
  <c r="L604" i="1" s="1"/>
  <c r="K605" i="1"/>
  <c r="L605" i="1" s="1"/>
  <c r="K606" i="1"/>
  <c r="L606" i="1" s="1"/>
  <c r="K607" i="1"/>
  <c r="L607" i="1" s="1"/>
  <c r="K608" i="1"/>
  <c r="L608" i="1" s="1"/>
  <c r="K609" i="1"/>
  <c r="L609" i="1" s="1"/>
  <c r="K610" i="1"/>
  <c r="L610" i="1" s="1"/>
  <c r="K611" i="1"/>
  <c r="L611" i="1" s="1"/>
  <c r="K612" i="1"/>
  <c r="L612" i="1" s="1"/>
  <c r="K613" i="1"/>
  <c r="L613" i="1" s="1"/>
  <c r="K614" i="1"/>
  <c r="L614" i="1" s="1"/>
  <c r="K615" i="1"/>
  <c r="L615" i="1" s="1"/>
  <c r="K616" i="1"/>
  <c r="L616" i="1" s="1"/>
  <c r="K617" i="1"/>
  <c r="L617" i="1" s="1"/>
  <c r="K618" i="1"/>
  <c r="L618" i="1" s="1"/>
  <c r="K619" i="1"/>
  <c r="L619" i="1" s="1"/>
  <c r="K620" i="1"/>
  <c r="L620" i="1" s="1"/>
  <c r="K621" i="1"/>
  <c r="L621" i="1" s="1"/>
  <c r="K622" i="1"/>
  <c r="L622" i="1" s="1"/>
  <c r="K623" i="1"/>
  <c r="L623" i="1" s="1"/>
  <c r="K624" i="1"/>
  <c r="L624" i="1" s="1"/>
  <c r="K625" i="1"/>
  <c r="L625" i="1" s="1"/>
  <c r="K626" i="1"/>
  <c r="L626" i="1" s="1"/>
  <c r="K627" i="1"/>
  <c r="L627" i="1" s="1"/>
  <c r="K628" i="1"/>
  <c r="L628" i="1" s="1"/>
  <c r="K629" i="1"/>
  <c r="L629" i="1" s="1"/>
  <c r="K630" i="1"/>
  <c r="L630" i="1" s="1"/>
  <c r="K631" i="1"/>
  <c r="L631" i="1" s="1"/>
  <c r="K632" i="1"/>
  <c r="L632" i="1" s="1"/>
  <c r="K633" i="1"/>
  <c r="L633" i="1" s="1"/>
  <c r="K634" i="1"/>
  <c r="L634" i="1" s="1"/>
  <c r="K635" i="1"/>
  <c r="L635" i="1" s="1"/>
  <c r="K636" i="1"/>
  <c r="L636" i="1" s="1"/>
  <c r="K637" i="1"/>
  <c r="L637" i="1" s="1"/>
  <c r="K638" i="1"/>
  <c r="L638" i="1" s="1"/>
  <c r="K639" i="1"/>
  <c r="L639" i="1" s="1"/>
  <c r="K640" i="1"/>
  <c r="L640" i="1" s="1"/>
  <c r="K641" i="1"/>
  <c r="L641" i="1" s="1"/>
  <c r="K642" i="1"/>
  <c r="L642" i="1" s="1"/>
  <c r="K643" i="1"/>
  <c r="L643" i="1" s="1"/>
  <c r="K644" i="1"/>
  <c r="L644" i="1" s="1"/>
  <c r="K645" i="1"/>
  <c r="L645" i="1" s="1"/>
  <c r="K646" i="1"/>
  <c r="L646" i="1" s="1"/>
  <c r="K647" i="1"/>
  <c r="L647" i="1" s="1"/>
  <c r="K648" i="1"/>
  <c r="L648" i="1" s="1"/>
  <c r="K649" i="1"/>
  <c r="L649" i="1" s="1"/>
  <c r="K650" i="1"/>
  <c r="L650" i="1" s="1"/>
  <c r="K651" i="1"/>
  <c r="L651" i="1" s="1"/>
  <c r="K652" i="1"/>
  <c r="L652" i="1" s="1"/>
  <c r="K653" i="1"/>
  <c r="L653" i="1" s="1"/>
  <c r="K654" i="1"/>
  <c r="L654" i="1" s="1"/>
  <c r="K655" i="1"/>
  <c r="L655" i="1" s="1"/>
  <c r="K656" i="1"/>
  <c r="L656" i="1" s="1"/>
  <c r="K657" i="1"/>
  <c r="L657" i="1" s="1"/>
  <c r="K658" i="1"/>
  <c r="L658" i="1" s="1"/>
  <c r="K659" i="1"/>
  <c r="L659" i="1" s="1"/>
  <c r="K660" i="1"/>
  <c r="L660" i="1" s="1"/>
  <c r="K661" i="1"/>
  <c r="L661" i="1" s="1"/>
  <c r="K662" i="1"/>
  <c r="L662" i="1" s="1"/>
  <c r="K663" i="1"/>
  <c r="L663" i="1" s="1"/>
  <c r="K664" i="1"/>
  <c r="L664" i="1" s="1"/>
  <c r="K665" i="1"/>
  <c r="L665" i="1" s="1"/>
  <c r="K666" i="1"/>
  <c r="L666" i="1" s="1"/>
  <c r="K667" i="1"/>
  <c r="L667" i="1" s="1"/>
  <c r="K668" i="1"/>
  <c r="L668" i="1" s="1"/>
  <c r="K669" i="1"/>
  <c r="L669" i="1" s="1"/>
  <c r="K670" i="1"/>
  <c r="L670" i="1" s="1"/>
  <c r="K671" i="1"/>
  <c r="L671" i="1" s="1"/>
  <c r="K672" i="1"/>
  <c r="L672" i="1" s="1"/>
  <c r="K673" i="1"/>
  <c r="L673" i="1" s="1"/>
  <c r="K674" i="1"/>
  <c r="L674" i="1" s="1"/>
  <c r="K675" i="1"/>
  <c r="L675" i="1" s="1"/>
  <c r="K676" i="1"/>
  <c r="L676" i="1" s="1"/>
  <c r="K677" i="1"/>
  <c r="L677" i="1" s="1"/>
  <c r="K678" i="1"/>
  <c r="L678" i="1" s="1"/>
  <c r="K679" i="1"/>
  <c r="L679" i="1" s="1"/>
  <c r="K680" i="1"/>
  <c r="L680" i="1" s="1"/>
  <c r="K681" i="1"/>
  <c r="L681" i="1" s="1"/>
  <c r="K682" i="1"/>
  <c r="L682" i="1" s="1"/>
  <c r="K683" i="1"/>
  <c r="L683" i="1" s="1"/>
  <c r="K684" i="1"/>
  <c r="L684" i="1" s="1"/>
  <c r="K685" i="1"/>
  <c r="L685" i="1" s="1"/>
  <c r="K686" i="1"/>
  <c r="L686" i="1" s="1"/>
  <c r="K687" i="1"/>
  <c r="L687" i="1" s="1"/>
  <c r="K688" i="1"/>
  <c r="L688" i="1" s="1"/>
  <c r="K689" i="1"/>
  <c r="L689" i="1" s="1"/>
  <c r="K690" i="1"/>
  <c r="L690" i="1" s="1"/>
  <c r="K691" i="1"/>
  <c r="L691" i="1" s="1"/>
  <c r="K692" i="1"/>
  <c r="L692" i="1" s="1"/>
  <c r="K693" i="1"/>
  <c r="L693" i="1" s="1"/>
  <c r="K694" i="1"/>
  <c r="L694" i="1" s="1"/>
  <c r="K695" i="1"/>
  <c r="L695" i="1" s="1"/>
  <c r="K696" i="1"/>
  <c r="L696" i="1" s="1"/>
  <c r="K697" i="1"/>
  <c r="L697" i="1" s="1"/>
  <c r="K698" i="1"/>
  <c r="L698" i="1" s="1"/>
  <c r="K699" i="1"/>
  <c r="L699" i="1" s="1"/>
  <c r="K700" i="1"/>
  <c r="L700" i="1" s="1"/>
  <c r="K701" i="1"/>
  <c r="L701" i="1" s="1"/>
  <c r="K702" i="1"/>
  <c r="L702" i="1" s="1"/>
  <c r="K703" i="1"/>
  <c r="L703" i="1" s="1"/>
  <c r="K704" i="1"/>
  <c r="L704" i="1" s="1"/>
  <c r="K705" i="1"/>
  <c r="L705" i="1" s="1"/>
  <c r="K706" i="1"/>
  <c r="L706" i="1" s="1"/>
  <c r="K707" i="1"/>
  <c r="L707" i="1" s="1"/>
  <c r="K708" i="1"/>
  <c r="L708" i="1" s="1"/>
  <c r="K709" i="1"/>
  <c r="L709" i="1" s="1"/>
  <c r="K710" i="1"/>
  <c r="L710" i="1" s="1"/>
  <c r="K711" i="1"/>
  <c r="L711" i="1" s="1"/>
  <c r="K712" i="1"/>
  <c r="L712" i="1" s="1"/>
  <c r="K713" i="1"/>
  <c r="L713" i="1" s="1"/>
  <c r="K714" i="1"/>
  <c r="L714" i="1" s="1"/>
  <c r="K715" i="1"/>
  <c r="L715" i="1" s="1"/>
  <c r="K716" i="1"/>
  <c r="L716" i="1" s="1"/>
  <c r="K717" i="1"/>
  <c r="L717" i="1" s="1"/>
  <c r="K718" i="1"/>
  <c r="L718" i="1" s="1"/>
  <c r="K719" i="1"/>
  <c r="L719" i="1" s="1"/>
  <c r="K720" i="1"/>
  <c r="L720" i="1" s="1"/>
  <c r="K721" i="1"/>
  <c r="L721" i="1" s="1"/>
  <c r="K722" i="1"/>
  <c r="L722" i="1" s="1"/>
  <c r="K723" i="1"/>
  <c r="L723" i="1" s="1"/>
  <c r="K724" i="1"/>
  <c r="L724" i="1" s="1"/>
  <c r="K725" i="1"/>
  <c r="L725" i="1" s="1"/>
  <c r="K726" i="1"/>
  <c r="L726" i="1" s="1"/>
  <c r="K727" i="1"/>
  <c r="L727" i="1" s="1"/>
  <c r="K728" i="1"/>
  <c r="L728" i="1" s="1"/>
  <c r="K729" i="1"/>
  <c r="L729" i="1" s="1"/>
  <c r="K730" i="1"/>
  <c r="L730" i="1" s="1"/>
  <c r="K731" i="1"/>
  <c r="L731" i="1" s="1"/>
  <c r="K732" i="1"/>
  <c r="L732" i="1" s="1"/>
  <c r="K733" i="1"/>
  <c r="L733" i="1" s="1"/>
  <c r="K734" i="1"/>
  <c r="L734" i="1" s="1"/>
  <c r="K735" i="1"/>
  <c r="L735" i="1" s="1"/>
  <c r="K736" i="1"/>
  <c r="L736" i="1" s="1"/>
  <c r="K737" i="1"/>
  <c r="L737" i="1" s="1"/>
  <c r="K738" i="1"/>
  <c r="L738" i="1" s="1"/>
  <c r="K739" i="1"/>
  <c r="L739" i="1" s="1"/>
  <c r="K740" i="1"/>
  <c r="L740" i="1" s="1"/>
  <c r="K741" i="1"/>
  <c r="L741" i="1" s="1"/>
  <c r="K742" i="1"/>
  <c r="L742" i="1" s="1"/>
  <c r="K743" i="1"/>
  <c r="L743" i="1" s="1"/>
  <c r="K744" i="1"/>
  <c r="L744" i="1" s="1"/>
  <c r="K745" i="1"/>
  <c r="L745" i="1" s="1"/>
  <c r="K746" i="1"/>
  <c r="L746" i="1" s="1"/>
  <c r="K747" i="1"/>
  <c r="L747" i="1" s="1"/>
  <c r="K748" i="1"/>
  <c r="L748" i="1" s="1"/>
  <c r="K749" i="1"/>
  <c r="L749" i="1" s="1"/>
  <c r="K750" i="1"/>
  <c r="L750" i="1" s="1"/>
  <c r="K751" i="1"/>
  <c r="L751" i="1" s="1"/>
  <c r="K752" i="1"/>
  <c r="L752" i="1" s="1"/>
  <c r="K753" i="1"/>
  <c r="L753" i="1" s="1"/>
  <c r="K754" i="1"/>
  <c r="L754" i="1" s="1"/>
  <c r="K755" i="1"/>
  <c r="L755" i="1" s="1"/>
  <c r="K756" i="1"/>
  <c r="L756" i="1" s="1"/>
  <c r="K757" i="1"/>
  <c r="L757" i="1" s="1"/>
  <c r="K758" i="1"/>
  <c r="L758" i="1" s="1"/>
  <c r="K759" i="1"/>
  <c r="L759" i="1" s="1"/>
  <c r="K760" i="1"/>
  <c r="L760" i="1" s="1"/>
  <c r="K761" i="1"/>
  <c r="L761" i="1" s="1"/>
  <c r="K762" i="1"/>
  <c r="L762" i="1" s="1"/>
  <c r="K763" i="1"/>
  <c r="L763" i="1" s="1"/>
  <c r="K764" i="1"/>
  <c r="L764" i="1" s="1"/>
  <c r="K765" i="1"/>
  <c r="L765" i="1" s="1"/>
  <c r="K766" i="1"/>
  <c r="L766" i="1" s="1"/>
  <c r="K767" i="1"/>
  <c r="L767" i="1" s="1"/>
  <c r="K768" i="1"/>
  <c r="L768" i="1" s="1"/>
  <c r="K769" i="1"/>
  <c r="L769" i="1" s="1"/>
  <c r="K770" i="1"/>
  <c r="L770" i="1" s="1"/>
  <c r="K771" i="1"/>
  <c r="L771" i="1" s="1"/>
  <c r="K772" i="1"/>
  <c r="L772" i="1" s="1"/>
  <c r="K773" i="1"/>
  <c r="L773" i="1" s="1"/>
  <c r="K774" i="1"/>
  <c r="L774" i="1" s="1"/>
  <c r="K775" i="1"/>
  <c r="L775" i="1" s="1"/>
  <c r="K776" i="1"/>
  <c r="L776" i="1" s="1"/>
  <c r="K777" i="1"/>
  <c r="L777" i="1" s="1"/>
  <c r="K778" i="1"/>
  <c r="L778" i="1" s="1"/>
  <c r="K779" i="1"/>
  <c r="L779" i="1" s="1"/>
  <c r="K780" i="1"/>
  <c r="L780" i="1" s="1"/>
  <c r="K781" i="1"/>
  <c r="L781" i="1" s="1"/>
  <c r="K782" i="1"/>
  <c r="L782" i="1" s="1"/>
  <c r="K783" i="1"/>
  <c r="L783" i="1" s="1"/>
  <c r="K784" i="1"/>
  <c r="L784" i="1" s="1"/>
  <c r="K785" i="1"/>
  <c r="L785" i="1" s="1"/>
  <c r="K786" i="1"/>
  <c r="L786" i="1" s="1"/>
  <c r="K787" i="1"/>
  <c r="L787" i="1" s="1"/>
  <c r="K788" i="1"/>
  <c r="L788" i="1" s="1"/>
  <c r="K789" i="1"/>
  <c r="L789" i="1" s="1"/>
  <c r="K790" i="1"/>
  <c r="L790" i="1" s="1"/>
  <c r="K791" i="1"/>
  <c r="L791" i="1" s="1"/>
  <c r="K792" i="1"/>
  <c r="L792" i="1" s="1"/>
  <c r="K793" i="1"/>
  <c r="L793" i="1" s="1"/>
  <c r="K794" i="1"/>
  <c r="L794" i="1" s="1"/>
  <c r="K795" i="1"/>
  <c r="L795" i="1" s="1"/>
  <c r="K796" i="1"/>
  <c r="L796" i="1" s="1"/>
  <c r="K797" i="1"/>
  <c r="L797" i="1" s="1"/>
  <c r="K798" i="1"/>
  <c r="L798" i="1" s="1"/>
  <c r="K799" i="1"/>
  <c r="L799" i="1" s="1"/>
  <c r="K800" i="1"/>
  <c r="L800" i="1" s="1"/>
  <c r="K801" i="1"/>
  <c r="L801" i="1" s="1"/>
  <c r="K802" i="1"/>
  <c r="L802" i="1" s="1"/>
  <c r="K803" i="1"/>
  <c r="L803" i="1" s="1"/>
  <c r="K804" i="1"/>
  <c r="L804" i="1" s="1"/>
  <c r="K805" i="1"/>
  <c r="L805" i="1" s="1"/>
  <c r="K806" i="1"/>
  <c r="L806" i="1" s="1"/>
  <c r="K807" i="1"/>
  <c r="L807" i="1" s="1"/>
  <c r="K808" i="1"/>
  <c r="L808" i="1" s="1"/>
  <c r="K809" i="1"/>
  <c r="L809" i="1" s="1"/>
  <c r="K810" i="1"/>
  <c r="L810" i="1" s="1"/>
  <c r="K811" i="1"/>
  <c r="L811" i="1" s="1"/>
  <c r="K812" i="1"/>
  <c r="L812" i="1" s="1"/>
  <c r="K813" i="1"/>
  <c r="L813" i="1" s="1"/>
  <c r="K814" i="1"/>
  <c r="L814" i="1" s="1"/>
  <c r="K815" i="1"/>
  <c r="L815" i="1" s="1"/>
  <c r="K816" i="1"/>
  <c r="L816" i="1" s="1"/>
  <c r="K817" i="1"/>
  <c r="L817" i="1" s="1"/>
  <c r="K818" i="1"/>
  <c r="L818" i="1" s="1"/>
  <c r="K819" i="1"/>
  <c r="L819" i="1" s="1"/>
  <c r="K820" i="1"/>
  <c r="L820" i="1" s="1"/>
  <c r="K821" i="1"/>
  <c r="L821" i="1" s="1"/>
  <c r="K822" i="1"/>
  <c r="L822" i="1" s="1"/>
  <c r="K823" i="1"/>
  <c r="L823" i="1" s="1"/>
  <c r="K824" i="1"/>
  <c r="L824" i="1" s="1"/>
  <c r="K825" i="1"/>
  <c r="L825" i="1" s="1"/>
  <c r="K826" i="1"/>
  <c r="L826" i="1" s="1"/>
  <c r="K827" i="1"/>
  <c r="L827" i="1" s="1"/>
  <c r="K828" i="1"/>
  <c r="L828" i="1" s="1"/>
  <c r="K829" i="1"/>
  <c r="L829" i="1" s="1"/>
  <c r="K830" i="1"/>
  <c r="L830" i="1" s="1"/>
  <c r="K831" i="1"/>
  <c r="L831" i="1" s="1"/>
  <c r="K832" i="1"/>
  <c r="L832" i="1" s="1"/>
  <c r="K833" i="1"/>
  <c r="L833" i="1" s="1"/>
  <c r="K834" i="1"/>
  <c r="L834" i="1" s="1"/>
  <c r="K835" i="1"/>
  <c r="L835" i="1" s="1"/>
  <c r="K836" i="1"/>
  <c r="L836" i="1" s="1"/>
  <c r="K837" i="1"/>
  <c r="L837" i="1" s="1"/>
  <c r="K838" i="1"/>
  <c r="L838" i="1" s="1"/>
  <c r="K839" i="1"/>
  <c r="L839" i="1" s="1"/>
  <c r="K840" i="1"/>
  <c r="L840" i="1" s="1"/>
  <c r="K841" i="1"/>
  <c r="L841" i="1" s="1"/>
  <c r="K842" i="1"/>
  <c r="L842" i="1" s="1"/>
  <c r="K843" i="1"/>
  <c r="L843" i="1" s="1"/>
  <c r="K844" i="1"/>
  <c r="L844" i="1" s="1"/>
  <c r="K845" i="1"/>
  <c r="L845" i="1" s="1"/>
  <c r="K846" i="1"/>
  <c r="L846" i="1" s="1"/>
  <c r="K847" i="1"/>
  <c r="L847" i="1" s="1"/>
  <c r="K848" i="1"/>
  <c r="L848" i="1" s="1"/>
  <c r="K849" i="1"/>
  <c r="L849" i="1" s="1"/>
  <c r="K850" i="1"/>
  <c r="L850" i="1" s="1"/>
  <c r="K851" i="1"/>
  <c r="L851" i="1" s="1"/>
  <c r="K852" i="1"/>
  <c r="L852" i="1" s="1"/>
  <c r="K853" i="1"/>
  <c r="L853" i="1" s="1"/>
  <c r="K854" i="1"/>
  <c r="L854" i="1" s="1"/>
  <c r="K855" i="1"/>
  <c r="L855" i="1" s="1"/>
  <c r="K856" i="1"/>
  <c r="L856" i="1" s="1"/>
  <c r="K857" i="1"/>
  <c r="L857" i="1" s="1"/>
  <c r="K858" i="1"/>
  <c r="L858" i="1" s="1"/>
  <c r="K859" i="1"/>
  <c r="L859" i="1" s="1"/>
  <c r="K860" i="1"/>
  <c r="L860" i="1" s="1"/>
  <c r="K861" i="1"/>
  <c r="L861" i="1" s="1"/>
  <c r="K862" i="1"/>
  <c r="L862" i="1" s="1"/>
  <c r="K863" i="1"/>
  <c r="L863" i="1" s="1"/>
  <c r="K864" i="1"/>
  <c r="L864" i="1" s="1"/>
  <c r="K865" i="1"/>
  <c r="L865" i="1" s="1"/>
  <c r="K866" i="1"/>
  <c r="L866" i="1" s="1"/>
  <c r="K867" i="1"/>
  <c r="L867" i="1" s="1"/>
  <c r="K868" i="1"/>
  <c r="L868" i="1" s="1"/>
  <c r="K869" i="1"/>
  <c r="L869" i="1" s="1"/>
  <c r="K870" i="1"/>
  <c r="L870" i="1" s="1"/>
  <c r="K871" i="1"/>
  <c r="L871" i="1" s="1"/>
  <c r="K872" i="1"/>
  <c r="L872" i="1" s="1"/>
  <c r="K873" i="1"/>
  <c r="L873" i="1" s="1"/>
  <c r="K874" i="1"/>
  <c r="L874" i="1" s="1"/>
  <c r="K875" i="1"/>
  <c r="L875" i="1" s="1"/>
  <c r="K876" i="1"/>
  <c r="L876" i="1" s="1"/>
  <c r="K877" i="1"/>
  <c r="L877" i="1" s="1"/>
  <c r="K878" i="1"/>
  <c r="L878" i="1" s="1"/>
  <c r="K879" i="1"/>
  <c r="L879" i="1" s="1"/>
  <c r="K880" i="1"/>
  <c r="L880" i="1" s="1"/>
  <c r="K881" i="1"/>
  <c r="L881" i="1" s="1"/>
  <c r="K882" i="1"/>
  <c r="L882" i="1" s="1"/>
  <c r="K883" i="1"/>
  <c r="L883" i="1" s="1"/>
  <c r="K884" i="1"/>
  <c r="L884" i="1" s="1"/>
  <c r="K885" i="1"/>
  <c r="L885" i="1" s="1"/>
  <c r="K886" i="1"/>
  <c r="L886" i="1" s="1"/>
  <c r="K887" i="1"/>
  <c r="L887" i="1" s="1"/>
  <c r="K888" i="1"/>
  <c r="L888" i="1" s="1"/>
  <c r="K889" i="1"/>
  <c r="L889" i="1" s="1"/>
  <c r="K890" i="1"/>
  <c r="L890" i="1" s="1"/>
  <c r="K891" i="1"/>
  <c r="L891" i="1" s="1"/>
  <c r="K892" i="1"/>
  <c r="L892" i="1" s="1"/>
  <c r="K893" i="1"/>
  <c r="L893" i="1" s="1"/>
  <c r="K894" i="1"/>
  <c r="L894" i="1" s="1"/>
  <c r="K895" i="1"/>
  <c r="L895" i="1" s="1"/>
  <c r="K896" i="1"/>
  <c r="L896" i="1" s="1"/>
  <c r="K897" i="1"/>
  <c r="L897" i="1" s="1"/>
  <c r="K898" i="1"/>
  <c r="L898" i="1" s="1"/>
  <c r="K899" i="1"/>
  <c r="L899" i="1" s="1"/>
  <c r="K900" i="1"/>
  <c r="L900" i="1" s="1"/>
  <c r="K901" i="1"/>
  <c r="L901" i="1" s="1"/>
  <c r="K902" i="1"/>
  <c r="L902" i="1" s="1"/>
  <c r="K903" i="1"/>
  <c r="L903" i="1" s="1"/>
  <c r="K904" i="1"/>
  <c r="L904" i="1" s="1"/>
  <c r="K905" i="1"/>
  <c r="L905" i="1" s="1"/>
  <c r="K906" i="1"/>
  <c r="L906" i="1" s="1"/>
  <c r="K907" i="1"/>
  <c r="L907" i="1" s="1"/>
  <c r="K908" i="1"/>
  <c r="L908" i="1" s="1"/>
  <c r="K909" i="1"/>
  <c r="L909" i="1" s="1"/>
  <c r="K910" i="1"/>
  <c r="L910" i="1" s="1"/>
  <c r="K911" i="1"/>
  <c r="L911" i="1" s="1"/>
  <c r="K912" i="1"/>
  <c r="L912" i="1" s="1"/>
  <c r="K913" i="1"/>
  <c r="L913" i="1" s="1"/>
  <c r="K914" i="1"/>
  <c r="L914" i="1" s="1"/>
  <c r="K915" i="1"/>
  <c r="L915" i="1" s="1"/>
  <c r="K916" i="1"/>
  <c r="L916" i="1" s="1"/>
  <c r="K917" i="1"/>
  <c r="L917" i="1" s="1"/>
  <c r="K918" i="1"/>
  <c r="L918" i="1" s="1"/>
  <c r="K919" i="1"/>
  <c r="L919" i="1" s="1"/>
  <c r="K920" i="1"/>
  <c r="L920" i="1" s="1"/>
  <c r="K921" i="1"/>
  <c r="L921" i="1" s="1"/>
  <c r="K922" i="1"/>
  <c r="L922" i="1" s="1"/>
  <c r="K923" i="1"/>
  <c r="L923" i="1" s="1"/>
  <c r="K924" i="1"/>
  <c r="L924" i="1" s="1"/>
  <c r="K925" i="1"/>
  <c r="L925" i="1" s="1"/>
  <c r="K926" i="1"/>
  <c r="L926" i="1" s="1"/>
  <c r="K927" i="1"/>
  <c r="L927" i="1" s="1"/>
  <c r="K928" i="1"/>
  <c r="L928" i="1" s="1"/>
  <c r="K929" i="1"/>
  <c r="L929" i="1" s="1"/>
  <c r="K930" i="1"/>
  <c r="L930" i="1" s="1"/>
  <c r="K931" i="1"/>
  <c r="L931" i="1" s="1"/>
  <c r="K932" i="1"/>
  <c r="L932" i="1" s="1"/>
  <c r="K933" i="1"/>
  <c r="L933" i="1" s="1"/>
  <c r="K934" i="1"/>
  <c r="L934" i="1" s="1"/>
  <c r="K935" i="1"/>
  <c r="L935" i="1" s="1"/>
  <c r="K936" i="1"/>
  <c r="L936" i="1" s="1"/>
  <c r="K937" i="1"/>
  <c r="L937" i="1" s="1"/>
  <c r="K938" i="1"/>
  <c r="L938" i="1" s="1"/>
  <c r="K939" i="1"/>
  <c r="L939" i="1" s="1"/>
  <c r="K940" i="1"/>
  <c r="L940" i="1" s="1"/>
  <c r="K941" i="1"/>
  <c r="L941" i="1" s="1"/>
  <c r="K942" i="1"/>
  <c r="L942" i="1" s="1"/>
  <c r="K943" i="1"/>
  <c r="L943" i="1" s="1"/>
  <c r="K944" i="1"/>
  <c r="L944" i="1" s="1"/>
  <c r="K945" i="1"/>
  <c r="L945" i="1" s="1"/>
  <c r="K946" i="1"/>
  <c r="L946" i="1" s="1"/>
  <c r="K947" i="1"/>
  <c r="L947" i="1" s="1"/>
  <c r="K948" i="1"/>
  <c r="L948" i="1" s="1"/>
  <c r="K949" i="1"/>
  <c r="L949" i="1" s="1"/>
  <c r="K950" i="1"/>
  <c r="L950" i="1" s="1"/>
  <c r="K951" i="1"/>
  <c r="L951" i="1" s="1"/>
  <c r="K952" i="1"/>
  <c r="L952" i="1" s="1"/>
  <c r="K953" i="1"/>
  <c r="L953" i="1" s="1"/>
  <c r="K954" i="1"/>
  <c r="L954" i="1" s="1"/>
  <c r="K955" i="1"/>
  <c r="L955" i="1" s="1"/>
  <c r="K956" i="1"/>
  <c r="L956" i="1" s="1"/>
  <c r="K957" i="1"/>
  <c r="L957" i="1" s="1"/>
  <c r="K958" i="1"/>
  <c r="L958" i="1" s="1"/>
  <c r="K959" i="1"/>
  <c r="L959" i="1" s="1"/>
  <c r="K960" i="1"/>
  <c r="L960" i="1" s="1"/>
  <c r="K961" i="1"/>
  <c r="L961" i="1" s="1"/>
  <c r="K962" i="1"/>
  <c r="L962" i="1" s="1"/>
  <c r="K963" i="1"/>
  <c r="L963" i="1" s="1"/>
  <c r="K964" i="1"/>
  <c r="L964" i="1" s="1"/>
  <c r="K965" i="1"/>
  <c r="L965" i="1" s="1"/>
  <c r="K966" i="1"/>
  <c r="L966" i="1" s="1"/>
  <c r="K967" i="1"/>
  <c r="L967" i="1" s="1"/>
  <c r="K968" i="1"/>
  <c r="L968" i="1" s="1"/>
  <c r="K969" i="1"/>
  <c r="L969" i="1" s="1"/>
  <c r="K970" i="1"/>
  <c r="L970" i="1" s="1"/>
  <c r="K971" i="1"/>
  <c r="L971" i="1" s="1"/>
  <c r="K972" i="1"/>
  <c r="L972" i="1" s="1"/>
  <c r="K973" i="1"/>
  <c r="L973" i="1" s="1"/>
  <c r="K974" i="1"/>
  <c r="L974" i="1" s="1"/>
  <c r="K975" i="1"/>
  <c r="L975" i="1" s="1"/>
  <c r="K976" i="1"/>
  <c r="L976" i="1" s="1"/>
  <c r="K977" i="1"/>
  <c r="L977" i="1" s="1"/>
  <c r="K978" i="1"/>
  <c r="L978" i="1" s="1"/>
  <c r="K979" i="1"/>
  <c r="L979" i="1" s="1"/>
  <c r="K980" i="1"/>
  <c r="L980" i="1" s="1"/>
  <c r="K981" i="1"/>
  <c r="L981" i="1" s="1"/>
  <c r="K982" i="1"/>
  <c r="L982" i="1" s="1"/>
  <c r="K983" i="1"/>
  <c r="L983" i="1" s="1"/>
  <c r="K984" i="1"/>
  <c r="L984" i="1" s="1"/>
  <c r="K985" i="1"/>
  <c r="L985" i="1" s="1"/>
  <c r="K986" i="1"/>
  <c r="L986" i="1" s="1"/>
  <c r="K987" i="1"/>
  <c r="L987" i="1" s="1"/>
  <c r="K988" i="1"/>
  <c r="L988" i="1" s="1"/>
  <c r="K989" i="1"/>
  <c r="L989" i="1" s="1"/>
  <c r="K990" i="1"/>
  <c r="L990" i="1" s="1"/>
  <c r="K991" i="1"/>
  <c r="L991" i="1" s="1"/>
  <c r="K992" i="1"/>
  <c r="L992" i="1" s="1"/>
  <c r="K993" i="1"/>
  <c r="L993" i="1" s="1"/>
  <c r="K994" i="1"/>
  <c r="L994" i="1" s="1"/>
  <c r="K995" i="1"/>
  <c r="L995" i="1" s="1"/>
  <c r="K996" i="1"/>
  <c r="L996" i="1" s="1"/>
  <c r="K997" i="1"/>
  <c r="L997" i="1" s="1"/>
  <c r="K998" i="1"/>
  <c r="L998" i="1" s="1"/>
  <c r="K999" i="1"/>
  <c r="L999" i="1" s="1"/>
  <c r="K1000" i="1"/>
  <c r="L1000" i="1" s="1"/>
  <c r="K1001" i="1"/>
  <c r="L1001" i="1" s="1"/>
  <c r="K2" i="1"/>
  <c r="L2" i="1" s="1"/>
  <c r="X2" i="1" s="1"/>
  <c r="R9" i="2" l="1"/>
  <c r="S14" i="2"/>
  <c r="O6" i="2"/>
  <c r="Q4" i="2"/>
  <c r="S19" i="2"/>
  <c r="R20" i="2"/>
  <c r="S12" i="2"/>
  <c r="R18" i="2"/>
  <c r="S24" i="2"/>
  <c r="O10" i="2"/>
  <c r="R14" i="2"/>
  <c r="P16" i="2"/>
  <c r="Q24" i="2"/>
  <c r="P20" i="2"/>
  <c r="Q17" i="2"/>
  <c r="Q6" i="2"/>
  <c r="R8" i="2"/>
  <c r="S6" i="2"/>
  <c r="R7" i="2"/>
  <c r="Q11" i="2"/>
  <c r="O16" i="2"/>
  <c r="Q20" i="2"/>
  <c r="O23" i="2"/>
  <c r="R11" i="2"/>
  <c r="P19" i="2"/>
  <c r="O11" i="2"/>
  <c r="R26" i="2"/>
  <c r="S8" i="2"/>
  <c r="R19" i="2"/>
  <c r="Q26" i="2"/>
  <c r="O13" i="2"/>
  <c r="P13" i="2"/>
  <c r="O24" i="2"/>
  <c r="R15" i="2"/>
  <c r="S25" i="2"/>
  <c r="Q23" i="2"/>
  <c r="P5" i="2"/>
  <c r="S13" i="2"/>
  <c r="O9" i="2"/>
  <c r="Q21" i="2"/>
  <c r="O8" i="2"/>
  <c r="S27" i="2"/>
  <c r="P4" i="2"/>
  <c r="R16" i="2"/>
  <c r="P26" i="2"/>
  <c r="Q18" i="2"/>
  <c r="Q27" i="2"/>
  <c r="P23" i="2"/>
  <c r="O20" i="2"/>
  <c r="O5" i="2"/>
  <c r="Q13" i="2"/>
  <c r="R10" i="2"/>
  <c r="S17" i="2"/>
  <c r="O25" i="2"/>
  <c r="P11" i="2"/>
  <c r="S15" i="2"/>
  <c r="R24" i="2"/>
  <c r="O21" i="2"/>
  <c r="R5" i="2"/>
  <c r="Q15" i="2"/>
  <c r="R12" i="2"/>
  <c r="R6" i="2"/>
  <c r="P14" i="2"/>
  <c r="Q7" i="2"/>
  <c r="O14" i="2"/>
  <c r="O15" i="2"/>
  <c r="S22" i="2"/>
  <c r="S21" i="2"/>
  <c r="P10" i="2"/>
  <c r="S26" i="2"/>
  <c r="Q25" i="2"/>
  <c r="S4" i="2"/>
  <c r="Q8" i="2"/>
  <c r="S10" i="2"/>
  <c r="Q9" i="2"/>
  <c r="P15" i="2"/>
  <c r="P17" i="2"/>
  <c r="P25" i="2"/>
  <c r="O26" i="2"/>
  <c r="R21" i="2"/>
  <c r="P8" i="2"/>
  <c r="Q14" i="2"/>
  <c r="P7" i="2"/>
  <c r="P24" i="2"/>
  <c r="S5" i="2"/>
  <c r="P6" i="2"/>
  <c r="S18" i="2"/>
  <c r="R4" i="2"/>
  <c r="R23" i="2"/>
  <c r="S23" i="2"/>
  <c r="P21" i="2"/>
  <c r="O18" i="2"/>
  <c r="P27" i="2"/>
  <c r="S11" i="2"/>
  <c r="R22" i="2"/>
  <c r="P18" i="2"/>
  <c r="O12" i="2"/>
  <c r="Q22" i="2"/>
  <c r="Q12" i="2"/>
  <c r="R25" i="2"/>
  <c r="R13" i="2"/>
  <c r="R17" i="2"/>
  <c r="O4" i="2"/>
  <c r="S9" i="2"/>
  <c r="P12" i="2"/>
  <c r="Q19" i="2"/>
  <c r="O19" i="2"/>
  <c r="S7" i="2"/>
  <c r="O27" i="2"/>
  <c r="Q5" i="2"/>
  <c r="Q10" i="2"/>
  <c r="P22" i="2"/>
  <c r="Q3" i="1"/>
  <c r="Q4" i="1"/>
  <c r="U2" i="1"/>
  <c r="U4" i="1"/>
  <c r="Q5" i="1"/>
  <c r="U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<sst xmlns="http://schemas.openxmlformats.org/spreadsheetml/2006/main" count="8201" uniqueCount="337">
  <si>
    <t>OrderID</t>
  </si>
  <si>
    <t>OrderDate</t>
  </si>
  <si>
    <t>Region</t>
  </si>
  <si>
    <t>Product</t>
  </si>
  <si>
    <t>ProductLine</t>
  </si>
  <si>
    <t>MrpAmount</t>
  </si>
  <si>
    <t>customer_name</t>
  </si>
  <si>
    <t>dob</t>
  </si>
  <si>
    <t>delivery_date</t>
  </si>
  <si>
    <t>discount%</t>
  </si>
  <si>
    <t>West</t>
  </si>
  <si>
    <t>Basketball</t>
  </si>
  <si>
    <t>Sports</t>
  </si>
  <si>
    <t>Nicole Church</t>
  </si>
  <si>
    <t>North</t>
  </si>
  <si>
    <t>Milk</t>
  </si>
  <si>
    <t>Groceries</t>
  </si>
  <si>
    <t>Lisa Smith</t>
  </si>
  <si>
    <t>Tablet</t>
  </si>
  <si>
    <t>Electronics</t>
  </si>
  <si>
    <t>Mrs. Marissa Hall</t>
  </si>
  <si>
    <t>South</t>
  </si>
  <si>
    <t>Headphones</t>
  </si>
  <si>
    <t>Darryl Cooper</t>
  </si>
  <si>
    <t>Camera</t>
  </si>
  <si>
    <t>Melissa Douglas</t>
  </si>
  <si>
    <t>East</t>
  </si>
  <si>
    <t>Bed</t>
  </si>
  <si>
    <t>Furniture</t>
  </si>
  <si>
    <t>Daniel Cabrera</t>
  </si>
  <si>
    <t>Jeans</t>
  </si>
  <si>
    <t>Clothing</t>
  </si>
  <si>
    <t>Wesley Olson</t>
  </si>
  <si>
    <t>Oil</t>
  </si>
  <si>
    <t>Lawrence Frazier</t>
  </si>
  <si>
    <t>Central</t>
  </si>
  <si>
    <t>Wardrobe</t>
  </si>
  <si>
    <t>Derek Boyle</t>
  </si>
  <si>
    <t>Sofa</t>
  </si>
  <si>
    <t>Danielle Holloway</t>
  </si>
  <si>
    <t>Rice</t>
  </si>
  <si>
    <t>Elizabeth Obrien</t>
  </si>
  <si>
    <t>Jerry Smith</t>
  </si>
  <si>
    <t>Michael Robinson</t>
  </si>
  <si>
    <t>Wheat</t>
  </si>
  <si>
    <t>Michelle Davis</t>
  </si>
  <si>
    <t>Brittany Allen</t>
  </si>
  <si>
    <t>Tennis Racket</t>
  </si>
  <si>
    <t>Timothy Mueller</t>
  </si>
  <si>
    <t>Football</t>
  </si>
  <si>
    <t>David Noble</t>
  </si>
  <si>
    <t>Paige Alvarado</t>
  </si>
  <si>
    <t>Gregory Cohen</t>
  </si>
  <si>
    <t>Chair</t>
  </si>
  <si>
    <t>Nathaniel Gonzalez</t>
  </si>
  <si>
    <t>Jacket</t>
  </si>
  <si>
    <t>Harry Holmes</t>
  </si>
  <si>
    <t>Daniel Owens MD</t>
  </si>
  <si>
    <t>Cap</t>
  </si>
  <si>
    <t>Zachary Franklin</t>
  </si>
  <si>
    <t>Donald Mckenzie</t>
  </si>
  <si>
    <t>Laptop</t>
  </si>
  <si>
    <t>April Morgan</t>
  </si>
  <si>
    <t>Kirsten Wilkins</t>
  </si>
  <si>
    <t>Mrs. Vanessa Henson</t>
  </si>
  <si>
    <t>Smartphone</t>
  </si>
  <si>
    <t>Nancy French</t>
  </si>
  <si>
    <t>Jason Davidson</t>
  </si>
  <si>
    <t>Andrew Watson</t>
  </si>
  <si>
    <t>Shoes</t>
  </si>
  <si>
    <t>Samuel Humphrey</t>
  </si>
  <si>
    <t>T-Shirt</t>
  </si>
  <si>
    <t>Kayla Patel</t>
  </si>
  <si>
    <t>Table</t>
  </si>
  <si>
    <t>Billy Chavez</t>
  </si>
  <si>
    <t>Taylor Richardson</t>
  </si>
  <si>
    <t>Carol Lopez</t>
  </si>
  <si>
    <t>Sherry Henry</t>
  </si>
  <si>
    <t>Shane Morgan</t>
  </si>
  <si>
    <t>Robert Simon</t>
  </si>
  <si>
    <t>Lisa Garcia</t>
  </si>
  <si>
    <t>Timothy Diaz</t>
  </si>
  <si>
    <t>Anthony Lee</t>
  </si>
  <si>
    <t>Patricia Burton</t>
  </si>
  <si>
    <t>Alexandria Stone</t>
  </si>
  <si>
    <t>Adrian Howe</t>
  </si>
  <si>
    <t>Melanie Shaffer</t>
  </si>
  <si>
    <t>Kevin Rosario</t>
  </si>
  <si>
    <t>Eggs</t>
  </si>
  <si>
    <t>Margaret Wilson</t>
  </si>
  <si>
    <t>Troy Kelley</t>
  </si>
  <si>
    <t>Jenna Campbell</t>
  </si>
  <si>
    <t>Regina Lopez</t>
  </si>
  <si>
    <t>Alicia Campbell</t>
  </si>
  <si>
    <t>Angela Mooney</t>
  </si>
  <si>
    <t>Joe Rivera</t>
  </si>
  <si>
    <t>Andrea Mendez</t>
  </si>
  <si>
    <t>Joseph Vaughan</t>
  </si>
  <si>
    <t>Suzanne Brooks</t>
  </si>
  <si>
    <t>Dustin Cooley</t>
  </si>
  <si>
    <t>Jaime Haynes</t>
  </si>
  <si>
    <t>Karla Garcia</t>
  </si>
  <si>
    <t>Cricket Bat</t>
  </si>
  <si>
    <t>Laura Sanchez</t>
  </si>
  <si>
    <t>Kristi Chan</t>
  </si>
  <si>
    <t>Savannah Smith</t>
  </si>
  <si>
    <t>Brandon Maxwell</t>
  </si>
  <si>
    <t>Vincent Wiggins</t>
  </si>
  <si>
    <t>Lisa Bray MD</t>
  </si>
  <si>
    <t>Christina Young</t>
  </si>
  <si>
    <t>Kevin Preston</t>
  </si>
  <si>
    <t>Zachary Anthony</t>
  </si>
  <si>
    <t>Frank Davis</t>
  </si>
  <si>
    <t>Melissa Moreno</t>
  </si>
  <si>
    <t>Mark Ramos</t>
  </si>
  <si>
    <t>Charles Delgado</t>
  </si>
  <si>
    <t>Mary Hicks</t>
  </si>
  <si>
    <t>Charles Lewis</t>
  </si>
  <si>
    <t>Adam Martinez</t>
  </si>
  <si>
    <t>Beth Landry</t>
  </si>
  <si>
    <t>Mrs. Rebecca Young</t>
  </si>
  <si>
    <t>Antonio David</t>
  </si>
  <si>
    <t>Sierra Elliott</t>
  </si>
  <si>
    <t>Christina Bennett</t>
  </si>
  <si>
    <t>William Robles</t>
  </si>
  <si>
    <t>Kristy White</t>
  </si>
  <si>
    <t>James Campbell</t>
  </si>
  <si>
    <t>Peter Cook</t>
  </si>
  <si>
    <t>Katie Parker</t>
  </si>
  <si>
    <t>Amy Harris</t>
  </si>
  <si>
    <t>Edward Gonzalez</t>
  </si>
  <si>
    <t>Michelle Pitts</t>
  </si>
  <si>
    <t>Brandon King</t>
  </si>
  <si>
    <t>Toni Lopez</t>
  </si>
  <si>
    <t>Lee Hobbs</t>
  </si>
  <si>
    <t>Danielle Blake</t>
  </si>
  <si>
    <t>Aaron Ramirez</t>
  </si>
  <si>
    <t>Thomas Smith</t>
  </si>
  <si>
    <t>Elizabeth Lee MD</t>
  </si>
  <si>
    <t>Melissa Holt</t>
  </si>
  <si>
    <t>Jennifer Martinez</t>
  </si>
  <si>
    <t>Laura Fowler DVM</t>
  </si>
  <si>
    <t>Kyle Thomas</t>
  </si>
  <si>
    <t>Douglas Garrison</t>
  </si>
  <si>
    <t>Regina Gay</t>
  </si>
  <si>
    <t>Aaron Smith</t>
  </si>
  <si>
    <t>Kimberly Carey</t>
  </si>
  <si>
    <t>Danny Tran</t>
  </si>
  <si>
    <t>Russell Cummings</t>
  </si>
  <si>
    <t>Steven Hardin</t>
  </si>
  <si>
    <t>Melissa Hubbard</t>
  </si>
  <si>
    <t>Gabriel Watson</t>
  </si>
  <si>
    <t>Christopher Harris</t>
  </si>
  <si>
    <t>Jessica Cruz</t>
  </si>
  <si>
    <t>Kathryn Allen</t>
  </si>
  <si>
    <t>Stephanie Ray</t>
  </si>
  <si>
    <t>Randy Burke</t>
  </si>
  <si>
    <t>Lynn Johnson</t>
  </si>
  <si>
    <t>Matthew Stone</t>
  </si>
  <si>
    <t>Isaac Flores</t>
  </si>
  <si>
    <t>Juan White</t>
  </si>
  <si>
    <t>Joshua Joseph</t>
  </si>
  <si>
    <t>Stephanie Hudson</t>
  </si>
  <si>
    <t>Dorothy Thomas</t>
  </si>
  <si>
    <t>Wesley Thornton</t>
  </si>
  <si>
    <t>Taylor Whitaker</t>
  </si>
  <si>
    <t>Lisa Clark</t>
  </si>
  <si>
    <t>Kristin Ramsey</t>
  </si>
  <si>
    <t>Danielle Perry</t>
  </si>
  <si>
    <t>Harold Williams</t>
  </si>
  <si>
    <t>Anthony Kim</t>
  </si>
  <si>
    <t>Nicole Cantu</t>
  </si>
  <si>
    <t>Dustin Barnes</t>
  </si>
  <si>
    <t>John Adams</t>
  </si>
  <si>
    <t>Margaret Reynolds</t>
  </si>
  <si>
    <t>Richard Crawford</t>
  </si>
  <si>
    <t>Tracy Moore</t>
  </si>
  <si>
    <t>Christopher Gonzales</t>
  </si>
  <si>
    <t>Lucas Rodriguez</t>
  </si>
  <si>
    <t>Pamela Randall</t>
  </si>
  <si>
    <t>Jacqueline Chen</t>
  </si>
  <si>
    <t>Christine Wiley</t>
  </si>
  <si>
    <t>Darren Coleman</t>
  </si>
  <si>
    <t>Jamie Day</t>
  </si>
  <si>
    <t>Tina Kirk</t>
  </si>
  <si>
    <t>Tara Giles</t>
  </si>
  <si>
    <t>Jacob Thomas</t>
  </si>
  <si>
    <t>James Stevens</t>
  </si>
  <si>
    <t>Curtis George</t>
  </si>
  <si>
    <t>Lisa Vega</t>
  </si>
  <si>
    <t>Benjamin Travis</t>
  </si>
  <si>
    <t>Rebecca Fletcher</t>
  </si>
  <si>
    <t>William Stewart</t>
  </si>
  <si>
    <t>Christopher Campbell</t>
  </si>
  <si>
    <t>Tyler Frye</t>
  </si>
  <si>
    <t>Kurt Cabrera</t>
  </si>
  <si>
    <t>Robert Nunez</t>
  </si>
  <si>
    <t>Diane Coleman</t>
  </si>
  <si>
    <t>Cody Mason</t>
  </si>
  <si>
    <t>Amber Shaw</t>
  </si>
  <si>
    <t>Michael Cannon</t>
  </si>
  <si>
    <t>Lisa Hill</t>
  </si>
  <si>
    <t>Erik Garcia</t>
  </si>
  <si>
    <t>Brenda Scott</t>
  </si>
  <si>
    <t>William Padilla</t>
  </si>
  <si>
    <t>Sara Keller</t>
  </si>
  <si>
    <t>Kerry Hines</t>
  </si>
  <si>
    <t>Mrs. Vanessa Liu</t>
  </si>
  <si>
    <t>Taylor Knox</t>
  </si>
  <si>
    <t>Matthew Stuart</t>
  </si>
  <si>
    <t>Jesse Hernandez</t>
  </si>
  <si>
    <t>Donald Burke</t>
  </si>
  <si>
    <t>Katherine Jones</t>
  </si>
  <si>
    <t>Colin White</t>
  </si>
  <si>
    <t>Madison Dickson</t>
  </si>
  <si>
    <t>Shannon Foster</t>
  </si>
  <si>
    <t>Laura Wood</t>
  </si>
  <si>
    <t>Stephanie Weeks</t>
  </si>
  <si>
    <t>Brandon Ross</t>
  </si>
  <si>
    <t>Matthew Gonzalez</t>
  </si>
  <si>
    <t>Jessica Frank</t>
  </si>
  <si>
    <t>Matthew Baird</t>
  </si>
  <si>
    <t>Jeffery Smith</t>
  </si>
  <si>
    <t>Cynthia Brown</t>
  </si>
  <si>
    <t>Anna Rivers</t>
  </si>
  <si>
    <t>Joseph Rivera</t>
  </si>
  <si>
    <t>Caitlin Crane</t>
  </si>
  <si>
    <t>Patrick Woods</t>
  </si>
  <si>
    <t>Debra Jones</t>
  </si>
  <si>
    <t>Colin Garcia</t>
  </si>
  <si>
    <t>Sylvia Landry</t>
  </si>
  <si>
    <t>Robert Jones</t>
  </si>
  <si>
    <t>James Schmitt</t>
  </si>
  <si>
    <t>Douglas Williams</t>
  </si>
  <si>
    <t>Kim Brown</t>
  </si>
  <si>
    <t>Cassandra Mckinney</t>
  </si>
  <si>
    <t>Mark Swanson</t>
  </si>
  <si>
    <t>Martha Harris</t>
  </si>
  <si>
    <t>Timothy Castaneda</t>
  </si>
  <si>
    <t>William Stevenson</t>
  </si>
  <si>
    <t>Steven Santiago</t>
  </si>
  <si>
    <t>Alejandro Cross</t>
  </si>
  <si>
    <t>Edward Hawkins</t>
  </si>
  <si>
    <t>Debbie Jensen</t>
  </si>
  <si>
    <t>Amanda West</t>
  </si>
  <si>
    <t>Robert Harris</t>
  </si>
  <si>
    <t>John King</t>
  </si>
  <si>
    <t>Brian Lee</t>
  </si>
  <si>
    <t>Jason Gomez</t>
  </si>
  <si>
    <t>Justin Martinez</t>
  </si>
  <si>
    <t>Karen Johnson</t>
  </si>
  <si>
    <t>Ryan Hanson</t>
  </si>
  <si>
    <t>William Key</t>
  </si>
  <si>
    <t>Brian Tucker</t>
  </si>
  <si>
    <t>Matthew Moore</t>
  </si>
  <si>
    <t>Casey Williams</t>
  </si>
  <si>
    <t>Marcia Anderson</t>
  </si>
  <si>
    <t>Deanna Stephenson</t>
  </si>
  <si>
    <t>Scott Tucker</t>
  </si>
  <si>
    <t>Whitney Herring</t>
  </si>
  <si>
    <t>Marissa Johnson</t>
  </si>
  <si>
    <t>Donald Harris</t>
  </si>
  <si>
    <t>Kevin Coleman</t>
  </si>
  <si>
    <t>Justin Robinson</t>
  </si>
  <si>
    <t>Brian Carson</t>
  </si>
  <si>
    <t>Elizabeth Myers</t>
  </si>
  <si>
    <t>Amber Collins</t>
  </si>
  <si>
    <t>Sara Mayo</t>
  </si>
  <si>
    <t>Brittany Ayala</t>
  </si>
  <si>
    <t>Karen Hernandez</t>
  </si>
  <si>
    <t>Tracy Wood</t>
  </si>
  <si>
    <t>Jackie Foster</t>
  </si>
  <si>
    <t>Laurie Johnson</t>
  </si>
  <si>
    <t>Nicole Campbell</t>
  </si>
  <si>
    <t>Alyssa Schroeder</t>
  </si>
  <si>
    <t>Garrett Delgado</t>
  </si>
  <si>
    <t>Andrew Weaver</t>
  </si>
  <si>
    <t>Barbara Thomas</t>
  </si>
  <si>
    <t>Veronica Kelly</t>
  </si>
  <si>
    <t>Holly Wolfe</t>
  </si>
  <si>
    <t>Gary Wells</t>
  </si>
  <si>
    <t>Stephanie Taylor</t>
  </si>
  <si>
    <t>Benjamin Smith</t>
  </si>
  <si>
    <t>Tracy Benton</t>
  </si>
  <si>
    <t>Miguel Mason</t>
  </si>
  <si>
    <t>Erika Jones</t>
  </si>
  <si>
    <t>Craig Mcdowell</t>
  </si>
  <si>
    <t>Joseph Walter</t>
  </si>
  <si>
    <t>Megan Wagner</t>
  </si>
  <si>
    <t>Vanessa Johnson</t>
  </si>
  <si>
    <t>Tony Rose</t>
  </si>
  <si>
    <t>Dale Davis</t>
  </si>
  <si>
    <t>Matthew Hutchinson</t>
  </si>
  <si>
    <t>Diana Martin</t>
  </si>
  <si>
    <t>Catherine Jones</t>
  </si>
  <si>
    <t>Jennifer Booth</t>
  </si>
  <si>
    <t>Bradley Martinez</t>
  </si>
  <si>
    <t>Charles Sandoval</t>
  </si>
  <si>
    <t>David Blevins</t>
  </si>
  <si>
    <t>Jean Garza</t>
  </si>
  <si>
    <t>Bradley Lindsey</t>
  </si>
  <si>
    <t>Bruce Miller</t>
  </si>
  <si>
    <t>Holly Wilson</t>
  </si>
  <si>
    <t>Angela Wilkins</t>
  </si>
  <si>
    <t>Jimmy Lopez</t>
  </si>
  <si>
    <t>Kelsey Huber</t>
  </si>
  <si>
    <t>Logan Long</t>
  </si>
  <si>
    <t>Kevin Miller</t>
  </si>
  <si>
    <t>Jeffrey Harris</t>
  </si>
  <si>
    <t>Jonathan Gillespie MD</t>
  </si>
  <si>
    <t>Meagan Russell</t>
  </si>
  <si>
    <t>Miguel Sullivan</t>
  </si>
  <si>
    <t>Daniel Pennington</t>
  </si>
  <si>
    <t>April Wilson</t>
  </si>
  <si>
    <t>William Bell</t>
  </si>
  <si>
    <t>Robert Edwards</t>
  </si>
  <si>
    <t>Jesse Green</t>
  </si>
  <si>
    <t>David Raymond</t>
  </si>
  <si>
    <t>Olivia Griffin</t>
  </si>
  <si>
    <t>Daniel Morris</t>
  </si>
  <si>
    <t>Mark Huber</t>
  </si>
  <si>
    <t>Matthew Castillo</t>
  </si>
  <si>
    <t>Tara Roberts</t>
  </si>
  <si>
    <t>Jacqueline Brown</t>
  </si>
  <si>
    <t>Richard Gould</t>
  </si>
  <si>
    <t>Alexander Elliott</t>
  </si>
  <si>
    <t>David Ingram</t>
  </si>
  <si>
    <t>Kristin Brown</t>
  </si>
  <si>
    <t>James Kerr</t>
  </si>
  <si>
    <t>Revenue</t>
  </si>
  <si>
    <t>Discount price</t>
  </si>
  <si>
    <t>Revenue product</t>
  </si>
  <si>
    <t xml:space="preserve"> Revenue productline</t>
  </si>
  <si>
    <t>Product Resion Wise Count</t>
  </si>
  <si>
    <t>Product Region Wise Sales</t>
  </si>
  <si>
    <t>over all &gt;1000 Revenue</t>
  </si>
  <si>
    <t>Product  and Region wise Submition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</si>
</sst>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0" borderId="11" xfId="0" applyBorder="1"/>
    <xf numFmtId="0" fontId="0" fillId="33" borderId="10" xfId="0" applyFill="1" applyBorder="1"/>
    <xf numFmtId="0" fontId="0" fillId="33" borderId="11" xfId="0" applyFill="1" applyBorder="1"/>
    <xf numFmtId="0" fontId="0" fillId="0" borderId="12" xfId="0" applyBorder="1"/>
    <xf numFmtId="0" fontId="0" fillId="0" borderId="13" xfId="0" applyBorder="1"/>
    <xf numFmtId="0" fontId="0" fillId="34" borderId="10" xfId="0" applyFill="1" applyBorder="1"/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34" borderId="14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96131-B914-4F33-BC58-10C4BF7AAA5F}">
  <dimension ref="A1:X1001"/>
  <sheetViews>
    <sheetView topLeftCell="L2" zoomScale="110" workbookViewId="0">
      <selection activeCell="N1" sqref="N1:N25"/>
    </sheetView>
  </sheetViews>
  <sheetFormatPr defaultRowHeight="14.5" x14ac:dyDescent="0.35"/>
  <cols>
    <col min="1" max="1" width="9.81640625" bestFit="1" customWidth="1"/>
    <col min="2" max="2" width="11.90625" bestFit="1" customWidth="1"/>
    <col min="3" max="3" width="8.7265625" bestFit="1" customWidth="1"/>
    <col min="4" max="4" width="12.1796875" bestFit="1" customWidth="1"/>
    <col min="5" max="5" width="12.90625" bestFit="1" customWidth="1"/>
    <col min="6" max="6" width="13.36328125" bestFit="1" customWidth="1"/>
    <col min="7" max="7" width="19.54296875" bestFit="1" customWidth="1"/>
    <col min="8" max="8" width="10.08984375" bestFit="1" customWidth="1"/>
    <col min="9" max="9" width="14.36328125" bestFit="1" customWidth="1"/>
    <col min="10" max="10" width="11.6328125" bestFit="1" customWidth="1"/>
    <col min="11" max="11" width="14.90625" bestFit="1" customWidth="1"/>
    <col min="12" max="12" width="11.81640625" bestFit="1" customWidth="1"/>
    <col min="13" max="13" width="8.7265625" customWidth="1"/>
    <col min="14" max="14" width="12.1796875" bestFit="1" customWidth="1"/>
    <col min="15" max="15" width="10.6328125" bestFit="1" customWidth="1"/>
    <col min="16" max="16" width="6.81640625" bestFit="1" customWidth="1"/>
    <col min="17" max="17" width="11.81640625" bestFit="1" customWidth="1"/>
    <col min="20" max="20" width="12.1796875" bestFit="1" customWidth="1"/>
    <col min="21" max="21" width="15.08984375" bestFit="1" customWidth="1"/>
    <col min="23" max="23" width="10.6328125" bestFit="1" customWidth="1"/>
    <col min="24" max="24" width="18.6328125" bestFit="1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330</v>
      </c>
      <c r="L1" s="1" t="s">
        <v>329</v>
      </c>
      <c r="N1" s="4" t="s">
        <v>3</v>
      </c>
      <c r="O1" s="4" t="s">
        <v>4</v>
      </c>
      <c r="P1" s="5" t="s">
        <v>2</v>
      </c>
      <c r="Q1" s="4" t="s">
        <v>329</v>
      </c>
      <c r="T1" s="4" t="s">
        <v>3</v>
      </c>
      <c r="U1" s="4" t="s">
        <v>331</v>
      </c>
      <c r="W1" s="4" t="s">
        <v>4</v>
      </c>
      <c r="X1" s="4" t="s">
        <v>332</v>
      </c>
    </row>
    <row r="2" spans="1:24" x14ac:dyDescent="0.35">
      <c r="A2" s="1">
        <v>1000</v>
      </c>
      <c r="B2" s="2">
        <v>44474</v>
      </c>
      <c r="C2" s="1" t="s">
        <v>10</v>
      </c>
      <c r="D2" s="1" t="s">
        <v>11</v>
      </c>
      <c r="E2" s="1" t="s">
        <v>12</v>
      </c>
      <c r="F2" s="1">
        <v>631.19000000000005</v>
      </c>
      <c r="G2" s="1" t="s">
        <v>13</v>
      </c>
      <c r="H2" s="2">
        <v>24348</v>
      </c>
      <c r="I2" s="2">
        <v>44481</v>
      </c>
      <c r="J2" s="1">
        <v>23.27</v>
      </c>
      <c r="K2" s="1">
        <f>F2*J2%</f>
        <v>146.87791300000001</v>
      </c>
      <c r="L2" s="1">
        <f>F2-K2</f>
        <v>484.31208700000002</v>
      </c>
      <c r="N2" s="1" t="s">
        <v>11</v>
      </c>
      <c r="O2" s="1" t="s">
        <v>12</v>
      </c>
      <c r="P2" s="3" t="s">
        <v>10</v>
      </c>
      <c r="Q2" s="1">
        <f>SUMIF($C$2:$C$1001,P2,$L2:$L$1001)</f>
        <v>353434.42871600017</v>
      </c>
      <c r="T2" s="1" t="s">
        <v>11</v>
      </c>
      <c r="U2" s="1">
        <f t="shared" ref="U2:U25" si="0">SUMIF($D$2:$D$1001,N2,$L$2:$L$1001)</f>
        <v>86627.547774000021</v>
      </c>
      <c r="W2" s="1" t="s">
        <v>12</v>
      </c>
      <c r="X2" s="1">
        <f>SUMIF($E$2:$E$1001,W2,$L$2:$L$1001)</f>
        <v>342095.24872000015</v>
      </c>
    </row>
    <row r="3" spans="1:24" x14ac:dyDescent="0.35">
      <c r="A3" s="1">
        <v>1001</v>
      </c>
      <c r="B3" s="2">
        <v>44531</v>
      </c>
      <c r="C3" s="1" t="s">
        <v>14</v>
      </c>
      <c r="D3" s="1" t="s">
        <v>15</v>
      </c>
      <c r="E3" s="1" t="s">
        <v>16</v>
      </c>
      <c r="F3" s="1">
        <v>2524.6</v>
      </c>
      <c r="G3" s="1" t="s">
        <v>17</v>
      </c>
      <c r="H3" s="2">
        <v>26484</v>
      </c>
      <c r="I3" s="2">
        <v>44540</v>
      </c>
      <c r="J3" s="1">
        <v>32.72</v>
      </c>
      <c r="K3" s="1">
        <f t="shared" ref="K3:K66" si="1">F3*J3%</f>
        <v>826.0491199999999</v>
      </c>
      <c r="L3" s="1">
        <f t="shared" ref="L3:L66" si="2">F3-K3</f>
        <v>1698.55088</v>
      </c>
      <c r="N3" s="1" t="s">
        <v>15</v>
      </c>
      <c r="O3" s="1" t="s">
        <v>16</v>
      </c>
      <c r="P3" s="3" t="s">
        <v>14</v>
      </c>
      <c r="Q3" s="1">
        <f ca="1">SUMIF($C$2:$C$1001,P3,$L3:$L$1001)</f>
        <v>372940.84393099998</v>
      </c>
      <c r="T3" s="1" t="s">
        <v>15</v>
      </c>
      <c r="U3" s="1">
        <f t="shared" si="0"/>
        <v>75817.679785</v>
      </c>
      <c r="W3" s="1" t="s">
        <v>16</v>
      </c>
      <c r="X3" s="1">
        <f t="shared" ref="X3:X5" si="3">SUMIF($E$2:$E$1001,W3,$L$2:$L$1001)</f>
        <v>376871.45303199999</v>
      </c>
    </row>
    <row r="4" spans="1:24" x14ac:dyDescent="0.35">
      <c r="A4" s="1">
        <v>1002</v>
      </c>
      <c r="B4" s="2">
        <v>45090</v>
      </c>
      <c r="C4" s="1" t="s">
        <v>14</v>
      </c>
      <c r="D4" s="1" t="s">
        <v>18</v>
      </c>
      <c r="E4" s="1" t="s">
        <v>19</v>
      </c>
      <c r="F4" s="1">
        <v>4796.1499999999996</v>
      </c>
      <c r="G4" s="1" t="s">
        <v>20</v>
      </c>
      <c r="H4" s="2">
        <v>24232</v>
      </c>
      <c r="I4" s="2">
        <v>45100</v>
      </c>
      <c r="J4" s="1">
        <v>37.94</v>
      </c>
      <c r="K4" s="1">
        <f t="shared" si="1"/>
        <v>1819.6593099999998</v>
      </c>
      <c r="L4" s="1">
        <f t="shared" si="2"/>
        <v>2976.4906899999996</v>
      </c>
      <c r="N4" s="1" t="s">
        <v>18</v>
      </c>
      <c r="O4" s="1" t="s">
        <v>19</v>
      </c>
      <c r="P4" s="3" t="s">
        <v>21</v>
      </c>
      <c r="Q4" s="1">
        <f ca="1">SUMIF($C$2:$C$1001,P4,$L4:$L$1001)</f>
        <v>408822.99323400017</v>
      </c>
      <c r="T4" s="1" t="s">
        <v>18</v>
      </c>
      <c r="U4" s="1">
        <f t="shared" si="0"/>
        <v>67154.170486999996</v>
      </c>
      <c r="W4" s="1" t="s">
        <v>19</v>
      </c>
      <c r="X4" s="1">
        <f t="shared" si="3"/>
        <v>384454.16766499984</v>
      </c>
    </row>
    <row r="5" spans="1:24" x14ac:dyDescent="0.35">
      <c r="A5" s="1">
        <v>1003</v>
      </c>
      <c r="B5" s="2">
        <v>45255</v>
      </c>
      <c r="C5" s="1" t="s">
        <v>21</v>
      </c>
      <c r="D5" s="1" t="s">
        <v>22</v>
      </c>
      <c r="E5" s="1" t="s">
        <v>19</v>
      </c>
      <c r="F5" s="1">
        <v>2768.66</v>
      </c>
      <c r="G5" s="1" t="s">
        <v>23</v>
      </c>
      <c r="H5" s="2">
        <v>38378</v>
      </c>
      <c r="I5" s="2">
        <v>45261</v>
      </c>
      <c r="J5" s="1">
        <v>2.4500000000000002</v>
      </c>
      <c r="K5" s="1">
        <f t="shared" si="1"/>
        <v>67.832170000000005</v>
      </c>
      <c r="L5" s="1">
        <f t="shared" si="2"/>
        <v>2700.8278299999997</v>
      </c>
      <c r="N5" s="1" t="s">
        <v>22</v>
      </c>
      <c r="O5" s="1" t="s">
        <v>28</v>
      </c>
      <c r="P5" s="3" t="s">
        <v>26</v>
      </c>
      <c r="Q5" s="1">
        <f ca="1">SUMIF($C$2:$C$1001,P5,$L5:$L$1001)</f>
        <v>336676.23799099983</v>
      </c>
      <c r="T5" s="1" t="s">
        <v>22</v>
      </c>
      <c r="U5" s="1">
        <f t="shared" si="0"/>
        <v>86063.204491000011</v>
      </c>
      <c r="W5" s="1" t="s">
        <v>28</v>
      </c>
      <c r="X5" s="1">
        <f t="shared" si="3"/>
        <v>421627.843597</v>
      </c>
    </row>
    <row r="6" spans="1:24" x14ac:dyDescent="0.35">
      <c r="A6" s="1">
        <v>1004</v>
      </c>
      <c r="B6" s="2">
        <v>44906</v>
      </c>
      <c r="C6" s="1" t="s">
        <v>14</v>
      </c>
      <c r="D6" s="1" t="s">
        <v>24</v>
      </c>
      <c r="E6" s="1" t="s">
        <v>19</v>
      </c>
      <c r="F6" s="1">
        <v>3730.38</v>
      </c>
      <c r="G6" s="1" t="s">
        <v>25</v>
      </c>
      <c r="H6" s="2">
        <v>33386</v>
      </c>
      <c r="I6" s="2">
        <v>44915</v>
      </c>
      <c r="J6" s="1">
        <v>39.65</v>
      </c>
      <c r="K6" s="1">
        <f t="shared" si="1"/>
        <v>1479.0956699999999</v>
      </c>
      <c r="L6" s="1">
        <f t="shared" si="2"/>
        <v>2251.2843300000004</v>
      </c>
      <c r="N6" s="1" t="s">
        <v>24</v>
      </c>
      <c r="O6" s="1" t="s">
        <v>31</v>
      </c>
      <c r="P6" s="3" t="s">
        <v>35</v>
      </c>
      <c r="Q6" s="1">
        <f ca="1">SUMIF($C$2:$C$1001,P6,$L6:$L$1001)</f>
        <v>399032.52295299992</v>
      </c>
      <c r="R6" s="7"/>
      <c r="T6" s="1" t="s">
        <v>24</v>
      </c>
      <c r="U6" s="1">
        <f t="shared" si="0"/>
        <v>83507.833971</v>
      </c>
      <c r="W6" s="1" t="s">
        <v>31</v>
      </c>
      <c r="X6" s="1">
        <f>SUMIF($E$2:$E$1001,W6,$L$2:$L$1001)</f>
        <v>358254.76930799999</v>
      </c>
    </row>
    <row r="7" spans="1:24" x14ac:dyDescent="0.35">
      <c r="A7" s="1">
        <v>1005</v>
      </c>
      <c r="B7" s="2">
        <v>45350</v>
      </c>
      <c r="C7" s="1" t="s">
        <v>26</v>
      </c>
      <c r="D7" s="1" t="s">
        <v>27</v>
      </c>
      <c r="E7" s="1" t="s">
        <v>28</v>
      </c>
      <c r="F7" s="1">
        <v>393.8</v>
      </c>
      <c r="G7" s="1" t="s">
        <v>29</v>
      </c>
      <c r="H7" s="2">
        <v>24033</v>
      </c>
      <c r="I7" s="2">
        <v>45364</v>
      </c>
      <c r="J7" s="1">
        <v>7.32</v>
      </c>
      <c r="K7" s="1">
        <f t="shared" si="1"/>
        <v>28.826160000000002</v>
      </c>
      <c r="L7" s="1">
        <f t="shared" si="2"/>
        <v>364.97384</v>
      </c>
      <c r="N7" s="1" t="s">
        <v>27</v>
      </c>
      <c r="P7" s="6"/>
      <c r="Q7" s="6"/>
      <c r="T7" s="1" t="s">
        <v>27</v>
      </c>
      <c r="U7" s="1">
        <f t="shared" si="0"/>
        <v>70366.670448999997</v>
      </c>
    </row>
    <row r="8" spans="1:24" x14ac:dyDescent="0.35">
      <c r="A8" s="1">
        <v>1006</v>
      </c>
      <c r="B8" s="2">
        <v>45582</v>
      </c>
      <c r="C8" s="1" t="s">
        <v>10</v>
      </c>
      <c r="D8" s="1" t="s">
        <v>30</v>
      </c>
      <c r="E8" s="1" t="s">
        <v>31</v>
      </c>
      <c r="F8" s="1">
        <v>1661.65</v>
      </c>
      <c r="G8" s="1" t="s">
        <v>32</v>
      </c>
      <c r="H8" s="2">
        <v>27166</v>
      </c>
      <c r="I8" s="2">
        <v>45596</v>
      </c>
      <c r="J8" s="1">
        <v>23.68</v>
      </c>
      <c r="K8" s="1">
        <f t="shared" si="1"/>
        <v>393.47872000000007</v>
      </c>
      <c r="L8" s="1">
        <f t="shared" si="2"/>
        <v>1268.17128</v>
      </c>
      <c r="N8" s="1" t="s">
        <v>30</v>
      </c>
      <c r="T8" s="1" t="s">
        <v>30</v>
      </c>
      <c r="U8" s="1">
        <f t="shared" si="0"/>
        <v>71284.67802599998</v>
      </c>
    </row>
    <row r="9" spans="1:24" x14ac:dyDescent="0.35">
      <c r="A9" s="1">
        <v>1007</v>
      </c>
      <c r="B9" s="2">
        <v>45601</v>
      </c>
      <c r="C9" s="1" t="s">
        <v>21</v>
      </c>
      <c r="D9" s="1" t="s">
        <v>33</v>
      </c>
      <c r="E9" s="1" t="s">
        <v>16</v>
      </c>
      <c r="F9" s="1">
        <v>1343.23</v>
      </c>
      <c r="G9" s="1" t="s">
        <v>34</v>
      </c>
      <c r="H9" s="2">
        <v>25232</v>
      </c>
      <c r="I9" s="2">
        <v>45606</v>
      </c>
      <c r="J9" s="1">
        <v>12.44</v>
      </c>
      <c r="K9" s="1">
        <f t="shared" si="1"/>
        <v>167.097812</v>
      </c>
      <c r="L9" s="1">
        <f t="shared" si="2"/>
        <v>1176.132188</v>
      </c>
      <c r="N9" s="1" t="s">
        <v>33</v>
      </c>
      <c r="T9" s="1" t="s">
        <v>33</v>
      </c>
      <c r="U9" s="1">
        <f t="shared" si="0"/>
        <v>87870.129888999989</v>
      </c>
    </row>
    <row r="10" spans="1:24" x14ac:dyDescent="0.35">
      <c r="A10" s="1">
        <v>1008</v>
      </c>
      <c r="B10" s="2">
        <v>45269</v>
      </c>
      <c r="C10" s="1" t="s">
        <v>35</v>
      </c>
      <c r="D10" s="1" t="s">
        <v>36</v>
      </c>
      <c r="E10" s="1" t="s">
        <v>28</v>
      </c>
      <c r="F10" s="1">
        <v>3813.09</v>
      </c>
      <c r="G10" s="1" t="s">
        <v>37</v>
      </c>
      <c r="H10" s="2">
        <v>27534</v>
      </c>
      <c r="I10" s="2">
        <v>45279</v>
      </c>
      <c r="J10" s="1">
        <v>6.96</v>
      </c>
      <c r="K10" s="1">
        <f t="shared" si="1"/>
        <v>265.39106399999997</v>
      </c>
      <c r="L10" s="1">
        <f t="shared" si="2"/>
        <v>3547.6989360000002</v>
      </c>
      <c r="N10" s="1" t="s">
        <v>36</v>
      </c>
      <c r="T10" s="1" t="s">
        <v>36</v>
      </c>
      <c r="U10" s="1">
        <f t="shared" si="0"/>
        <v>73035.423811000001</v>
      </c>
    </row>
    <row r="11" spans="1:24" x14ac:dyDescent="0.35">
      <c r="A11" s="1">
        <v>1009</v>
      </c>
      <c r="B11" s="2">
        <v>44110</v>
      </c>
      <c r="C11" s="1" t="s">
        <v>35</v>
      </c>
      <c r="D11" s="1" t="s">
        <v>38</v>
      </c>
      <c r="E11" s="1" t="s">
        <v>28</v>
      </c>
      <c r="F11" s="1">
        <v>4445.5</v>
      </c>
      <c r="G11" s="1" t="s">
        <v>39</v>
      </c>
      <c r="H11" s="2">
        <v>26282</v>
      </c>
      <c r="I11" s="2">
        <v>44123</v>
      </c>
      <c r="J11" s="1">
        <v>27.08</v>
      </c>
      <c r="K11" s="1">
        <f t="shared" si="1"/>
        <v>1203.8414</v>
      </c>
      <c r="L11" s="1">
        <f t="shared" si="2"/>
        <v>3241.6585999999998</v>
      </c>
      <c r="N11" s="1" t="s">
        <v>38</v>
      </c>
      <c r="T11" s="1" t="s">
        <v>38</v>
      </c>
      <c r="U11" s="1">
        <f t="shared" si="0"/>
        <v>83708.527758000011</v>
      </c>
    </row>
    <row r="12" spans="1:24" x14ac:dyDescent="0.35">
      <c r="A12" s="1">
        <v>1010</v>
      </c>
      <c r="B12" s="2">
        <v>45125</v>
      </c>
      <c r="C12" s="1" t="s">
        <v>14</v>
      </c>
      <c r="D12" s="1" t="s">
        <v>40</v>
      </c>
      <c r="E12" s="1" t="s">
        <v>16</v>
      </c>
      <c r="F12" s="1">
        <v>179.63</v>
      </c>
      <c r="G12" s="1" t="s">
        <v>41</v>
      </c>
      <c r="H12" s="2">
        <v>35818</v>
      </c>
      <c r="I12" s="2">
        <v>45128</v>
      </c>
      <c r="J12" s="1">
        <v>19.760000000000002</v>
      </c>
      <c r="K12" s="1">
        <f t="shared" si="1"/>
        <v>35.494888000000003</v>
      </c>
      <c r="L12" s="1">
        <f t="shared" si="2"/>
        <v>144.13511199999999</v>
      </c>
      <c r="N12" s="1" t="s">
        <v>40</v>
      </c>
      <c r="T12" s="1" t="s">
        <v>40</v>
      </c>
      <c r="U12" s="1">
        <f t="shared" si="0"/>
        <v>70229.196698</v>
      </c>
    </row>
    <row r="13" spans="1:24" x14ac:dyDescent="0.35">
      <c r="A13" s="1">
        <v>1011</v>
      </c>
      <c r="B13" s="2">
        <v>44588</v>
      </c>
      <c r="C13" s="1" t="s">
        <v>10</v>
      </c>
      <c r="D13" s="1" t="s">
        <v>40</v>
      </c>
      <c r="E13" s="1" t="s">
        <v>16</v>
      </c>
      <c r="F13" s="1">
        <v>3282.77</v>
      </c>
      <c r="G13" s="1" t="s">
        <v>42</v>
      </c>
      <c r="H13" s="2">
        <v>26027</v>
      </c>
      <c r="I13" s="2">
        <v>44597</v>
      </c>
      <c r="J13" s="1">
        <v>27.39</v>
      </c>
      <c r="K13" s="1">
        <f t="shared" si="1"/>
        <v>899.15070300000014</v>
      </c>
      <c r="L13" s="1">
        <f t="shared" si="2"/>
        <v>2383.6192969999997</v>
      </c>
      <c r="N13" s="1" t="s">
        <v>44</v>
      </c>
      <c r="T13" s="1" t="s">
        <v>44</v>
      </c>
      <c r="U13" s="1">
        <f t="shared" si="0"/>
        <v>83135.18163799998</v>
      </c>
    </row>
    <row r="14" spans="1:24" x14ac:dyDescent="0.35">
      <c r="A14" s="1">
        <v>1012</v>
      </c>
      <c r="B14" s="2">
        <v>45413</v>
      </c>
      <c r="C14" s="1" t="s">
        <v>26</v>
      </c>
      <c r="D14" s="1" t="s">
        <v>11</v>
      </c>
      <c r="E14" s="1" t="s">
        <v>12</v>
      </c>
      <c r="F14" s="1">
        <v>1004.87</v>
      </c>
      <c r="G14" s="1" t="s">
        <v>43</v>
      </c>
      <c r="H14" s="2">
        <v>30054</v>
      </c>
      <c r="I14" s="2">
        <v>45421</v>
      </c>
      <c r="J14" s="1">
        <v>21.81</v>
      </c>
      <c r="K14" s="1">
        <f t="shared" si="1"/>
        <v>219.16214699999998</v>
      </c>
      <c r="L14" s="1">
        <f t="shared" si="2"/>
        <v>785.707853</v>
      </c>
      <c r="N14" s="1" t="s">
        <v>47</v>
      </c>
      <c r="T14" s="1" t="s">
        <v>47</v>
      </c>
      <c r="U14" s="1">
        <f t="shared" si="0"/>
        <v>68644.61162299999</v>
      </c>
    </row>
    <row r="15" spans="1:24" x14ac:dyDescent="0.35">
      <c r="A15" s="1">
        <v>1013</v>
      </c>
      <c r="B15" s="2">
        <v>45452</v>
      </c>
      <c r="C15" s="1" t="s">
        <v>21</v>
      </c>
      <c r="D15" s="1" t="s">
        <v>44</v>
      </c>
      <c r="E15" s="1" t="s">
        <v>16</v>
      </c>
      <c r="F15" s="1">
        <v>1447.5</v>
      </c>
      <c r="G15" s="1" t="s">
        <v>45</v>
      </c>
      <c r="H15" s="2">
        <v>34367</v>
      </c>
      <c r="I15" s="2">
        <v>45465</v>
      </c>
      <c r="J15" s="1">
        <v>41.59</v>
      </c>
      <c r="K15" s="1">
        <f t="shared" si="1"/>
        <v>602.01525000000004</v>
      </c>
      <c r="L15" s="1">
        <f t="shared" si="2"/>
        <v>845.48474999999996</v>
      </c>
      <c r="N15" s="1" t="s">
        <v>49</v>
      </c>
      <c r="T15" s="1" t="s">
        <v>49</v>
      </c>
      <c r="U15" s="1">
        <f t="shared" si="0"/>
        <v>87570.801009999996</v>
      </c>
    </row>
    <row r="16" spans="1:24" x14ac:dyDescent="0.35">
      <c r="A16" s="1">
        <v>1014</v>
      </c>
      <c r="B16" s="2">
        <v>45352</v>
      </c>
      <c r="C16" s="1" t="s">
        <v>26</v>
      </c>
      <c r="D16" s="1" t="s">
        <v>40</v>
      </c>
      <c r="E16" s="1" t="s">
        <v>16</v>
      </c>
      <c r="F16" s="1">
        <v>4448.16</v>
      </c>
      <c r="G16" s="1" t="s">
        <v>46</v>
      </c>
      <c r="H16" s="2">
        <v>24670</v>
      </c>
      <c r="I16" s="2">
        <v>45366</v>
      </c>
      <c r="J16" s="1">
        <v>27.78</v>
      </c>
      <c r="K16" s="1">
        <f t="shared" si="1"/>
        <v>1235.698848</v>
      </c>
      <c r="L16" s="1">
        <f t="shared" si="2"/>
        <v>3212.4611519999999</v>
      </c>
      <c r="N16" s="1" t="s">
        <v>53</v>
      </c>
      <c r="T16" s="1" t="s">
        <v>53</v>
      </c>
      <c r="U16" s="1">
        <f t="shared" si="0"/>
        <v>100249.03453699998</v>
      </c>
    </row>
    <row r="17" spans="1:21" x14ac:dyDescent="0.35">
      <c r="A17" s="1">
        <v>1015</v>
      </c>
      <c r="B17" s="2">
        <v>45567</v>
      </c>
      <c r="C17" s="1" t="s">
        <v>10</v>
      </c>
      <c r="D17" s="1" t="s">
        <v>47</v>
      </c>
      <c r="E17" s="1" t="s">
        <v>12</v>
      </c>
      <c r="F17" s="1">
        <v>1994.4</v>
      </c>
      <c r="G17" s="1" t="s">
        <v>48</v>
      </c>
      <c r="H17" s="2">
        <v>22315</v>
      </c>
      <c r="I17" s="2">
        <v>45572</v>
      </c>
      <c r="J17" s="1">
        <v>14.86</v>
      </c>
      <c r="K17" s="1">
        <f t="shared" si="1"/>
        <v>296.36784</v>
      </c>
      <c r="L17" s="1">
        <f t="shared" si="2"/>
        <v>1698.0321600000002</v>
      </c>
      <c r="N17" s="1" t="s">
        <v>55</v>
      </c>
      <c r="T17" s="1" t="s">
        <v>55</v>
      </c>
      <c r="U17" s="1">
        <f t="shared" si="0"/>
        <v>80171.458631999994</v>
      </c>
    </row>
    <row r="18" spans="1:21" x14ac:dyDescent="0.35">
      <c r="A18" s="1">
        <v>1016</v>
      </c>
      <c r="B18" s="2">
        <v>44980</v>
      </c>
      <c r="C18" s="1" t="s">
        <v>10</v>
      </c>
      <c r="D18" s="1" t="s">
        <v>49</v>
      </c>
      <c r="E18" s="1" t="s">
        <v>12</v>
      </c>
      <c r="F18" s="1">
        <v>2282.94</v>
      </c>
      <c r="G18" s="1" t="s">
        <v>50</v>
      </c>
      <c r="H18" s="2">
        <v>22594</v>
      </c>
      <c r="I18" s="2">
        <v>44982</v>
      </c>
      <c r="J18" s="1">
        <v>34.58</v>
      </c>
      <c r="K18" s="1">
        <f t="shared" si="1"/>
        <v>789.440652</v>
      </c>
      <c r="L18" s="1">
        <f t="shared" si="2"/>
        <v>1493.4993480000001</v>
      </c>
      <c r="N18" s="1" t="s">
        <v>58</v>
      </c>
      <c r="T18" s="1" t="s">
        <v>58</v>
      </c>
      <c r="U18" s="1">
        <f t="shared" si="0"/>
        <v>84593.520206000016</v>
      </c>
    </row>
    <row r="19" spans="1:21" x14ac:dyDescent="0.35">
      <c r="A19" s="1">
        <v>1017</v>
      </c>
      <c r="B19" s="2">
        <v>45057</v>
      </c>
      <c r="C19" s="1" t="s">
        <v>10</v>
      </c>
      <c r="D19" s="1" t="s">
        <v>27</v>
      </c>
      <c r="E19" s="1" t="s">
        <v>28</v>
      </c>
      <c r="F19" s="1">
        <v>300.31</v>
      </c>
      <c r="G19" s="1" t="s">
        <v>51</v>
      </c>
      <c r="H19" s="2">
        <v>30183</v>
      </c>
      <c r="I19" s="2">
        <v>45069</v>
      </c>
      <c r="J19" s="1">
        <v>23.72</v>
      </c>
      <c r="K19" s="1">
        <f t="shared" si="1"/>
        <v>71.233531999999997</v>
      </c>
      <c r="L19" s="1">
        <f t="shared" si="2"/>
        <v>229.07646800000001</v>
      </c>
      <c r="N19" s="1" t="s">
        <v>61</v>
      </c>
      <c r="T19" s="1" t="s">
        <v>61</v>
      </c>
      <c r="U19" s="1">
        <f t="shared" si="0"/>
        <v>80591.811016000007</v>
      </c>
    </row>
    <row r="20" spans="1:21" x14ac:dyDescent="0.35">
      <c r="A20" s="1">
        <v>1018</v>
      </c>
      <c r="B20" s="2">
        <v>44949</v>
      </c>
      <c r="C20" s="1" t="s">
        <v>26</v>
      </c>
      <c r="D20" s="1" t="s">
        <v>40</v>
      </c>
      <c r="E20" s="1" t="s">
        <v>16</v>
      </c>
      <c r="F20" s="1">
        <v>3380.12</v>
      </c>
      <c r="G20" s="1" t="s">
        <v>52</v>
      </c>
      <c r="H20" s="2">
        <v>30154</v>
      </c>
      <c r="I20" s="2">
        <v>44959</v>
      </c>
      <c r="J20" s="1">
        <v>48.14</v>
      </c>
      <c r="K20" s="1">
        <f t="shared" si="1"/>
        <v>1627.189768</v>
      </c>
      <c r="L20" s="1">
        <f t="shared" si="2"/>
        <v>1752.9302319999999</v>
      </c>
      <c r="N20" s="1" t="s">
        <v>65</v>
      </c>
      <c r="T20" s="1" t="s">
        <v>65</v>
      </c>
      <c r="U20" s="1">
        <f t="shared" si="0"/>
        <v>67137.147700000001</v>
      </c>
    </row>
    <row r="21" spans="1:21" x14ac:dyDescent="0.35">
      <c r="A21" s="1">
        <v>1019</v>
      </c>
      <c r="B21" s="2">
        <v>44364</v>
      </c>
      <c r="C21" s="1" t="s">
        <v>26</v>
      </c>
      <c r="D21" s="1" t="s">
        <v>53</v>
      </c>
      <c r="E21" s="1" t="s">
        <v>28</v>
      </c>
      <c r="F21" s="1">
        <v>2449.4499999999998</v>
      </c>
      <c r="G21" s="1" t="s">
        <v>54</v>
      </c>
      <c r="H21" s="2">
        <v>31082</v>
      </c>
      <c r="I21" s="2">
        <v>44369</v>
      </c>
      <c r="J21" s="1">
        <v>44.38</v>
      </c>
      <c r="K21" s="1">
        <f t="shared" si="1"/>
        <v>1087.06591</v>
      </c>
      <c r="L21" s="1">
        <f t="shared" si="2"/>
        <v>1362.3840899999998</v>
      </c>
      <c r="N21" s="1" t="s">
        <v>69</v>
      </c>
      <c r="T21" s="1" t="s">
        <v>69</v>
      </c>
      <c r="U21" s="1">
        <f t="shared" si="0"/>
        <v>109583.93849300001</v>
      </c>
    </row>
    <row r="22" spans="1:21" x14ac:dyDescent="0.35">
      <c r="A22" s="1">
        <v>1020</v>
      </c>
      <c r="B22" s="2">
        <v>44609</v>
      </c>
      <c r="C22" s="1" t="s">
        <v>35</v>
      </c>
      <c r="D22" s="1" t="s">
        <v>55</v>
      </c>
      <c r="E22" s="1" t="s">
        <v>31</v>
      </c>
      <c r="F22" s="1">
        <v>1160.4000000000001</v>
      </c>
      <c r="G22" s="1" t="s">
        <v>56</v>
      </c>
      <c r="H22" s="2">
        <v>25712</v>
      </c>
      <c r="I22" s="2">
        <v>44618</v>
      </c>
      <c r="J22" s="1">
        <v>40.840000000000003</v>
      </c>
      <c r="K22" s="1">
        <f t="shared" si="1"/>
        <v>473.9073600000001</v>
      </c>
      <c r="L22" s="1">
        <f t="shared" si="2"/>
        <v>686.49263999999994</v>
      </c>
      <c r="N22" s="1" t="s">
        <v>71</v>
      </c>
      <c r="T22" s="1" t="s">
        <v>71</v>
      </c>
      <c r="U22" s="1">
        <f t="shared" si="0"/>
        <v>63984.878167000003</v>
      </c>
    </row>
    <row r="23" spans="1:21" x14ac:dyDescent="0.35">
      <c r="A23" s="1">
        <v>1021</v>
      </c>
      <c r="B23" s="2">
        <v>44260</v>
      </c>
      <c r="C23" s="1" t="s">
        <v>10</v>
      </c>
      <c r="D23" s="1" t="s">
        <v>40</v>
      </c>
      <c r="E23" s="1" t="s">
        <v>16</v>
      </c>
      <c r="F23" s="1">
        <v>3787.11</v>
      </c>
      <c r="G23" s="1" t="s">
        <v>57</v>
      </c>
      <c r="H23" s="2">
        <v>38353</v>
      </c>
      <c r="I23" s="2">
        <v>44274</v>
      </c>
      <c r="J23" s="1">
        <v>43.05</v>
      </c>
      <c r="K23" s="1">
        <f t="shared" si="1"/>
        <v>1630.3508550000001</v>
      </c>
      <c r="L23" s="1">
        <f t="shared" si="2"/>
        <v>2156.759145</v>
      </c>
      <c r="N23" s="1" t="s">
        <v>73</v>
      </c>
      <c r="T23" s="1" t="s">
        <v>73</v>
      </c>
      <c r="U23" s="1">
        <f t="shared" si="0"/>
        <v>94268.18704199999</v>
      </c>
    </row>
    <row r="24" spans="1:21" x14ac:dyDescent="0.35">
      <c r="A24" s="1">
        <v>1022</v>
      </c>
      <c r="B24" s="2">
        <v>44985</v>
      </c>
      <c r="C24" s="1" t="s">
        <v>21</v>
      </c>
      <c r="D24" s="1" t="s">
        <v>58</v>
      </c>
      <c r="E24" s="1" t="s">
        <v>31</v>
      </c>
      <c r="F24" s="1">
        <v>4407.51</v>
      </c>
      <c r="G24" s="1" t="s">
        <v>59</v>
      </c>
      <c r="H24" s="2">
        <v>25166</v>
      </c>
      <c r="I24" s="2">
        <v>44991</v>
      </c>
      <c r="J24" s="1">
        <v>40.35</v>
      </c>
      <c r="K24" s="1">
        <f t="shared" si="1"/>
        <v>1778.4302850000001</v>
      </c>
      <c r="L24" s="1">
        <f t="shared" si="2"/>
        <v>2629.0797149999999</v>
      </c>
      <c r="N24" s="1" t="s">
        <v>88</v>
      </c>
      <c r="T24" s="1" t="s">
        <v>88</v>
      </c>
      <c r="U24" s="1">
        <f t="shared" si="0"/>
        <v>59819.265022000014</v>
      </c>
    </row>
    <row r="25" spans="1:21" x14ac:dyDescent="0.35">
      <c r="A25" s="1">
        <v>1023</v>
      </c>
      <c r="B25" s="2">
        <v>44173</v>
      </c>
      <c r="C25" s="1" t="s">
        <v>26</v>
      </c>
      <c r="D25" s="1" t="s">
        <v>30</v>
      </c>
      <c r="E25" s="1" t="s">
        <v>31</v>
      </c>
      <c r="F25" s="1">
        <v>2818.88</v>
      </c>
      <c r="G25" s="1" t="s">
        <v>60</v>
      </c>
      <c r="H25" s="2">
        <v>33482</v>
      </c>
      <c r="I25" s="2">
        <v>44181</v>
      </c>
      <c r="J25" s="1">
        <v>32.270000000000003</v>
      </c>
      <c r="K25" s="1">
        <f t="shared" si="1"/>
        <v>909.65257600000018</v>
      </c>
      <c r="L25" s="1">
        <f t="shared" si="2"/>
        <v>1909.2274239999999</v>
      </c>
      <c r="N25" s="1" t="s">
        <v>102</v>
      </c>
      <c r="T25" s="1" t="s">
        <v>102</v>
      </c>
      <c r="U25" s="1">
        <f t="shared" si="0"/>
        <v>47888.584097000014</v>
      </c>
    </row>
    <row r="26" spans="1:21" x14ac:dyDescent="0.35">
      <c r="A26" s="1">
        <v>1024</v>
      </c>
      <c r="B26" s="2">
        <v>45385</v>
      </c>
      <c r="C26" s="1" t="s">
        <v>21</v>
      </c>
      <c r="D26" s="1" t="s">
        <v>61</v>
      </c>
      <c r="E26" s="1" t="s">
        <v>19</v>
      </c>
      <c r="F26" s="1">
        <v>923.98</v>
      </c>
      <c r="G26" s="1" t="s">
        <v>62</v>
      </c>
      <c r="H26" s="2">
        <v>22870</v>
      </c>
      <c r="I26" s="2">
        <v>45387</v>
      </c>
      <c r="J26" s="1">
        <v>1.62</v>
      </c>
      <c r="K26" s="1">
        <f t="shared" si="1"/>
        <v>14.968476000000003</v>
      </c>
      <c r="L26" s="1">
        <f t="shared" si="2"/>
        <v>909.01152400000001</v>
      </c>
    </row>
    <row r="27" spans="1:21" x14ac:dyDescent="0.35">
      <c r="A27" s="1">
        <v>1025</v>
      </c>
      <c r="B27" s="2">
        <v>45184</v>
      </c>
      <c r="C27" s="1" t="s">
        <v>10</v>
      </c>
      <c r="D27" s="1" t="s">
        <v>30</v>
      </c>
      <c r="E27" s="1" t="s">
        <v>31</v>
      </c>
      <c r="F27" s="1">
        <v>1341.71</v>
      </c>
      <c r="G27" s="1" t="s">
        <v>63</v>
      </c>
      <c r="H27" s="2">
        <v>25430</v>
      </c>
      <c r="I27" s="2">
        <v>45189</v>
      </c>
      <c r="J27" s="1">
        <v>38.22</v>
      </c>
      <c r="K27" s="1">
        <f t="shared" si="1"/>
        <v>512.80156199999999</v>
      </c>
      <c r="L27" s="1">
        <f t="shared" si="2"/>
        <v>828.90843800000005</v>
      </c>
    </row>
    <row r="28" spans="1:21" x14ac:dyDescent="0.35">
      <c r="A28" s="1">
        <v>1026</v>
      </c>
      <c r="B28" s="2">
        <v>44998</v>
      </c>
      <c r="C28" s="1" t="s">
        <v>10</v>
      </c>
      <c r="D28" s="1" t="s">
        <v>44</v>
      </c>
      <c r="E28" s="1" t="s">
        <v>16</v>
      </c>
      <c r="F28" s="1">
        <v>2239.94</v>
      </c>
      <c r="G28" s="1" t="s">
        <v>64</v>
      </c>
      <c r="H28" s="2">
        <v>32375</v>
      </c>
      <c r="I28" s="2">
        <v>45003</v>
      </c>
      <c r="J28" s="1">
        <v>40.1</v>
      </c>
      <c r="K28" s="1">
        <f t="shared" si="1"/>
        <v>898.21594000000005</v>
      </c>
      <c r="L28" s="1">
        <f t="shared" si="2"/>
        <v>1341.72406</v>
      </c>
    </row>
    <row r="29" spans="1:21" x14ac:dyDescent="0.35">
      <c r="A29" s="1">
        <v>1027</v>
      </c>
      <c r="B29" s="2">
        <v>45397</v>
      </c>
      <c r="C29" s="1" t="s">
        <v>14</v>
      </c>
      <c r="D29" s="1" t="s">
        <v>65</v>
      </c>
      <c r="E29" s="1" t="s">
        <v>19</v>
      </c>
      <c r="F29" s="1">
        <v>1759.25</v>
      </c>
      <c r="G29" s="1" t="s">
        <v>66</v>
      </c>
      <c r="H29" s="2">
        <v>33192</v>
      </c>
      <c r="I29" s="2">
        <v>45401</v>
      </c>
      <c r="J29" s="1">
        <v>5.46</v>
      </c>
      <c r="K29" s="1">
        <f t="shared" si="1"/>
        <v>96.055050000000008</v>
      </c>
      <c r="L29" s="1">
        <f t="shared" si="2"/>
        <v>1663.1949500000001</v>
      </c>
    </row>
    <row r="30" spans="1:21" x14ac:dyDescent="0.35">
      <c r="A30" s="1">
        <v>1028</v>
      </c>
      <c r="B30" s="2">
        <v>45841</v>
      </c>
      <c r="C30" s="1" t="s">
        <v>10</v>
      </c>
      <c r="D30" s="1" t="s">
        <v>15</v>
      </c>
      <c r="E30" s="1" t="s">
        <v>16</v>
      </c>
      <c r="F30" s="1">
        <v>4018.52</v>
      </c>
      <c r="G30" s="1" t="s">
        <v>67</v>
      </c>
      <c r="H30" s="2">
        <v>34016</v>
      </c>
      <c r="I30" s="2">
        <v>45852</v>
      </c>
      <c r="J30" s="1">
        <v>19.98</v>
      </c>
      <c r="K30" s="1">
        <f t="shared" si="1"/>
        <v>802.90029600000003</v>
      </c>
      <c r="L30" s="1">
        <f t="shared" si="2"/>
        <v>3215.6197039999997</v>
      </c>
    </row>
    <row r="31" spans="1:21" x14ac:dyDescent="0.35">
      <c r="A31" s="1">
        <v>1029</v>
      </c>
      <c r="B31" s="2">
        <v>44115</v>
      </c>
      <c r="C31" s="1" t="s">
        <v>14</v>
      </c>
      <c r="D31" s="1" t="s">
        <v>47</v>
      </c>
      <c r="E31" s="1" t="s">
        <v>12</v>
      </c>
      <c r="F31" s="1">
        <v>1620.46</v>
      </c>
      <c r="G31" s="1" t="s">
        <v>68</v>
      </c>
      <c r="H31" s="2">
        <v>22079</v>
      </c>
      <c r="I31" s="2">
        <v>44127</v>
      </c>
      <c r="J31" s="1">
        <v>6.11</v>
      </c>
      <c r="K31" s="1">
        <f t="shared" si="1"/>
        <v>99.010106000000007</v>
      </c>
      <c r="L31" s="1">
        <f t="shared" si="2"/>
        <v>1521.4498940000001</v>
      </c>
    </row>
    <row r="32" spans="1:21" x14ac:dyDescent="0.35">
      <c r="A32" s="1">
        <v>1030</v>
      </c>
      <c r="B32" s="2">
        <v>44911</v>
      </c>
      <c r="C32" s="1" t="s">
        <v>10</v>
      </c>
      <c r="D32" s="1" t="s">
        <v>69</v>
      </c>
      <c r="E32" s="1" t="s">
        <v>12</v>
      </c>
      <c r="F32" s="1">
        <v>4976.51</v>
      </c>
      <c r="G32" s="1" t="s">
        <v>70</v>
      </c>
      <c r="H32" s="2">
        <v>30887</v>
      </c>
      <c r="I32" s="2">
        <v>44925</v>
      </c>
      <c r="J32" s="1">
        <v>36.06</v>
      </c>
      <c r="K32" s="1">
        <f t="shared" si="1"/>
        <v>1794.5295060000003</v>
      </c>
      <c r="L32" s="1">
        <f t="shared" si="2"/>
        <v>3181.9804939999999</v>
      </c>
    </row>
    <row r="33" spans="1:12" x14ac:dyDescent="0.35">
      <c r="A33" s="1">
        <v>1031</v>
      </c>
      <c r="B33" s="2">
        <v>44709</v>
      </c>
      <c r="C33" s="1" t="s">
        <v>14</v>
      </c>
      <c r="D33" s="1" t="s">
        <v>71</v>
      </c>
      <c r="E33" s="1" t="s">
        <v>31</v>
      </c>
      <c r="F33" s="1">
        <v>4139.5600000000004</v>
      </c>
      <c r="G33" s="1" t="s">
        <v>72</v>
      </c>
      <c r="H33" s="2">
        <v>32992</v>
      </c>
      <c r="I33" s="2">
        <v>44715</v>
      </c>
      <c r="J33" s="1">
        <v>22.24</v>
      </c>
      <c r="K33" s="1">
        <f t="shared" si="1"/>
        <v>920.63814400000001</v>
      </c>
      <c r="L33" s="1">
        <f t="shared" si="2"/>
        <v>3218.9218560000004</v>
      </c>
    </row>
    <row r="34" spans="1:12" x14ac:dyDescent="0.35">
      <c r="A34" s="1">
        <v>1032</v>
      </c>
      <c r="B34" s="2">
        <v>44282</v>
      </c>
      <c r="C34" s="1" t="s">
        <v>35</v>
      </c>
      <c r="D34" s="1" t="s">
        <v>38</v>
      </c>
      <c r="E34" s="1" t="s">
        <v>28</v>
      </c>
      <c r="F34" s="1">
        <v>4770.8999999999996</v>
      </c>
      <c r="G34" s="1" t="s">
        <v>42</v>
      </c>
      <c r="H34" s="2">
        <v>26027</v>
      </c>
      <c r="I34" s="2">
        <v>44284</v>
      </c>
      <c r="J34" s="1">
        <v>37.08</v>
      </c>
      <c r="K34" s="1">
        <f t="shared" si="1"/>
        <v>1769.0497199999998</v>
      </c>
      <c r="L34" s="1">
        <f t="shared" si="2"/>
        <v>3001.8502799999997</v>
      </c>
    </row>
    <row r="35" spans="1:12" x14ac:dyDescent="0.35">
      <c r="A35" s="1">
        <v>1033</v>
      </c>
      <c r="B35" s="2">
        <v>44348</v>
      </c>
      <c r="C35" s="1" t="s">
        <v>10</v>
      </c>
      <c r="D35" s="1" t="s">
        <v>73</v>
      </c>
      <c r="E35" s="1" t="s">
        <v>28</v>
      </c>
      <c r="F35" s="1">
        <v>4960.07</v>
      </c>
      <c r="G35" s="1" t="s">
        <v>74</v>
      </c>
      <c r="H35" s="2">
        <v>31224</v>
      </c>
      <c r="I35" s="2">
        <v>44362</v>
      </c>
      <c r="J35" s="1">
        <v>32.39</v>
      </c>
      <c r="K35" s="1">
        <f t="shared" si="1"/>
        <v>1606.566673</v>
      </c>
      <c r="L35" s="1">
        <f t="shared" si="2"/>
        <v>3353.5033269999994</v>
      </c>
    </row>
    <row r="36" spans="1:12" x14ac:dyDescent="0.35">
      <c r="A36" s="1">
        <v>1034</v>
      </c>
      <c r="B36" s="2">
        <v>45016</v>
      </c>
      <c r="C36" s="1" t="s">
        <v>10</v>
      </c>
      <c r="D36" s="1" t="s">
        <v>47</v>
      </c>
      <c r="E36" s="1" t="s">
        <v>12</v>
      </c>
      <c r="F36" s="1">
        <v>3598.89</v>
      </c>
      <c r="G36" s="1" t="s">
        <v>75</v>
      </c>
      <c r="H36" s="2">
        <v>25853</v>
      </c>
      <c r="I36" s="2">
        <v>45026</v>
      </c>
      <c r="J36" s="1">
        <v>2.8</v>
      </c>
      <c r="K36" s="1">
        <f t="shared" si="1"/>
        <v>100.76891999999998</v>
      </c>
      <c r="L36" s="1">
        <f t="shared" si="2"/>
        <v>3498.1210799999999</v>
      </c>
    </row>
    <row r="37" spans="1:12" x14ac:dyDescent="0.35">
      <c r="A37" s="1">
        <v>1035</v>
      </c>
      <c r="B37" s="2">
        <v>45070</v>
      </c>
      <c r="C37" s="1" t="s">
        <v>26</v>
      </c>
      <c r="D37" s="1" t="s">
        <v>69</v>
      </c>
      <c r="E37" s="1" t="s">
        <v>31</v>
      </c>
      <c r="F37" s="1">
        <v>2445.59</v>
      </c>
      <c r="G37" s="1" t="s">
        <v>76</v>
      </c>
      <c r="H37" s="2">
        <v>37049</v>
      </c>
      <c r="I37" s="2">
        <v>45081</v>
      </c>
      <c r="J37" s="1">
        <v>9.6</v>
      </c>
      <c r="K37" s="1">
        <f t="shared" si="1"/>
        <v>234.77664000000001</v>
      </c>
      <c r="L37" s="1">
        <f t="shared" si="2"/>
        <v>2210.8133600000001</v>
      </c>
    </row>
    <row r="38" spans="1:12" x14ac:dyDescent="0.35">
      <c r="A38" s="1">
        <v>1036</v>
      </c>
      <c r="B38" s="2">
        <v>45035</v>
      </c>
      <c r="C38" s="1" t="s">
        <v>35</v>
      </c>
      <c r="D38" s="1" t="s">
        <v>58</v>
      </c>
      <c r="E38" s="1" t="s">
        <v>31</v>
      </c>
      <c r="F38" s="1">
        <v>3781.84</v>
      </c>
      <c r="G38" s="1" t="s">
        <v>77</v>
      </c>
      <c r="H38" s="2">
        <v>38696</v>
      </c>
      <c r="I38" s="2">
        <v>45038</v>
      </c>
      <c r="J38" s="1">
        <v>35.909999999999997</v>
      </c>
      <c r="K38" s="1">
        <f t="shared" si="1"/>
        <v>1358.0587439999999</v>
      </c>
      <c r="L38" s="1">
        <f t="shared" si="2"/>
        <v>2423.7812560000002</v>
      </c>
    </row>
    <row r="39" spans="1:12" x14ac:dyDescent="0.35">
      <c r="A39" s="1">
        <v>1037</v>
      </c>
      <c r="B39" s="2">
        <v>45283</v>
      </c>
      <c r="C39" s="1" t="s">
        <v>21</v>
      </c>
      <c r="D39" s="1" t="s">
        <v>71</v>
      </c>
      <c r="E39" s="1" t="s">
        <v>31</v>
      </c>
      <c r="F39" s="1">
        <v>2577.08</v>
      </c>
      <c r="G39" s="1" t="s">
        <v>78</v>
      </c>
      <c r="H39" s="2">
        <v>25099</v>
      </c>
      <c r="I39" s="2">
        <v>45294</v>
      </c>
      <c r="J39" s="1">
        <v>14.51</v>
      </c>
      <c r="K39" s="1">
        <f t="shared" si="1"/>
        <v>373.93430799999999</v>
      </c>
      <c r="L39" s="1">
        <f t="shared" si="2"/>
        <v>2203.1456920000001</v>
      </c>
    </row>
    <row r="40" spans="1:12" x14ac:dyDescent="0.35">
      <c r="A40" s="1">
        <v>1038</v>
      </c>
      <c r="B40" s="2">
        <v>45444</v>
      </c>
      <c r="C40" s="1" t="s">
        <v>26</v>
      </c>
      <c r="D40" s="1" t="s">
        <v>33</v>
      </c>
      <c r="E40" s="1" t="s">
        <v>16</v>
      </c>
      <c r="F40" s="1">
        <v>301.27999999999997</v>
      </c>
      <c r="G40" s="1" t="s">
        <v>79</v>
      </c>
      <c r="H40" s="2">
        <v>28675</v>
      </c>
      <c r="I40" s="2">
        <v>45447</v>
      </c>
      <c r="J40" s="1">
        <v>40.67</v>
      </c>
      <c r="K40" s="1">
        <f t="shared" si="1"/>
        <v>122.530576</v>
      </c>
      <c r="L40" s="1">
        <f t="shared" si="2"/>
        <v>178.74942399999998</v>
      </c>
    </row>
    <row r="41" spans="1:12" x14ac:dyDescent="0.35">
      <c r="A41" s="1">
        <v>1039</v>
      </c>
      <c r="B41" s="2">
        <v>44521</v>
      </c>
      <c r="C41" s="1" t="s">
        <v>35</v>
      </c>
      <c r="D41" s="1" t="s">
        <v>58</v>
      </c>
      <c r="E41" s="1" t="s">
        <v>31</v>
      </c>
      <c r="F41" s="1">
        <v>2471.8000000000002</v>
      </c>
      <c r="G41" s="1" t="s">
        <v>80</v>
      </c>
      <c r="H41" s="2">
        <v>31578</v>
      </c>
      <c r="I41" s="2">
        <v>44522</v>
      </c>
      <c r="J41" s="1">
        <v>29.86</v>
      </c>
      <c r="K41" s="1">
        <f t="shared" si="1"/>
        <v>738.07947999999999</v>
      </c>
      <c r="L41" s="1">
        <f t="shared" si="2"/>
        <v>1733.7205200000003</v>
      </c>
    </row>
    <row r="42" spans="1:12" x14ac:dyDescent="0.35">
      <c r="A42" s="1">
        <v>1040</v>
      </c>
      <c r="B42" s="2">
        <v>45056</v>
      </c>
      <c r="C42" s="1" t="s">
        <v>10</v>
      </c>
      <c r="D42" s="1" t="s">
        <v>24</v>
      </c>
      <c r="E42" s="1" t="s">
        <v>19</v>
      </c>
      <c r="F42" s="1">
        <v>2421.06</v>
      </c>
      <c r="G42" s="1" t="s">
        <v>81</v>
      </c>
      <c r="H42" s="2">
        <v>38350</v>
      </c>
      <c r="I42" s="2">
        <v>45069</v>
      </c>
      <c r="J42" s="1">
        <v>41.86</v>
      </c>
      <c r="K42" s="1">
        <f t="shared" si="1"/>
        <v>1013.4557159999999</v>
      </c>
      <c r="L42" s="1">
        <f t="shared" si="2"/>
        <v>1407.604284</v>
      </c>
    </row>
    <row r="43" spans="1:12" x14ac:dyDescent="0.35">
      <c r="A43" s="1">
        <v>1041</v>
      </c>
      <c r="B43" s="2">
        <v>44876</v>
      </c>
      <c r="C43" s="1" t="s">
        <v>26</v>
      </c>
      <c r="D43" s="1" t="s">
        <v>18</v>
      </c>
      <c r="E43" s="1" t="s">
        <v>19</v>
      </c>
      <c r="F43" s="1">
        <v>2755.69</v>
      </c>
      <c r="G43" s="1" t="s">
        <v>82</v>
      </c>
      <c r="H43" s="2">
        <v>38879</v>
      </c>
      <c r="I43" s="2">
        <v>44881</v>
      </c>
      <c r="J43" s="1">
        <v>8.0500000000000007</v>
      </c>
      <c r="K43" s="1">
        <f t="shared" si="1"/>
        <v>221.833045</v>
      </c>
      <c r="L43" s="1">
        <f t="shared" si="2"/>
        <v>2533.8569550000002</v>
      </c>
    </row>
    <row r="44" spans="1:12" x14ac:dyDescent="0.35">
      <c r="A44" s="1">
        <v>1042</v>
      </c>
      <c r="B44" s="2">
        <v>44218</v>
      </c>
      <c r="C44" s="1" t="s">
        <v>35</v>
      </c>
      <c r="D44" s="1" t="s">
        <v>65</v>
      </c>
      <c r="E44" s="1" t="s">
        <v>19</v>
      </c>
      <c r="F44" s="1">
        <v>2810.19</v>
      </c>
      <c r="G44" s="1" t="s">
        <v>83</v>
      </c>
      <c r="H44" s="2">
        <v>24673</v>
      </c>
      <c r="I44" s="2">
        <v>44225</v>
      </c>
      <c r="J44" s="1">
        <v>22.77</v>
      </c>
      <c r="K44" s="1">
        <f t="shared" si="1"/>
        <v>639.88026300000001</v>
      </c>
      <c r="L44" s="1">
        <f t="shared" si="2"/>
        <v>2170.309737</v>
      </c>
    </row>
    <row r="45" spans="1:12" x14ac:dyDescent="0.35">
      <c r="A45" s="1">
        <v>1043</v>
      </c>
      <c r="B45" s="2">
        <v>45566</v>
      </c>
      <c r="C45" s="1" t="s">
        <v>21</v>
      </c>
      <c r="D45" s="1" t="s">
        <v>71</v>
      </c>
      <c r="E45" s="1" t="s">
        <v>31</v>
      </c>
      <c r="F45" s="1">
        <v>2567.7399999999998</v>
      </c>
      <c r="G45" s="1" t="s">
        <v>84</v>
      </c>
      <c r="H45" s="2">
        <v>26472</v>
      </c>
      <c r="I45" s="2">
        <v>45578</v>
      </c>
      <c r="J45" s="1">
        <v>43.1</v>
      </c>
      <c r="K45" s="1">
        <f t="shared" si="1"/>
        <v>1106.6959399999998</v>
      </c>
      <c r="L45" s="1">
        <f t="shared" si="2"/>
        <v>1461.0440599999999</v>
      </c>
    </row>
    <row r="46" spans="1:12" x14ac:dyDescent="0.35">
      <c r="A46" s="1">
        <v>1044</v>
      </c>
      <c r="B46" s="2">
        <v>45605</v>
      </c>
      <c r="C46" s="1" t="s">
        <v>26</v>
      </c>
      <c r="D46" s="1" t="s">
        <v>44</v>
      </c>
      <c r="E46" s="1" t="s">
        <v>16</v>
      </c>
      <c r="F46" s="1">
        <v>1716.51</v>
      </c>
      <c r="G46" s="1" t="s">
        <v>67</v>
      </c>
      <c r="H46" s="2">
        <v>34016</v>
      </c>
      <c r="I46" s="2">
        <v>45619</v>
      </c>
      <c r="J46" s="1">
        <v>4.53</v>
      </c>
      <c r="K46" s="1">
        <f t="shared" si="1"/>
        <v>77.757902999999999</v>
      </c>
      <c r="L46" s="1">
        <f t="shared" si="2"/>
        <v>1638.752097</v>
      </c>
    </row>
    <row r="47" spans="1:12" x14ac:dyDescent="0.35">
      <c r="A47" s="1">
        <v>1045</v>
      </c>
      <c r="B47" s="2">
        <v>44129</v>
      </c>
      <c r="C47" s="1" t="s">
        <v>10</v>
      </c>
      <c r="D47" s="1" t="s">
        <v>44</v>
      </c>
      <c r="E47" s="1" t="s">
        <v>16</v>
      </c>
      <c r="F47" s="1">
        <v>2117.04</v>
      </c>
      <c r="G47" s="1" t="s">
        <v>85</v>
      </c>
      <c r="H47" s="2">
        <v>37236</v>
      </c>
      <c r="I47" s="2">
        <v>44138</v>
      </c>
      <c r="J47" s="1">
        <v>44.1</v>
      </c>
      <c r="K47" s="1">
        <f t="shared" si="1"/>
        <v>933.61464000000001</v>
      </c>
      <c r="L47" s="1">
        <f t="shared" si="2"/>
        <v>1183.42536</v>
      </c>
    </row>
    <row r="48" spans="1:12" x14ac:dyDescent="0.35">
      <c r="A48" s="1">
        <v>1046</v>
      </c>
      <c r="B48" s="2">
        <v>45878</v>
      </c>
      <c r="C48" s="1" t="s">
        <v>14</v>
      </c>
      <c r="D48" s="1" t="s">
        <v>55</v>
      </c>
      <c r="E48" s="1" t="s">
        <v>31</v>
      </c>
      <c r="F48" s="1">
        <v>4425.8100000000004</v>
      </c>
      <c r="G48" s="1" t="s">
        <v>86</v>
      </c>
      <c r="H48" s="2">
        <v>37858</v>
      </c>
      <c r="I48" s="2">
        <v>45886</v>
      </c>
      <c r="J48" s="1">
        <v>25.08</v>
      </c>
      <c r="K48" s="1">
        <f t="shared" si="1"/>
        <v>1109.993148</v>
      </c>
      <c r="L48" s="1">
        <f t="shared" si="2"/>
        <v>3315.8168520000004</v>
      </c>
    </row>
    <row r="49" spans="1:12" x14ac:dyDescent="0.35">
      <c r="A49" s="1">
        <v>1047</v>
      </c>
      <c r="B49" s="2">
        <v>45337</v>
      </c>
      <c r="C49" s="1" t="s">
        <v>26</v>
      </c>
      <c r="D49" s="1" t="s">
        <v>18</v>
      </c>
      <c r="E49" s="1" t="s">
        <v>19</v>
      </c>
      <c r="F49" s="1">
        <v>1443.45</v>
      </c>
      <c r="G49" s="1" t="s">
        <v>87</v>
      </c>
      <c r="H49" s="2">
        <v>36012</v>
      </c>
      <c r="I49" s="2">
        <v>45338</v>
      </c>
      <c r="J49" s="1">
        <v>34.08</v>
      </c>
      <c r="K49" s="1">
        <f t="shared" si="1"/>
        <v>491.92775999999998</v>
      </c>
      <c r="L49" s="1">
        <f t="shared" si="2"/>
        <v>951.52224000000001</v>
      </c>
    </row>
    <row r="50" spans="1:12" x14ac:dyDescent="0.35">
      <c r="A50" s="1">
        <v>1048</v>
      </c>
      <c r="B50" s="2">
        <v>44436</v>
      </c>
      <c r="C50" s="1" t="s">
        <v>21</v>
      </c>
      <c r="D50" s="1" t="s">
        <v>88</v>
      </c>
      <c r="E50" s="1" t="s">
        <v>16</v>
      </c>
      <c r="F50" s="1">
        <v>2162.52</v>
      </c>
      <c r="G50" s="1" t="s">
        <v>89</v>
      </c>
      <c r="H50" s="2">
        <v>37141</v>
      </c>
      <c r="I50" s="2">
        <v>44437</v>
      </c>
      <c r="J50" s="1">
        <v>37.590000000000003</v>
      </c>
      <c r="K50" s="1">
        <f t="shared" si="1"/>
        <v>812.89126799999997</v>
      </c>
      <c r="L50" s="1">
        <f t="shared" si="2"/>
        <v>1349.6287320000001</v>
      </c>
    </row>
    <row r="51" spans="1:12" x14ac:dyDescent="0.35">
      <c r="A51" s="1">
        <v>1049</v>
      </c>
      <c r="B51" s="2">
        <v>44339</v>
      </c>
      <c r="C51" s="1" t="s">
        <v>14</v>
      </c>
      <c r="D51" s="1" t="s">
        <v>24</v>
      </c>
      <c r="E51" s="1" t="s">
        <v>19</v>
      </c>
      <c r="F51" s="1">
        <v>2194.81</v>
      </c>
      <c r="G51" s="1" t="s">
        <v>90</v>
      </c>
      <c r="H51" s="2">
        <v>29348</v>
      </c>
      <c r="I51" s="2">
        <v>44343</v>
      </c>
      <c r="J51" s="1">
        <v>31.26</v>
      </c>
      <c r="K51" s="1">
        <f t="shared" si="1"/>
        <v>686.09760599999993</v>
      </c>
      <c r="L51" s="1">
        <f t="shared" si="2"/>
        <v>1508.7123940000001</v>
      </c>
    </row>
    <row r="52" spans="1:12" x14ac:dyDescent="0.35">
      <c r="A52" s="1">
        <v>1050</v>
      </c>
      <c r="B52" s="2">
        <v>45450</v>
      </c>
      <c r="C52" s="1" t="s">
        <v>35</v>
      </c>
      <c r="D52" s="1" t="s">
        <v>61</v>
      </c>
      <c r="E52" s="1" t="s">
        <v>19</v>
      </c>
      <c r="F52" s="1">
        <v>4255.5600000000004</v>
      </c>
      <c r="G52" s="1" t="s">
        <v>91</v>
      </c>
      <c r="H52" s="2">
        <v>34220</v>
      </c>
      <c r="I52" s="2">
        <v>45452</v>
      </c>
      <c r="J52" s="1">
        <v>31.49</v>
      </c>
      <c r="K52" s="1">
        <f t="shared" si="1"/>
        <v>1340.075844</v>
      </c>
      <c r="L52" s="1">
        <f t="shared" si="2"/>
        <v>2915.4841560000004</v>
      </c>
    </row>
    <row r="53" spans="1:12" x14ac:dyDescent="0.35">
      <c r="A53" s="1">
        <v>1051</v>
      </c>
      <c r="B53" s="2">
        <v>44296</v>
      </c>
      <c r="C53" s="1" t="s">
        <v>35</v>
      </c>
      <c r="D53" s="1" t="s">
        <v>69</v>
      </c>
      <c r="E53" s="1" t="s">
        <v>12</v>
      </c>
      <c r="F53" s="1">
        <v>3921.4</v>
      </c>
      <c r="G53" s="1" t="s">
        <v>92</v>
      </c>
      <c r="H53" s="2">
        <v>24544</v>
      </c>
      <c r="I53" s="2">
        <v>44304</v>
      </c>
      <c r="J53" s="1">
        <v>23.42</v>
      </c>
      <c r="K53" s="1">
        <f t="shared" si="1"/>
        <v>918.39188000000013</v>
      </c>
      <c r="L53" s="1">
        <f t="shared" si="2"/>
        <v>3003.00812</v>
      </c>
    </row>
    <row r="54" spans="1:12" x14ac:dyDescent="0.35">
      <c r="A54" s="1">
        <v>1052</v>
      </c>
      <c r="B54" s="2">
        <v>44954</v>
      </c>
      <c r="C54" s="1" t="s">
        <v>35</v>
      </c>
      <c r="D54" s="1" t="s">
        <v>65</v>
      </c>
      <c r="E54" s="1" t="s">
        <v>19</v>
      </c>
      <c r="F54" s="1">
        <v>4847.83</v>
      </c>
      <c r="G54" s="1" t="s">
        <v>93</v>
      </c>
      <c r="H54" s="2">
        <v>33984</v>
      </c>
      <c r="I54" s="2">
        <v>44960</v>
      </c>
      <c r="J54" s="1">
        <v>14.96</v>
      </c>
      <c r="K54" s="1">
        <f t="shared" si="1"/>
        <v>725.23536799999999</v>
      </c>
      <c r="L54" s="1">
        <f t="shared" si="2"/>
        <v>4122.5946320000003</v>
      </c>
    </row>
    <row r="55" spans="1:12" x14ac:dyDescent="0.35">
      <c r="A55" s="1">
        <v>1053</v>
      </c>
      <c r="B55" s="2">
        <v>45512</v>
      </c>
      <c r="C55" s="1" t="s">
        <v>14</v>
      </c>
      <c r="D55" s="1" t="s">
        <v>18</v>
      </c>
      <c r="E55" s="1" t="s">
        <v>19</v>
      </c>
      <c r="F55" s="1">
        <v>1731.23</v>
      </c>
      <c r="G55" s="1" t="s">
        <v>94</v>
      </c>
      <c r="H55" s="2">
        <v>25516</v>
      </c>
      <c r="I55" s="2">
        <v>45516</v>
      </c>
      <c r="J55" s="1">
        <v>8.27</v>
      </c>
      <c r="K55" s="1">
        <f t="shared" si="1"/>
        <v>143.172721</v>
      </c>
      <c r="L55" s="1">
        <f t="shared" si="2"/>
        <v>1588.0572790000001</v>
      </c>
    </row>
    <row r="56" spans="1:12" x14ac:dyDescent="0.35">
      <c r="A56" s="1">
        <v>1054</v>
      </c>
      <c r="B56" s="2">
        <v>45579</v>
      </c>
      <c r="C56" s="1" t="s">
        <v>10</v>
      </c>
      <c r="D56" s="1" t="s">
        <v>15</v>
      </c>
      <c r="E56" s="1" t="s">
        <v>16</v>
      </c>
      <c r="F56" s="1">
        <v>1414.61</v>
      </c>
      <c r="G56" s="1" t="s">
        <v>95</v>
      </c>
      <c r="H56" s="2">
        <v>25821</v>
      </c>
      <c r="I56" s="2">
        <v>45580</v>
      </c>
      <c r="J56" s="1">
        <v>10.31</v>
      </c>
      <c r="K56" s="1">
        <f t="shared" si="1"/>
        <v>145.84629100000001</v>
      </c>
      <c r="L56" s="1">
        <f t="shared" si="2"/>
        <v>1268.7637089999998</v>
      </c>
    </row>
    <row r="57" spans="1:12" x14ac:dyDescent="0.35">
      <c r="A57" s="1">
        <v>1055</v>
      </c>
      <c r="B57" s="2">
        <v>45293</v>
      </c>
      <c r="C57" s="1" t="s">
        <v>35</v>
      </c>
      <c r="D57" s="1" t="s">
        <v>27</v>
      </c>
      <c r="E57" s="1" t="s">
        <v>28</v>
      </c>
      <c r="F57" s="1">
        <v>2130.08</v>
      </c>
      <c r="G57" s="1" t="s">
        <v>96</v>
      </c>
      <c r="H57" s="2">
        <v>36236</v>
      </c>
      <c r="I57" s="2">
        <v>45298</v>
      </c>
      <c r="J57" s="1">
        <v>20.03</v>
      </c>
      <c r="K57" s="1">
        <f t="shared" si="1"/>
        <v>426.65502400000003</v>
      </c>
      <c r="L57" s="1">
        <f t="shared" si="2"/>
        <v>1703.4249759999998</v>
      </c>
    </row>
    <row r="58" spans="1:12" x14ac:dyDescent="0.35">
      <c r="A58" s="1">
        <v>1056</v>
      </c>
      <c r="B58" s="2">
        <v>44987</v>
      </c>
      <c r="C58" s="1" t="s">
        <v>10</v>
      </c>
      <c r="D58" s="1" t="s">
        <v>40</v>
      </c>
      <c r="E58" s="1" t="s">
        <v>16</v>
      </c>
      <c r="F58" s="1">
        <v>3373.61</v>
      </c>
      <c r="G58" s="1" t="s">
        <v>97</v>
      </c>
      <c r="H58" s="2">
        <v>24706</v>
      </c>
      <c r="I58" s="2">
        <v>45000</v>
      </c>
      <c r="J58" s="1">
        <v>23.87</v>
      </c>
      <c r="K58" s="1">
        <f t="shared" si="1"/>
        <v>805.28070700000012</v>
      </c>
      <c r="L58" s="1">
        <f t="shared" si="2"/>
        <v>2568.3292929999998</v>
      </c>
    </row>
    <row r="59" spans="1:12" x14ac:dyDescent="0.35">
      <c r="A59" s="1">
        <v>1057</v>
      </c>
      <c r="B59" s="2">
        <v>44784</v>
      </c>
      <c r="C59" s="1" t="s">
        <v>35</v>
      </c>
      <c r="D59" s="1" t="s">
        <v>53</v>
      </c>
      <c r="E59" s="1" t="s">
        <v>28</v>
      </c>
      <c r="F59" s="1">
        <v>2471.33</v>
      </c>
      <c r="G59" s="1" t="s">
        <v>32</v>
      </c>
      <c r="H59" s="2">
        <v>27166</v>
      </c>
      <c r="I59" s="2">
        <v>44788</v>
      </c>
      <c r="J59" s="1">
        <v>19.45</v>
      </c>
      <c r="K59" s="1">
        <f t="shared" si="1"/>
        <v>480.67368499999998</v>
      </c>
      <c r="L59" s="1">
        <f t="shared" si="2"/>
        <v>1990.6563149999999</v>
      </c>
    </row>
    <row r="60" spans="1:12" x14ac:dyDescent="0.35">
      <c r="A60" s="1">
        <v>1058</v>
      </c>
      <c r="B60" s="2">
        <v>44862</v>
      </c>
      <c r="C60" s="1" t="s">
        <v>21</v>
      </c>
      <c r="D60" s="1" t="s">
        <v>53</v>
      </c>
      <c r="E60" s="1" t="s">
        <v>28</v>
      </c>
      <c r="F60" s="1">
        <v>2895.56</v>
      </c>
      <c r="G60" s="1" t="s">
        <v>98</v>
      </c>
      <c r="H60" s="2">
        <v>38134</v>
      </c>
      <c r="I60" s="2">
        <v>44870</v>
      </c>
      <c r="J60" s="1">
        <v>2.38</v>
      </c>
      <c r="K60" s="1">
        <f t="shared" si="1"/>
        <v>68.914327999999998</v>
      </c>
      <c r="L60" s="1">
        <f t="shared" si="2"/>
        <v>2826.6456720000001</v>
      </c>
    </row>
    <row r="61" spans="1:12" x14ac:dyDescent="0.35">
      <c r="A61" s="1">
        <v>1059</v>
      </c>
      <c r="B61" s="2">
        <v>45636</v>
      </c>
      <c r="C61" s="1" t="s">
        <v>10</v>
      </c>
      <c r="D61" s="1" t="s">
        <v>15</v>
      </c>
      <c r="E61" s="1" t="s">
        <v>16</v>
      </c>
      <c r="F61" s="1">
        <v>401.47</v>
      </c>
      <c r="G61" s="1" t="s">
        <v>66</v>
      </c>
      <c r="H61" s="2">
        <v>33192</v>
      </c>
      <c r="I61" s="2">
        <v>45637</v>
      </c>
      <c r="J61" s="1">
        <v>41.19</v>
      </c>
      <c r="K61" s="1">
        <f t="shared" si="1"/>
        <v>165.36549300000001</v>
      </c>
      <c r="L61" s="1">
        <f t="shared" si="2"/>
        <v>236.10450700000001</v>
      </c>
    </row>
    <row r="62" spans="1:12" x14ac:dyDescent="0.35">
      <c r="A62" s="1">
        <v>1060</v>
      </c>
      <c r="B62" s="2">
        <v>44494</v>
      </c>
      <c r="C62" s="1" t="s">
        <v>10</v>
      </c>
      <c r="D62" s="1" t="s">
        <v>11</v>
      </c>
      <c r="E62" s="1" t="s">
        <v>12</v>
      </c>
      <c r="F62" s="1">
        <v>2174.4499999999998</v>
      </c>
      <c r="G62" s="1" t="s">
        <v>99</v>
      </c>
      <c r="H62" s="2">
        <v>26397</v>
      </c>
      <c r="I62" s="2">
        <v>44501</v>
      </c>
      <c r="J62" s="1">
        <v>42.65</v>
      </c>
      <c r="K62" s="1">
        <f t="shared" si="1"/>
        <v>927.40292499999987</v>
      </c>
      <c r="L62" s="1">
        <f t="shared" si="2"/>
        <v>1247.0470749999999</v>
      </c>
    </row>
    <row r="63" spans="1:12" x14ac:dyDescent="0.35">
      <c r="A63" s="1">
        <v>1061</v>
      </c>
      <c r="B63" s="2">
        <v>45886</v>
      </c>
      <c r="C63" s="1" t="s">
        <v>14</v>
      </c>
      <c r="D63" s="1" t="s">
        <v>58</v>
      </c>
      <c r="E63" s="1" t="s">
        <v>31</v>
      </c>
      <c r="F63" s="1">
        <v>2919.16</v>
      </c>
      <c r="G63" s="1" t="s">
        <v>100</v>
      </c>
      <c r="H63" s="2">
        <v>22100</v>
      </c>
      <c r="I63" s="2">
        <v>45892</v>
      </c>
      <c r="J63" s="1">
        <v>19.739999999999998</v>
      </c>
      <c r="K63" s="1">
        <f t="shared" si="1"/>
        <v>576.24218399999995</v>
      </c>
      <c r="L63" s="1">
        <f t="shared" si="2"/>
        <v>2342.9178160000001</v>
      </c>
    </row>
    <row r="64" spans="1:12" x14ac:dyDescent="0.35">
      <c r="A64" s="1">
        <v>1062</v>
      </c>
      <c r="B64" s="2">
        <v>45749</v>
      </c>
      <c r="C64" s="1" t="s">
        <v>10</v>
      </c>
      <c r="D64" s="1" t="s">
        <v>33</v>
      </c>
      <c r="E64" s="1" t="s">
        <v>16</v>
      </c>
      <c r="F64" s="1">
        <v>4834.29</v>
      </c>
      <c r="G64" s="1" t="s">
        <v>101</v>
      </c>
      <c r="H64" s="2">
        <v>31331</v>
      </c>
      <c r="I64" s="2">
        <v>45759</v>
      </c>
      <c r="J64" s="1">
        <v>2.39</v>
      </c>
      <c r="K64" s="1">
        <f t="shared" si="1"/>
        <v>115.53953100000001</v>
      </c>
      <c r="L64" s="1">
        <f t="shared" si="2"/>
        <v>4718.7504689999996</v>
      </c>
    </row>
    <row r="65" spans="1:12" x14ac:dyDescent="0.35">
      <c r="A65" s="1">
        <v>1063</v>
      </c>
      <c r="B65" s="2">
        <v>44590</v>
      </c>
      <c r="C65" s="1" t="s">
        <v>14</v>
      </c>
      <c r="D65" s="1" t="s">
        <v>36</v>
      </c>
      <c r="E65" s="1" t="s">
        <v>28</v>
      </c>
      <c r="F65" s="1">
        <v>543.84</v>
      </c>
      <c r="G65" s="1" t="s">
        <v>39</v>
      </c>
      <c r="H65" s="2">
        <v>26282</v>
      </c>
      <c r="I65" s="2">
        <v>44603</v>
      </c>
      <c r="J65" s="1">
        <v>27.65</v>
      </c>
      <c r="K65" s="1">
        <f t="shared" si="1"/>
        <v>150.37175999999999</v>
      </c>
      <c r="L65" s="1">
        <f t="shared" si="2"/>
        <v>393.46824000000004</v>
      </c>
    </row>
    <row r="66" spans="1:12" x14ac:dyDescent="0.35">
      <c r="A66" s="1">
        <v>1064</v>
      </c>
      <c r="B66" s="2">
        <v>44565</v>
      </c>
      <c r="C66" s="1" t="s">
        <v>35</v>
      </c>
      <c r="D66" s="1" t="s">
        <v>102</v>
      </c>
      <c r="E66" s="1" t="s">
        <v>12</v>
      </c>
      <c r="F66" s="1">
        <v>809.73</v>
      </c>
      <c r="G66" s="1" t="s">
        <v>94</v>
      </c>
      <c r="H66" s="2">
        <v>25516</v>
      </c>
      <c r="I66" s="2">
        <v>44571</v>
      </c>
      <c r="J66" s="1">
        <v>34.11</v>
      </c>
      <c r="K66" s="1">
        <f t="shared" si="1"/>
        <v>276.19890300000003</v>
      </c>
      <c r="L66" s="1">
        <f t="shared" si="2"/>
        <v>533.53109700000005</v>
      </c>
    </row>
    <row r="67" spans="1:12" x14ac:dyDescent="0.35">
      <c r="A67" s="1">
        <v>1065</v>
      </c>
      <c r="B67" s="2">
        <v>45418</v>
      </c>
      <c r="C67" s="1" t="s">
        <v>26</v>
      </c>
      <c r="D67" s="1" t="s">
        <v>58</v>
      </c>
      <c r="E67" s="1" t="s">
        <v>31</v>
      </c>
      <c r="F67" s="1">
        <v>3284.07</v>
      </c>
      <c r="G67" s="1" t="s">
        <v>103</v>
      </c>
      <c r="H67" s="2">
        <v>30923</v>
      </c>
      <c r="I67" s="2">
        <v>45425</v>
      </c>
      <c r="J67" s="1">
        <v>32.409999999999997</v>
      </c>
      <c r="K67" s="1">
        <f t="shared" ref="K67:K130" si="4">F67*J67%</f>
        <v>1064.3670869999999</v>
      </c>
      <c r="L67" s="1">
        <f t="shared" ref="L67:L130" si="5">F67-K67</f>
        <v>2219.7029130000001</v>
      </c>
    </row>
    <row r="68" spans="1:12" x14ac:dyDescent="0.35">
      <c r="A68" s="1">
        <v>1066</v>
      </c>
      <c r="B68" s="2">
        <v>44121</v>
      </c>
      <c r="C68" s="1" t="s">
        <v>14</v>
      </c>
      <c r="D68" s="1" t="s">
        <v>30</v>
      </c>
      <c r="E68" s="1" t="s">
        <v>31</v>
      </c>
      <c r="F68" s="1">
        <v>3022.63</v>
      </c>
      <c r="G68" s="1" t="s">
        <v>104</v>
      </c>
      <c r="H68" s="2">
        <v>24852</v>
      </c>
      <c r="I68" s="2">
        <v>44124</v>
      </c>
      <c r="J68" s="1">
        <v>15.46</v>
      </c>
      <c r="K68" s="1">
        <f t="shared" si="4"/>
        <v>467.29859800000008</v>
      </c>
      <c r="L68" s="1">
        <f t="shared" si="5"/>
        <v>2555.3314019999998</v>
      </c>
    </row>
    <row r="69" spans="1:12" x14ac:dyDescent="0.35">
      <c r="A69" s="1">
        <v>1067</v>
      </c>
      <c r="B69" s="2">
        <v>44633</v>
      </c>
      <c r="C69" s="1" t="s">
        <v>14</v>
      </c>
      <c r="D69" s="1" t="s">
        <v>61</v>
      </c>
      <c r="E69" s="1" t="s">
        <v>19</v>
      </c>
      <c r="F69" s="1">
        <v>1227.01</v>
      </c>
      <c r="G69" s="1" t="s">
        <v>105</v>
      </c>
      <c r="H69" s="2">
        <v>35889</v>
      </c>
      <c r="I69" s="2">
        <v>44635</v>
      </c>
      <c r="J69" s="1">
        <v>10.28</v>
      </c>
      <c r="K69" s="1">
        <f t="shared" si="4"/>
        <v>126.13662799999999</v>
      </c>
      <c r="L69" s="1">
        <f t="shared" si="5"/>
        <v>1100.873372</v>
      </c>
    </row>
    <row r="70" spans="1:12" x14ac:dyDescent="0.35">
      <c r="A70" s="1">
        <v>1068</v>
      </c>
      <c r="B70" s="2">
        <v>45567</v>
      </c>
      <c r="C70" s="1" t="s">
        <v>10</v>
      </c>
      <c r="D70" s="1" t="s">
        <v>15</v>
      </c>
      <c r="E70" s="1" t="s">
        <v>16</v>
      </c>
      <c r="F70" s="1">
        <v>2133.52</v>
      </c>
      <c r="G70" s="1" t="s">
        <v>62</v>
      </c>
      <c r="H70" s="2">
        <v>22870</v>
      </c>
      <c r="I70" s="2">
        <v>45572</v>
      </c>
      <c r="J70" s="1">
        <v>49.58</v>
      </c>
      <c r="K70" s="1">
        <f t="shared" si="4"/>
        <v>1057.7992159999999</v>
      </c>
      <c r="L70" s="1">
        <f t="shared" si="5"/>
        <v>1075.7207840000001</v>
      </c>
    </row>
    <row r="71" spans="1:12" x14ac:dyDescent="0.35">
      <c r="A71" s="1">
        <v>1069</v>
      </c>
      <c r="B71" s="2">
        <v>45534</v>
      </c>
      <c r="C71" s="1" t="s">
        <v>14</v>
      </c>
      <c r="D71" s="1" t="s">
        <v>44</v>
      </c>
      <c r="E71" s="1" t="s">
        <v>16</v>
      </c>
      <c r="F71" s="1">
        <v>1837.32</v>
      </c>
      <c r="G71" s="1" t="s">
        <v>106</v>
      </c>
      <c r="H71" s="2">
        <v>35506</v>
      </c>
      <c r="I71" s="2">
        <v>45540</v>
      </c>
      <c r="J71" s="1">
        <v>11.64</v>
      </c>
      <c r="K71" s="1">
        <f t="shared" si="4"/>
        <v>213.864048</v>
      </c>
      <c r="L71" s="1">
        <f t="shared" si="5"/>
        <v>1623.455952</v>
      </c>
    </row>
    <row r="72" spans="1:12" x14ac:dyDescent="0.35">
      <c r="A72" s="1">
        <v>1070</v>
      </c>
      <c r="B72" s="2">
        <v>44633</v>
      </c>
      <c r="C72" s="1" t="s">
        <v>26</v>
      </c>
      <c r="D72" s="1" t="s">
        <v>88</v>
      </c>
      <c r="E72" s="1" t="s">
        <v>16</v>
      </c>
      <c r="F72" s="1">
        <v>3460.16</v>
      </c>
      <c r="G72" s="1" t="s">
        <v>107</v>
      </c>
      <c r="H72" s="2">
        <v>26671</v>
      </c>
      <c r="I72" s="2">
        <v>44634</v>
      </c>
      <c r="J72" s="1">
        <v>11.06</v>
      </c>
      <c r="K72" s="1">
        <f t="shared" si="4"/>
        <v>382.69369599999999</v>
      </c>
      <c r="L72" s="1">
        <f t="shared" si="5"/>
        <v>3077.466304</v>
      </c>
    </row>
    <row r="73" spans="1:12" x14ac:dyDescent="0.35">
      <c r="A73" s="1">
        <v>1071</v>
      </c>
      <c r="B73" s="2">
        <v>45780</v>
      </c>
      <c r="C73" s="1" t="s">
        <v>10</v>
      </c>
      <c r="D73" s="1" t="s">
        <v>11</v>
      </c>
      <c r="E73" s="1" t="s">
        <v>12</v>
      </c>
      <c r="F73" s="1">
        <v>3450.56</v>
      </c>
      <c r="G73" s="1" t="s">
        <v>108</v>
      </c>
      <c r="H73" s="2">
        <v>33413</v>
      </c>
      <c r="I73" s="2">
        <v>45792</v>
      </c>
      <c r="J73" s="1">
        <v>28.47</v>
      </c>
      <c r="K73" s="1">
        <f t="shared" si="4"/>
        <v>982.37443200000007</v>
      </c>
      <c r="L73" s="1">
        <f t="shared" si="5"/>
        <v>2468.1855679999999</v>
      </c>
    </row>
    <row r="74" spans="1:12" x14ac:dyDescent="0.35">
      <c r="A74" s="1">
        <v>1072</v>
      </c>
      <c r="B74" s="2">
        <v>45585</v>
      </c>
      <c r="C74" s="1" t="s">
        <v>14</v>
      </c>
      <c r="D74" s="1" t="s">
        <v>11</v>
      </c>
      <c r="E74" s="1" t="s">
        <v>12</v>
      </c>
      <c r="F74" s="1">
        <v>4220.8999999999996</v>
      </c>
      <c r="G74" s="1" t="s">
        <v>93</v>
      </c>
      <c r="H74" s="2">
        <v>33984</v>
      </c>
      <c r="I74" s="2">
        <v>45590</v>
      </c>
      <c r="J74" s="1">
        <v>10.25</v>
      </c>
      <c r="K74" s="1">
        <f t="shared" si="4"/>
        <v>432.64224999999993</v>
      </c>
      <c r="L74" s="1">
        <f t="shared" si="5"/>
        <v>3788.2577499999998</v>
      </c>
    </row>
    <row r="75" spans="1:12" x14ac:dyDescent="0.35">
      <c r="A75" s="1">
        <v>1073</v>
      </c>
      <c r="B75" s="2">
        <v>45238</v>
      </c>
      <c r="C75" s="1" t="s">
        <v>21</v>
      </c>
      <c r="D75" s="1" t="s">
        <v>88</v>
      </c>
      <c r="E75" s="1" t="s">
        <v>16</v>
      </c>
      <c r="F75" s="1">
        <v>1397.31</v>
      </c>
      <c r="G75" s="1" t="s">
        <v>101</v>
      </c>
      <c r="H75" s="2">
        <v>31331</v>
      </c>
      <c r="I75" s="2">
        <v>45244</v>
      </c>
      <c r="J75" s="1">
        <v>9.11</v>
      </c>
      <c r="K75" s="1">
        <f t="shared" si="4"/>
        <v>127.29494099999999</v>
      </c>
      <c r="L75" s="1">
        <f t="shared" si="5"/>
        <v>1270.0150589999998</v>
      </c>
    </row>
    <row r="76" spans="1:12" x14ac:dyDescent="0.35">
      <c r="A76" s="1">
        <v>1074</v>
      </c>
      <c r="B76" s="2">
        <v>45174</v>
      </c>
      <c r="C76" s="1" t="s">
        <v>35</v>
      </c>
      <c r="D76" s="1" t="s">
        <v>88</v>
      </c>
      <c r="E76" s="1" t="s">
        <v>16</v>
      </c>
      <c r="F76" s="1">
        <v>2618.06</v>
      </c>
      <c r="G76" s="1" t="s">
        <v>109</v>
      </c>
      <c r="H76" s="2">
        <v>26011</v>
      </c>
      <c r="I76" s="2">
        <v>45176</v>
      </c>
      <c r="J76" s="1">
        <v>11.89</v>
      </c>
      <c r="K76" s="1">
        <f t="shared" si="4"/>
        <v>311.28733399999999</v>
      </c>
      <c r="L76" s="1">
        <f t="shared" si="5"/>
        <v>2306.7726659999998</v>
      </c>
    </row>
    <row r="77" spans="1:12" x14ac:dyDescent="0.35">
      <c r="A77" s="1">
        <v>1075</v>
      </c>
      <c r="B77" s="2">
        <v>45212</v>
      </c>
      <c r="C77" s="1" t="s">
        <v>26</v>
      </c>
      <c r="D77" s="1" t="s">
        <v>27</v>
      </c>
      <c r="E77" s="1" t="s">
        <v>28</v>
      </c>
      <c r="F77" s="1">
        <v>4787.12</v>
      </c>
      <c r="G77" s="1" t="s">
        <v>110</v>
      </c>
      <c r="H77" s="2">
        <v>32064</v>
      </c>
      <c r="I77" s="2">
        <v>45226</v>
      </c>
      <c r="J77" s="1">
        <v>1.25</v>
      </c>
      <c r="K77" s="1">
        <f t="shared" si="4"/>
        <v>59.838999999999999</v>
      </c>
      <c r="L77" s="1">
        <f t="shared" si="5"/>
        <v>4727.2809999999999</v>
      </c>
    </row>
    <row r="78" spans="1:12" x14ac:dyDescent="0.35">
      <c r="A78" s="1">
        <v>1076</v>
      </c>
      <c r="B78" s="2">
        <v>44682</v>
      </c>
      <c r="C78" s="1" t="s">
        <v>21</v>
      </c>
      <c r="D78" s="1" t="s">
        <v>44</v>
      </c>
      <c r="E78" s="1" t="s">
        <v>16</v>
      </c>
      <c r="F78" s="1">
        <v>316.27</v>
      </c>
      <c r="G78" s="1" t="s">
        <v>111</v>
      </c>
      <c r="H78" s="2">
        <v>34704</v>
      </c>
      <c r="I78" s="2">
        <v>44695</v>
      </c>
      <c r="J78" s="1">
        <v>22.2</v>
      </c>
      <c r="K78" s="1">
        <f t="shared" si="4"/>
        <v>70.211939999999998</v>
      </c>
      <c r="L78" s="1">
        <f t="shared" si="5"/>
        <v>246.05805999999998</v>
      </c>
    </row>
    <row r="79" spans="1:12" x14ac:dyDescent="0.35">
      <c r="A79" s="1">
        <v>1077</v>
      </c>
      <c r="B79" s="2">
        <v>44472</v>
      </c>
      <c r="C79" s="1" t="s">
        <v>10</v>
      </c>
      <c r="D79" s="1" t="s">
        <v>33</v>
      </c>
      <c r="E79" s="1" t="s">
        <v>16</v>
      </c>
      <c r="F79" s="1">
        <v>2607.7399999999998</v>
      </c>
      <c r="G79" s="1" t="s">
        <v>112</v>
      </c>
      <c r="H79" s="2">
        <v>38171</v>
      </c>
      <c r="I79" s="2">
        <v>44482</v>
      </c>
      <c r="J79" s="1">
        <v>36.32</v>
      </c>
      <c r="K79" s="1">
        <f t="shared" si="4"/>
        <v>947.131168</v>
      </c>
      <c r="L79" s="1">
        <f t="shared" si="5"/>
        <v>1660.6088319999999</v>
      </c>
    </row>
    <row r="80" spans="1:12" x14ac:dyDescent="0.35">
      <c r="A80" s="1">
        <v>1078</v>
      </c>
      <c r="B80" s="2">
        <v>44790</v>
      </c>
      <c r="C80" s="1" t="s">
        <v>14</v>
      </c>
      <c r="D80" s="1" t="s">
        <v>55</v>
      </c>
      <c r="E80" s="1" t="s">
        <v>31</v>
      </c>
      <c r="F80" s="1">
        <v>1059.23</v>
      </c>
      <c r="G80" s="1" t="s">
        <v>20</v>
      </c>
      <c r="H80" s="2">
        <v>24232</v>
      </c>
      <c r="I80" s="2">
        <v>44795</v>
      </c>
      <c r="J80" s="1">
        <v>37.99</v>
      </c>
      <c r="K80" s="1">
        <f t="shared" si="4"/>
        <v>402.401477</v>
      </c>
      <c r="L80" s="1">
        <f t="shared" si="5"/>
        <v>656.82852300000002</v>
      </c>
    </row>
    <row r="81" spans="1:12" x14ac:dyDescent="0.35">
      <c r="A81" s="1">
        <v>1079</v>
      </c>
      <c r="B81" s="2">
        <v>44587</v>
      </c>
      <c r="C81" s="1" t="s">
        <v>21</v>
      </c>
      <c r="D81" s="1" t="s">
        <v>11</v>
      </c>
      <c r="E81" s="1" t="s">
        <v>12</v>
      </c>
      <c r="F81" s="1">
        <v>222.13</v>
      </c>
      <c r="G81" s="1" t="s">
        <v>113</v>
      </c>
      <c r="H81" s="2">
        <v>25579</v>
      </c>
      <c r="I81" s="2">
        <v>44596</v>
      </c>
      <c r="J81" s="1">
        <v>47.93</v>
      </c>
      <c r="K81" s="1">
        <f t="shared" si="4"/>
        <v>106.466909</v>
      </c>
      <c r="L81" s="1">
        <f t="shared" si="5"/>
        <v>115.66309099999999</v>
      </c>
    </row>
    <row r="82" spans="1:12" x14ac:dyDescent="0.35">
      <c r="A82" s="1">
        <v>1080</v>
      </c>
      <c r="B82" s="2">
        <v>44967</v>
      </c>
      <c r="C82" s="1" t="s">
        <v>14</v>
      </c>
      <c r="D82" s="1" t="s">
        <v>27</v>
      </c>
      <c r="E82" s="1" t="s">
        <v>28</v>
      </c>
      <c r="F82" s="1">
        <v>2009.76</v>
      </c>
      <c r="G82" s="1" t="s">
        <v>72</v>
      </c>
      <c r="H82" s="2">
        <v>32992</v>
      </c>
      <c r="I82" s="2">
        <v>44971</v>
      </c>
      <c r="J82" s="1">
        <v>13.06</v>
      </c>
      <c r="K82" s="1">
        <f t="shared" si="4"/>
        <v>262.47465599999998</v>
      </c>
      <c r="L82" s="1">
        <f t="shared" si="5"/>
        <v>1747.2853439999999</v>
      </c>
    </row>
    <row r="83" spans="1:12" x14ac:dyDescent="0.35">
      <c r="A83" s="1">
        <v>1081</v>
      </c>
      <c r="B83" s="2">
        <v>44548</v>
      </c>
      <c r="C83" s="1" t="s">
        <v>26</v>
      </c>
      <c r="D83" s="1" t="s">
        <v>30</v>
      </c>
      <c r="E83" s="1" t="s">
        <v>31</v>
      </c>
      <c r="F83" s="1">
        <v>556.89</v>
      </c>
      <c r="G83" s="1" t="s">
        <v>108</v>
      </c>
      <c r="H83" s="2">
        <v>33413</v>
      </c>
      <c r="I83" s="2">
        <v>44554</v>
      </c>
      <c r="J83" s="1">
        <v>9.42</v>
      </c>
      <c r="K83" s="1">
        <f t="shared" si="4"/>
        <v>52.459038</v>
      </c>
      <c r="L83" s="1">
        <f t="shared" si="5"/>
        <v>504.43096199999997</v>
      </c>
    </row>
    <row r="84" spans="1:12" x14ac:dyDescent="0.35">
      <c r="A84" s="1">
        <v>1082</v>
      </c>
      <c r="B84" s="2">
        <v>44142</v>
      </c>
      <c r="C84" s="1" t="s">
        <v>21</v>
      </c>
      <c r="D84" s="1" t="s">
        <v>73</v>
      </c>
      <c r="E84" s="1" t="s">
        <v>28</v>
      </c>
      <c r="F84" s="1">
        <v>711.12</v>
      </c>
      <c r="G84" s="1" t="s">
        <v>114</v>
      </c>
      <c r="H84" s="2">
        <v>28543</v>
      </c>
      <c r="I84" s="2">
        <v>44153</v>
      </c>
      <c r="J84" s="1">
        <v>49.69</v>
      </c>
      <c r="K84" s="1">
        <f t="shared" si="4"/>
        <v>353.35552799999999</v>
      </c>
      <c r="L84" s="1">
        <f t="shared" si="5"/>
        <v>357.76447200000001</v>
      </c>
    </row>
    <row r="85" spans="1:12" x14ac:dyDescent="0.35">
      <c r="A85" s="1">
        <v>1083</v>
      </c>
      <c r="B85" s="2">
        <v>44429</v>
      </c>
      <c r="C85" s="1" t="s">
        <v>10</v>
      </c>
      <c r="D85" s="1" t="s">
        <v>53</v>
      </c>
      <c r="E85" s="1" t="s">
        <v>28</v>
      </c>
      <c r="F85" s="1">
        <v>2800.45</v>
      </c>
      <c r="G85" s="1" t="s">
        <v>115</v>
      </c>
      <c r="H85" s="2">
        <v>29486</v>
      </c>
      <c r="I85" s="2">
        <v>44430</v>
      </c>
      <c r="J85" s="1">
        <v>19.16</v>
      </c>
      <c r="K85" s="1">
        <f t="shared" si="4"/>
        <v>536.56621999999993</v>
      </c>
      <c r="L85" s="1">
        <f t="shared" si="5"/>
        <v>2263.8837800000001</v>
      </c>
    </row>
    <row r="86" spans="1:12" x14ac:dyDescent="0.35">
      <c r="A86" s="1">
        <v>1084</v>
      </c>
      <c r="B86" s="2">
        <v>44453</v>
      </c>
      <c r="C86" s="1" t="s">
        <v>35</v>
      </c>
      <c r="D86" s="1" t="s">
        <v>71</v>
      </c>
      <c r="E86" s="1" t="s">
        <v>31</v>
      </c>
      <c r="F86" s="1">
        <v>3499.14</v>
      </c>
      <c r="G86" s="1" t="s">
        <v>116</v>
      </c>
      <c r="H86" s="2">
        <v>39294</v>
      </c>
      <c r="I86" s="2">
        <v>44463</v>
      </c>
      <c r="J86" s="1">
        <v>13.33</v>
      </c>
      <c r="K86" s="1">
        <f t="shared" si="4"/>
        <v>466.435362</v>
      </c>
      <c r="L86" s="1">
        <f t="shared" si="5"/>
        <v>3032.7046379999997</v>
      </c>
    </row>
    <row r="87" spans="1:12" x14ac:dyDescent="0.35">
      <c r="A87" s="1">
        <v>1085</v>
      </c>
      <c r="B87" s="2">
        <v>44713</v>
      </c>
      <c r="C87" s="1" t="s">
        <v>21</v>
      </c>
      <c r="D87" s="1" t="s">
        <v>49</v>
      </c>
      <c r="E87" s="1" t="s">
        <v>12</v>
      </c>
      <c r="F87" s="1">
        <v>4470.8599999999997</v>
      </c>
      <c r="G87" s="1" t="s">
        <v>117</v>
      </c>
      <c r="H87" s="2">
        <v>23513</v>
      </c>
      <c r="I87" s="2">
        <v>44727</v>
      </c>
      <c r="J87" s="1">
        <v>32.76</v>
      </c>
      <c r="K87" s="1">
        <f t="shared" si="4"/>
        <v>1464.653736</v>
      </c>
      <c r="L87" s="1">
        <f t="shared" si="5"/>
        <v>3006.2062639999995</v>
      </c>
    </row>
    <row r="88" spans="1:12" x14ac:dyDescent="0.35">
      <c r="A88" s="1">
        <v>1086</v>
      </c>
      <c r="B88" s="2">
        <v>45703</v>
      </c>
      <c r="C88" s="1" t="s">
        <v>35</v>
      </c>
      <c r="D88" s="1" t="s">
        <v>24</v>
      </c>
      <c r="E88" s="1" t="s">
        <v>19</v>
      </c>
      <c r="F88" s="1">
        <v>3968.35</v>
      </c>
      <c r="G88" s="1" t="s">
        <v>118</v>
      </c>
      <c r="H88" s="2">
        <v>22599</v>
      </c>
      <c r="I88" s="2">
        <v>45712</v>
      </c>
      <c r="J88" s="1">
        <v>30.13</v>
      </c>
      <c r="K88" s="1">
        <f t="shared" si="4"/>
        <v>1195.663855</v>
      </c>
      <c r="L88" s="1">
        <f t="shared" si="5"/>
        <v>2772.6861449999997</v>
      </c>
    </row>
    <row r="89" spans="1:12" x14ac:dyDescent="0.35">
      <c r="A89" s="1">
        <v>1087</v>
      </c>
      <c r="B89" s="2">
        <v>45003</v>
      </c>
      <c r="C89" s="1" t="s">
        <v>35</v>
      </c>
      <c r="D89" s="1" t="s">
        <v>49</v>
      </c>
      <c r="E89" s="1" t="s">
        <v>12</v>
      </c>
      <c r="F89" s="1">
        <v>4586.37</v>
      </c>
      <c r="G89" s="1" t="s">
        <v>119</v>
      </c>
      <c r="H89" s="2">
        <v>34954</v>
      </c>
      <c r="I89" s="2">
        <v>45005</v>
      </c>
      <c r="J89" s="1">
        <v>40.15</v>
      </c>
      <c r="K89" s="1">
        <f t="shared" si="4"/>
        <v>1841.4275549999998</v>
      </c>
      <c r="L89" s="1">
        <f t="shared" si="5"/>
        <v>2744.9424450000001</v>
      </c>
    </row>
    <row r="90" spans="1:12" x14ac:dyDescent="0.35">
      <c r="A90" s="1">
        <v>1088</v>
      </c>
      <c r="B90" s="2">
        <v>45268</v>
      </c>
      <c r="C90" s="1" t="s">
        <v>26</v>
      </c>
      <c r="D90" s="1" t="s">
        <v>40</v>
      </c>
      <c r="E90" s="1" t="s">
        <v>16</v>
      </c>
      <c r="F90" s="1">
        <v>3650.88</v>
      </c>
      <c r="G90" s="1" t="s">
        <v>120</v>
      </c>
      <c r="H90" s="2">
        <v>30820</v>
      </c>
      <c r="I90" s="2">
        <v>45270</v>
      </c>
      <c r="J90" s="1">
        <v>31.44</v>
      </c>
      <c r="K90" s="1">
        <f t="shared" si="4"/>
        <v>1147.8366720000001</v>
      </c>
      <c r="L90" s="1">
        <f t="shared" si="5"/>
        <v>2503.0433279999997</v>
      </c>
    </row>
    <row r="91" spans="1:12" x14ac:dyDescent="0.35">
      <c r="A91" s="1">
        <v>1089</v>
      </c>
      <c r="B91" s="2">
        <v>45319</v>
      </c>
      <c r="C91" s="1" t="s">
        <v>26</v>
      </c>
      <c r="D91" s="1" t="s">
        <v>38</v>
      </c>
      <c r="E91" s="1" t="s">
        <v>28</v>
      </c>
      <c r="F91" s="1">
        <v>2648.98</v>
      </c>
      <c r="G91" s="1" t="s">
        <v>121</v>
      </c>
      <c r="H91" s="2">
        <v>24580</v>
      </c>
      <c r="I91" s="2">
        <v>45332</v>
      </c>
      <c r="J91" s="1">
        <v>32.72</v>
      </c>
      <c r="K91" s="1">
        <f t="shared" si="4"/>
        <v>866.74625600000002</v>
      </c>
      <c r="L91" s="1">
        <f t="shared" si="5"/>
        <v>1782.2337440000001</v>
      </c>
    </row>
    <row r="92" spans="1:12" x14ac:dyDescent="0.35">
      <c r="A92" s="1">
        <v>1090</v>
      </c>
      <c r="B92" s="2">
        <v>45589</v>
      </c>
      <c r="C92" s="1" t="s">
        <v>14</v>
      </c>
      <c r="D92" s="1" t="s">
        <v>71</v>
      </c>
      <c r="E92" s="1" t="s">
        <v>31</v>
      </c>
      <c r="F92" s="1">
        <v>4552.96</v>
      </c>
      <c r="G92" s="1" t="s">
        <v>122</v>
      </c>
      <c r="H92" s="2">
        <v>29720</v>
      </c>
      <c r="I92" s="2">
        <v>45598</v>
      </c>
      <c r="J92" s="1">
        <v>45.91</v>
      </c>
      <c r="K92" s="1">
        <f t="shared" si="4"/>
        <v>2090.2639359999998</v>
      </c>
      <c r="L92" s="1">
        <f t="shared" si="5"/>
        <v>2462.6960640000002</v>
      </c>
    </row>
    <row r="93" spans="1:12" x14ac:dyDescent="0.35">
      <c r="A93" s="1">
        <v>1091</v>
      </c>
      <c r="B93" s="2">
        <v>45476</v>
      </c>
      <c r="C93" s="1" t="s">
        <v>10</v>
      </c>
      <c r="D93" s="1" t="s">
        <v>30</v>
      </c>
      <c r="E93" s="1" t="s">
        <v>31</v>
      </c>
      <c r="F93" s="1">
        <v>1851.24</v>
      </c>
      <c r="G93" s="1" t="s">
        <v>123</v>
      </c>
      <c r="H93" s="2">
        <v>36120</v>
      </c>
      <c r="I93" s="2">
        <v>45479</v>
      </c>
      <c r="J93" s="1">
        <v>24.89</v>
      </c>
      <c r="K93" s="1">
        <f t="shared" si="4"/>
        <v>460.77363600000001</v>
      </c>
      <c r="L93" s="1">
        <f t="shared" si="5"/>
        <v>1390.4663639999999</v>
      </c>
    </row>
    <row r="94" spans="1:12" x14ac:dyDescent="0.35">
      <c r="A94" s="1">
        <v>1092</v>
      </c>
      <c r="B94" s="2">
        <v>45544</v>
      </c>
      <c r="C94" s="1" t="s">
        <v>10</v>
      </c>
      <c r="D94" s="1" t="s">
        <v>53</v>
      </c>
      <c r="E94" s="1" t="s">
        <v>28</v>
      </c>
      <c r="F94" s="1">
        <v>2920.84</v>
      </c>
      <c r="G94" s="1" t="s">
        <v>110</v>
      </c>
      <c r="H94" s="2">
        <v>32064</v>
      </c>
      <c r="I94" s="2">
        <v>45556</v>
      </c>
      <c r="J94" s="1">
        <v>13.81</v>
      </c>
      <c r="K94" s="1">
        <f t="shared" si="4"/>
        <v>403.36800400000004</v>
      </c>
      <c r="L94" s="1">
        <f t="shared" si="5"/>
        <v>2517.4719960000002</v>
      </c>
    </row>
    <row r="95" spans="1:12" x14ac:dyDescent="0.35">
      <c r="A95" s="1">
        <v>1093</v>
      </c>
      <c r="B95" s="2">
        <v>45520</v>
      </c>
      <c r="C95" s="1" t="s">
        <v>21</v>
      </c>
      <c r="D95" s="1" t="s">
        <v>18</v>
      </c>
      <c r="E95" s="1" t="s">
        <v>19</v>
      </c>
      <c r="F95" s="1">
        <v>3885.89</v>
      </c>
      <c r="G95" s="1" t="s">
        <v>83</v>
      </c>
      <c r="H95" s="2">
        <v>24673</v>
      </c>
      <c r="I95" s="2">
        <v>45525</v>
      </c>
      <c r="J95" s="1">
        <v>42.07</v>
      </c>
      <c r="K95" s="1">
        <f t="shared" si="4"/>
        <v>1634.7939229999999</v>
      </c>
      <c r="L95" s="1">
        <f t="shared" si="5"/>
        <v>2251.0960770000002</v>
      </c>
    </row>
    <row r="96" spans="1:12" x14ac:dyDescent="0.35">
      <c r="A96" s="1">
        <v>1094</v>
      </c>
      <c r="B96" s="2">
        <v>45658</v>
      </c>
      <c r="C96" s="1" t="s">
        <v>21</v>
      </c>
      <c r="D96" s="1" t="s">
        <v>58</v>
      </c>
      <c r="E96" s="1" t="s">
        <v>31</v>
      </c>
      <c r="F96" s="1">
        <v>406.83</v>
      </c>
      <c r="G96" s="1" t="s">
        <v>95</v>
      </c>
      <c r="H96" s="2">
        <v>25821</v>
      </c>
      <c r="I96" s="2">
        <v>45669</v>
      </c>
      <c r="J96" s="1">
        <v>17.48</v>
      </c>
      <c r="K96" s="1">
        <f t="shared" si="4"/>
        <v>71.113883999999999</v>
      </c>
      <c r="L96" s="1">
        <f t="shared" si="5"/>
        <v>335.716116</v>
      </c>
    </row>
    <row r="97" spans="1:12" x14ac:dyDescent="0.35">
      <c r="A97" s="1">
        <v>1095</v>
      </c>
      <c r="B97" s="2">
        <v>44895</v>
      </c>
      <c r="C97" s="1" t="s">
        <v>14</v>
      </c>
      <c r="D97" s="1" t="s">
        <v>36</v>
      </c>
      <c r="E97" s="1" t="s">
        <v>28</v>
      </c>
      <c r="F97" s="1">
        <v>3199.23</v>
      </c>
      <c r="G97" s="1" t="s">
        <v>124</v>
      </c>
      <c r="H97" s="2">
        <v>30786</v>
      </c>
      <c r="I97" s="2">
        <v>44905</v>
      </c>
      <c r="J97" s="1">
        <v>33.99</v>
      </c>
      <c r="K97" s="1">
        <f t="shared" si="4"/>
        <v>1087.4182770000002</v>
      </c>
      <c r="L97" s="1">
        <f t="shared" si="5"/>
        <v>2111.8117229999998</v>
      </c>
    </row>
    <row r="98" spans="1:12" x14ac:dyDescent="0.35">
      <c r="A98" s="1">
        <v>1096</v>
      </c>
      <c r="B98" s="2">
        <v>44322</v>
      </c>
      <c r="C98" s="1" t="s">
        <v>14</v>
      </c>
      <c r="D98" s="1" t="s">
        <v>22</v>
      </c>
      <c r="E98" s="1" t="s">
        <v>19</v>
      </c>
      <c r="F98" s="1">
        <v>494.78</v>
      </c>
      <c r="G98" s="1" t="s">
        <v>125</v>
      </c>
      <c r="H98" s="2">
        <v>28830</v>
      </c>
      <c r="I98" s="2">
        <v>44331</v>
      </c>
      <c r="J98" s="1">
        <v>35.520000000000003</v>
      </c>
      <c r="K98" s="1">
        <f t="shared" si="4"/>
        <v>175.745856</v>
      </c>
      <c r="L98" s="1">
        <f t="shared" si="5"/>
        <v>319.03414399999997</v>
      </c>
    </row>
    <row r="99" spans="1:12" x14ac:dyDescent="0.35">
      <c r="A99" s="1">
        <v>1097</v>
      </c>
      <c r="B99" s="2">
        <v>45757</v>
      </c>
      <c r="C99" s="1" t="s">
        <v>35</v>
      </c>
      <c r="D99" s="1" t="s">
        <v>47</v>
      </c>
      <c r="E99" s="1" t="s">
        <v>12</v>
      </c>
      <c r="F99" s="1">
        <v>1679.27</v>
      </c>
      <c r="G99" s="1" t="s">
        <v>126</v>
      </c>
      <c r="H99" s="2">
        <v>28644</v>
      </c>
      <c r="I99" s="2">
        <v>45768</v>
      </c>
      <c r="J99" s="1">
        <v>14.47</v>
      </c>
      <c r="K99" s="1">
        <f t="shared" si="4"/>
        <v>242.99036899999999</v>
      </c>
      <c r="L99" s="1">
        <f t="shared" si="5"/>
        <v>1436.2796309999999</v>
      </c>
    </row>
    <row r="100" spans="1:12" x14ac:dyDescent="0.35">
      <c r="A100" s="1">
        <v>1098</v>
      </c>
      <c r="B100" s="2">
        <v>44664</v>
      </c>
      <c r="C100" s="1" t="s">
        <v>26</v>
      </c>
      <c r="D100" s="1" t="s">
        <v>11</v>
      </c>
      <c r="E100" s="1" t="s">
        <v>12</v>
      </c>
      <c r="F100" s="1">
        <v>3385.55</v>
      </c>
      <c r="G100" s="1" t="s">
        <v>127</v>
      </c>
      <c r="H100" s="2">
        <v>31846</v>
      </c>
      <c r="I100" s="2">
        <v>44670</v>
      </c>
      <c r="J100" s="1">
        <v>49.06</v>
      </c>
      <c r="K100" s="1">
        <f t="shared" si="4"/>
        <v>1660.9508300000002</v>
      </c>
      <c r="L100" s="1">
        <f t="shared" si="5"/>
        <v>1724.59917</v>
      </c>
    </row>
    <row r="101" spans="1:12" x14ac:dyDescent="0.35">
      <c r="A101" s="1">
        <v>1099</v>
      </c>
      <c r="B101" s="2">
        <v>44936</v>
      </c>
      <c r="C101" s="1" t="s">
        <v>14</v>
      </c>
      <c r="D101" s="1" t="s">
        <v>24</v>
      </c>
      <c r="E101" s="1" t="s">
        <v>19</v>
      </c>
      <c r="F101" s="1">
        <v>3277.84</v>
      </c>
      <c r="G101" s="1" t="s">
        <v>39</v>
      </c>
      <c r="H101" s="2">
        <v>26282</v>
      </c>
      <c r="I101" s="2">
        <v>44949</v>
      </c>
      <c r="J101" s="1">
        <v>36.24</v>
      </c>
      <c r="K101" s="1">
        <f t="shared" si="4"/>
        <v>1187.889216</v>
      </c>
      <c r="L101" s="1">
        <f t="shared" si="5"/>
        <v>2089.9507840000001</v>
      </c>
    </row>
    <row r="102" spans="1:12" x14ac:dyDescent="0.35">
      <c r="A102" s="1">
        <v>1100</v>
      </c>
      <c r="B102" s="2">
        <v>45530</v>
      </c>
      <c r="C102" s="1" t="s">
        <v>14</v>
      </c>
      <c r="D102" s="1" t="s">
        <v>11</v>
      </c>
      <c r="E102" s="1" t="s">
        <v>12</v>
      </c>
      <c r="F102" s="1">
        <v>4696</v>
      </c>
      <c r="G102" s="1" t="s">
        <v>128</v>
      </c>
      <c r="H102" s="2">
        <v>37961</v>
      </c>
      <c r="I102" s="2">
        <v>45533</v>
      </c>
      <c r="J102" s="1">
        <v>5.37</v>
      </c>
      <c r="K102" s="1">
        <f t="shared" si="4"/>
        <v>252.17519999999999</v>
      </c>
      <c r="L102" s="1">
        <f t="shared" si="5"/>
        <v>4443.8248000000003</v>
      </c>
    </row>
    <row r="103" spans="1:12" x14ac:dyDescent="0.35">
      <c r="A103" s="1">
        <v>1101</v>
      </c>
      <c r="B103" s="2">
        <v>44098</v>
      </c>
      <c r="C103" s="1" t="s">
        <v>26</v>
      </c>
      <c r="D103" s="1" t="s">
        <v>73</v>
      </c>
      <c r="E103" s="1" t="s">
        <v>28</v>
      </c>
      <c r="F103" s="1">
        <v>4356.8599999999997</v>
      </c>
      <c r="G103" s="1" t="s">
        <v>129</v>
      </c>
      <c r="H103" s="2">
        <v>26668</v>
      </c>
      <c r="I103" s="2">
        <v>44104</v>
      </c>
      <c r="J103" s="1">
        <v>15.96</v>
      </c>
      <c r="K103" s="1">
        <f t="shared" si="4"/>
        <v>695.35485600000004</v>
      </c>
      <c r="L103" s="1">
        <f t="shared" si="5"/>
        <v>3661.5051439999997</v>
      </c>
    </row>
    <row r="104" spans="1:12" x14ac:dyDescent="0.35">
      <c r="A104" s="1">
        <v>1102</v>
      </c>
      <c r="B104" s="2">
        <v>44129</v>
      </c>
      <c r="C104" s="1" t="s">
        <v>26</v>
      </c>
      <c r="D104" s="1" t="s">
        <v>49</v>
      </c>
      <c r="E104" s="1" t="s">
        <v>12</v>
      </c>
      <c r="F104" s="1">
        <v>1697.76</v>
      </c>
      <c r="G104" s="1" t="s">
        <v>130</v>
      </c>
      <c r="H104" s="2">
        <v>38750</v>
      </c>
      <c r="I104" s="2">
        <v>44140</v>
      </c>
      <c r="J104" s="1">
        <v>18.23</v>
      </c>
      <c r="K104" s="1">
        <f t="shared" si="4"/>
        <v>309.50164800000005</v>
      </c>
      <c r="L104" s="1">
        <f t="shared" si="5"/>
        <v>1388.2583519999998</v>
      </c>
    </row>
    <row r="105" spans="1:12" x14ac:dyDescent="0.35">
      <c r="A105" s="1">
        <v>1103</v>
      </c>
      <c r="B105" s="2">
        <v>45417</v>
      </c>
      <c r="C105" s="1" t="s">
        <v>21</v>
      </c>
      <c r="D105" s="1" t="s">
        <v>55</v>
      </c>
      <c r="E105" s="1" t="s">
        <v>31</v>
      </c>
      <c r="F105" s="1">
        <v>3125.88</v>
      </c>
      <c r="G105" s="1" t="s">
        <v>13</v>
      </c>
      <c r="H105" s="2">
        <v>24348</v>
      </c>
      <c r="I105" s="2">
        <v>45423</v>
      </c>
      <c r="J105" s="1">
        <v>39.28</v>
      </c>
      <c r="K105" s="1">
        <f t="shared" si="4"/>
        <v>1227.8456640000002</v>
      </c>
      <c r="L105" s="1">
        <f t="shared" si="5"/>
        <v>1898.0343359999999</v>
      </c>
    </row>
    <row r="106" spans="1:12" x14ac:dyDescent="0.35">
      <c r="A106" s="1">
        <v>1104</v>
      </c>
      <c r="B106" s="2">
        <v>44951</v>
      </c>
      <c r="C106" s="1" t="s">
        <v>14</v>
      </c>
      <c r="D106" s="1" t="s">
        <v>61</v>
      </c>
      <c r="E106" s="1" t="s">
        <v>19</v>
      </c>
      <c r="F106" s="1">
        <v>1079.68</v>
      </c>
      <c r="G106" s="1" t="s">
        <v>89</v>
      </c>
      <c r="H106" s="2">
        <v>37141</v>
      </c>
      <c r="I106" s="2">
        <v>44956</v>
      </c>
      <c r="J106" s="1">
        <v>43.99</v>
      </c>
      <c r="K106" s="1">
        <f t="shared" si="4"/>
        <v>474.95123200000006</v>
      </c>
      <c r="L106" s="1">
        <f t="shared" si="5"/>
        <v>604.72876799999995</v>
      </c>
    </row>
    <row r="107" spans="1:12" x14ac:dyDescent="0.35">
      <c r="A107" s="1">
        <v>1105</v>
      </c>
      <c r="B107" s="2">
        <v>45179</v>
      </c>
      <c r="C107" s="1" t="s">
        <v>35</v>
      </c>
      <c r="D107" s="1" t="s">
        <v>58</v>
      </c>
      <c r="E107" s="1" t="s">
        <v>31</v>
      </c>
      <c r="F107" s="1">
        <v>3680.76</v>
      </c>
      <c r="G107" s="1" t="s">
        <v>42</v>
      </c>
      <c r="H107" s="2">
        <v>26027</v>
      </c>
      <c r="I107" s="2">
        <v>45181</v>
      </c>
      <c r="J107" s="1">
        <v>44.36</v>
      </c>
      <c r="K107" s="1">
        <f t="shared" si="4"/>
        <v>1632.785136</v>
      </c>
      <c r="L107" s="1">
        <f t="shared" si="5"/>
        <v>2047.9748640000003</v>
      </c>
    </row>
    <row r="108" spans="1:12" x14ac:dyDescent="0.35">
      <c r="A108" s="1">
        <v>1106</v>
      </c>
      <c r="B108" s="2">
        <v>44176</v>
      </c>
      <c r="C108" s="1" t="s">
        <v>10</v>
      </c>
      <c r="D108" s="1" t="s">
        <v>40</v>
      </c>
      <c r="E108" s="1" t="s">
        <v>16</v>
      </c>
      <c r="F108" s="1">
        <v>2597.9899999999998</v>
      </c>
      <c r="G108" s="1" t="s">
        <v>131</v>
      </c>
      <c r="H108" s="2">
        <v>38087</v>
      </c>
      <c r="I108" s="2">
        <v>44189</v>
      </c>
      <c r="J108" s="1">
        <v>13.57</v>
      </c>
      <c r="K108" s="1">
        <f t="shared" si="4"/>
        <v>352.54724300000004</v>
      </c>
      <c r="L108" s="1">
        <f t="shared" si="5"/>
        <v>2245.4427569999998</v>
      </c>
    </row>
    <row r="109" spans="1:12" x14ac:dyDescent="0.35">
      <c r="A109" s="1">
        <v>1107</v>
      </c>
      <c r="B109" s="2">
        <v>45028</v>
      </c>
      <c r="C109" s="1" t="s">
        <v>14</v>
      </c>
      <c r="D109" s="1" t="s">
        <v>47</v>
      </c>
      <c r="E109" s="1" t="s">
        <v>12</v>
      </c>
      <c r="F109" s="1">
        <v>1943.78</v>
      </c>
      <c r="G109" s="1" t="s">
        <v>63</v>
      </c>
      <c r="H109" s="2">
        <v>25430</v>
      </c>
      <c r="I109" s="2">
        <v>45041</v>
      </c>
      <c r="J109" s="1">
        <v>6.56</v>
      </c>
      <c r="K109" s="1">
        <f t="shared" si="4"/>
        <v>127.51196799999998</v>
      </c>
      <c r="L109" s="1">
        <f t="shared" si="5"/>
        <v>1816.2680319999999</v>
      </c>
    </row>
    <row r="110" spans="1:12" x14ac:dyDescent="0.35">
      <c r="A110" s="1">
        <v>1108</v>
      </c>
      <c r="B110" s="2">
        <v>44530</v>
      </c>
      <c r="C110" s="1" t="s">
        <v>10</v>
      </c>
      <c r="D110" s="1" t="s">
        <v>65</v>
      </c>
      <c r="E110" s="1" t="s">
        <v>19</v>
      </c>
      <c r="F110" s="1">
        <v>1280.52</v>
      </c>
      <c r="G110" s="1" t="s">
        <v>132</v>
      </c>
      <c r="H110" s="2">
        <v>34364</v>
      </c>
      <c r="I110" s="2">
        <v>44533</v>
      </c>
      <c r="J110" s="1">
        <v>21.85</v>
      </c>
      <c r="K110" s="1">
        <f t="shared" si="4"/>
        <v>279.79362000000003</v>
      </c>
      <c r="L110" s="1">
        <f t="shared" si="5"/>
        <v>1000.7263799999999</v>
      </c>
    </row>
    <row r="111" spans="1:12" x14ac:dyDescent="0.35">
      <c r="A111" s="1">
        <v>1109</v>
      </c>
      <c r="B111" s="2">
        <v>44456</v>
      </c>
      <c r="C111" s="1" t="s">
        <v>10</v>
      </c>
      <c r="D111" s="1" t="s">
        <v>36</v>
      </c>
      <c r="E111" s="1" t="s">
        <v>28</v>
      </c>
      <c r="F111" s="1">
        <v>4143.1899999999996</v>
      </c>
      <c r="G111" s="1" t="s">
        <v>133</v>
      </c>
      <c r="H111" s="2">
        <v>23264</v>
      </c>
      <c r="I111" s="2">
        <v>44468</v>
      </c>
      <c r="J111" s="1">
        <v>10.54</v>
      </c>
      <c r="K111" s="1">
        <f t="shared" si="4"/>
        <v>436.69222599999995</v>
      </c>
      <c r="L111" s="1">
        <f t="shared" si="5"/>
        <v>3706.4977739999995</v>
      </c>
    </row>
    <row r="112" spans="1:12" x14ac:dyDescent="0.35">
      <c r="A112" s="1">
        <v>1110</v>
      </c>
      <c r="B112" s="2">
        <v>45174</v>
      </c>
      <c r="C112" s="1" t="s">
        <v>35</v>
      </c>
      <c r="D112" s="1" t="s">
        <v>53</v>
      </c>
      <c r="E112" s="1" t="s">
        <v>28</v>
      </c>
      <c r="F112" s="1">
        <v>3945.68</v>
      </c>
      <c r="G112" s="1" t="s">
        <v>134</v>
      </c>
      <c r="H112" s="2">
        <v>30299</v>
      </c>
      <c r="I112" s="2">
        <v>45178</v>
      </c>
      <c r="J112" s="1">
        <v>19.010000000000002</v>
      </c>
      <c r="K112" s="1">
        <f t="shared" si="4"/>
        <v>750.07376800000009</v>
      </c>
      <c r="L112" s="1">
        <f t="shared" si="5"/>
        <v>3195.6062319999996</v>
      </c>
    </row>
    <row r="113" spans="1:12" x14ac:dyDescent="0.35">
      <c r="A113" s="1">
        <v>1111</v>
      </c>
      <c r="B113" s="2">
        <v>45144</v>
      </c>
      <c r="C113" s="1" t="s">
        <v>35</v>
      </c>
      <c r="D113" s="1" t="s">
        <v>73</v>
      </c>
      <c r="E113" s="1" t="s">
        <v>28</v>
      </c>
      <c r="F113" s="1">
        <v>3954.86</v>
      </c>
      <c r="G113" s="1" t="s">
        <v>135</v>
      </c>
      <c r="H113" s="2">
        <v>38018</v>
      </c>
      <c r="I113" s="2">
        <v>45158</v>
      </c>
      <c r="J113" s="1">
        <v>13.44</v>
      </c>
      <c r="K113" s="1">
        <f t="shared" si="4"/>
        <v>531.53318400000001</v>
      </c>
      <c r="L113" s="1">
        <f t="shared" si="5"/>
        <v>3423.3268160000002</v>
      </c>
    </row>
    <row r="114" spans="1:12" x14ac:dyDescent="0.35">
      <c r="A114" s="1">
        <v>1112</v>
      </c>
      <c r="B114" s="2">
        <v>44984</v>
      </c>
      <c r="C114" s="1" t="s">
        <v>10</v>
      </c>
      <c r="D114" s="1" t="s">
        <v>55</v>
      </c>
      <c r="E114" s="1" t="s">
        <v>31</v>
      </c>
      <c r="F114" s="1">
        <v>1352.28</v>
      </c>
      <c r="G114" s="1" t="s">
        <v>136</v>
      </c>
      <c r="H114" s="2">
        <v>23704</v>
      </c>
      <c r="I114" s="2">
        <v>44994</v>
      </c>
      <c r="J114" s="1">
        <v>31.85</v>
      </c>
      <c r="K114" s="1">
        <f t="shared" si="4"/>
        <v>430.70118000000002</v>
      </c>
      <c r="L114" s="1">
        <f t="shared" si="5"/>
        <v>921.57881999999995</v>
      </c>
    </row>
    <row r="115" spans="1:12" x14ac:dyDescent="0.35">
      <c r="A115" s="1">
        <v>1113</v>
      </c>
      <c r="B115" s="2">
        <v>44853</v>
      </c>
      <c r="C115" s="1" t="s">
        <v>14</v>
      </c>
      <c r="D115" s="1" t="s">
        <v>33</v>
      </c>
      <c r="E115" s="1" t="s">
        <v>16</v>
      </c>
      <c r="F115" s="1">
        <v>3348.99</v>
      </c>
      <c r="G115" s="1" t="s">
        <v>137</v>
      </c>
      <c r="H115" s="2">
        <v>36905</v>
      </c>
      <c r="I115" s="2">
        <v>44857</v>
      </c>
      <c r="J115" s="1">
        <v>40.46</v>
      </c>
      <c r="K115" s="1">
        <f t="shared" si="4"/>
        <v>1355.001354</v>
      </c>
      <c r="L115" s="1">
        <f t="shared" si="5"/>
        <v>1993.9886459999998</v>
      </c>
    </row>
    <row r="116" spans="1:12" x14ac:dyDescent="0.35">
      <c r="A116" s="1">
        <v>1114</v>
      </c>
      <c r="B116" s="2">
        <v>45723</v>
      </c>
      <c r="C116" s="1" t="s">
        <v>35</v>
      </c>
      <c r="D116" s="1" t="s">
        <v>11</v>
      </c>
      <c r="E116" s="1" t="s">
        <v>12</v>
      </c>
      <c r="F116" s="1">
        <v>412.14</v>
      </c>
      <c r="G116" s="1" t="s">
        <v>106</v>
      </c>
      <c r="H116" s="2">
        <v>35506</v>
      </c>
      <c r="I116" s="2">
        <v>45726</v>
      </c>
      <c r="J116" s="1">
        <v>38.22</v>
      </c>
      <c r="K116" s="1">
        <f t="shared" si="4"/>
        <v>157.51990799999999</v>
      </c>
      <c r="L116" s="1">
        <f t="shared" si="5"/>
        <v>254.620092</v>
      </c>
    </row>
    <row r="117" spans="1:12" x14ac:dyDescent="0.35">
      <c r="A117" s="1">
        <v>1115</v>
      </c>
      <c r="B117" s="2">
        <v>44218</v>
      </c>
      <c r="C117" s="1" t="s">
        <v>35</v>
      </c>
      <c r="D117" s="1" t="s">
        <v>38</v>
      </c>
      <c r="E117" s="1" t="s">
        <v>28</v>
      </c>
      <c r="F117" s="1">
        <v>3960.77</v>
      </c>
      <c r="G117" s="1" t="s">
        <v>138</v>
      </c>
      <c r="H117" s="2">
        <v>25948</v>
      </c>
      <c r="I117" s="2">
        <v>44222</v>
      </c>
      <c r="J117" s="1">
        <v>42.31</v>
      </c>
      <c r="K117" s="1">
        <f t="shared" si="4"/>
        <v>1675.8017870000001</v>
      </c>
      <c r="L117" s="1">
        <f t="shared" si="5"/>
        <v>2284.9682130000001</v>
      </c>
    </row>
    <row r="118" spans="1:12" x14ac:dyDescent="0.35">
      <c r="A118" s="1">
        <v>1116</v>
      </c>
      <c r="B118" s="2">
        <v>45044</v>
      </c>
      <c r="C118" s="1" t="s">
        <v>14</v>
      </c>
      <c r="D118" s="1" t="s">
        <v>65</v>
      </c>
      <c r="E118" s="1" t="s">
        <v>19</v>
      </c>
      <c r="F118" s="1">
        <v>2449</v>
      </c>
      <c r="G118" s="1" t="s">
        <v>139</v>
      </c>
      <c r="H118" s="2">
        <v>29381</v>
      </c>
      <c r="I118" s="2">
        <v>45056</v>
      </c>
      <c r="J118" s="1">
        <v>22.98</v>
      </c>
      <c r="K118" s="1">
        <f t="shared" si="4"/>
        <v>562.78020000000004</v>
      </c>
      <c r="L118" s="1">
        <f t="shared" si="5"/>
        <v>1886.2197999999999</v>
      </c>
    </row>
    <row r="119" spans="1:12" x14ac:dyDescent="0.35">
      <c r="A119" s="1">
        <v>1117</v>
      </c>
      <c r="B119" s="2">
        <v>44445</v>
      </c>
      <c r="C119" s="1" t="s">
        <v>10</v>
      </c>
      <c r="D119" s="1" t="s">
        <v>40</v>
      </c>
      <c r="E119" s="1" t="s">
        <v>16</v>
      </c>
      <c r="F119" s="1">
        <v>1567.51</v>
      </c>
      <c r="G119" s="1" t="s">
        <v>140</v>
      </c>
      <c r="H119" s="2">
        <v>24579</v>
      </c>
      <c r="I119" s="2">
        <v>44456</v>
      </c>
      <c r="J119" s="1">
        <v>30.47</v>
      </c>
      <c r="K119" s="1">
        <f t="shared" si="4"/>
        <v>477.62029699999994</v>
      </c>
      <c r="L119" s="1">
        <f t="shared" si="5"/>
        <v>1089.8897030000001</v>
      </c>
    </row>
    <row r="120" spans="1:12" x14ac:dyDescent="0.35">
      <c r="A120" s="1">
        <v>1118</v>
      </c>
      <c r="B120" s="2">
        <v>44966</v>
      </c>
      <c r="C120" s="1" t="s">
        <v>26</v>
      </c>
      <c r="D120" s="1" t="s">
        <v>55</v>
      </c>
      <c r="E120" s="1" t="s">
        <v>31</v>
      </c>
      <c r="F120" s="1">
        <v>2984.11</v>
      </c>
      <c r="G120" s="1" t="s">
        <v>141</v>
      </c>
      <c r="H120" s="2">
        <v>35559</v>
      </c>
      <c r="I120" s="2">
        <v>44979</v>
      </c>
      <c r="J120" s="1">
        <v>36.44</v>
      </c>
      <c r="K120" s="1">
        <f t="shared" si="4"/>
        <v>1087.409684</v>
      </c>
      <c r="L120" s="1">
        <f t="shared" si="5"/>
        <v>1896.7003160000002</v>
      </c>
    </row>
    <row r="121" spans="1:12" x14ac:dyDescent="0.35">
      <c r="A121" s="1">
        <v>1119</v>
      </c>
      <c r="B121" s="2">
        <v>45818</v>
      </c>
      <c r="C121" s="1" t="s">
        <v>35</v>
      </c>
      <c r="D121" s="1" t="s">
        <v>11</v>
      </c>
      <c r="E121" s="1" t="s">
        <v>12</v>
      </c>
      <c r="F121" s="1">
        <v>3346.64</v>
      </c>
      <c r="G121" s="1" t="s">
        <v>142</v>
      </c>
      <c r="H121" s="2">
        <v>29541</v>
      </c>
      <c r="I121" s="2">
        <v>45821</v>
      </c>
      <c r="J121" s="1">
        <v>33.65</v>
      </c>
      <c r="K121" s="1">
        <f t="shared" si="4"/>
        <v>1126.1443599999998</v>
      </c>
      <c r="L121" s="1">
        <f t="shared" si="5"/>
        <v>2220.4956400000001</v>
      </c>
    </row>
    <row r="122" spans="1:12" x14ac:dyDescent="0.35">
      <c r="A122" s="1">
        <v>1120</v>
      </c>
      <c r="B122" s="2">
        <v>45547</v>
      </c>
      <c r="C122" s="1" t="s">
        <v>26</v>
      </c>
      <c r="D122" s="1" t="s">
        <v>47</v>
      </c>
      <c r="E122" s="1" t="s">
        <v>12</v>
      </c>
      <c r="F122" s="1">
        <v>962.15</v>
      </c>
      <c r="G122" s="1" t="s">
        <v>143</v>
      </c>
      <c r="H122" s="2">
        <v>37490</v>
      </c>
      <c r="I122" s="2">
        <v>45560</v>
      </c>
      <c r="J122" s="1">
        <v>12.14</v>
      </c>
      <c r="K122" s="1">
        <f t="shared" si="4"/>
        <v>116.80501000000001</v>
      </c>
      <c r="L122" s="1">
        <f t="shared" si="5"/>
        <v>845.34498999999994</v>
      </c>
    </row>
    <row r="123" spans="1:12" x14ac:dyDescent="0.35">
      <c r="A123" s="1">
        <v>1121</v>
      </c>
      <c r="B123" s="2">
        <v>45534</v>
      </c>
      <c r="C123" s="1" t="s">
        <v>26</v>
      </c>
      <c r="D123" s="1" t="s">
        <v>73</v>
      </c>
      <c r="E123" s="1" t="s">
        <v>28</v>
      </c>
      <c r="F123" s="1">
        <v>3263.31</v>
      </c>
      <c r="G123" s="1" t="s">
        <v>144</v>
      </c>
      <c r="H123" s="2">
        <v>34571</v>
      </c>
      <c r="I123" s="2">
        <v>45537</v>
      </c>
      <c r="J123" s="1">
        <v>42.11</v>
      </c>
      <c r="K123" s="1">
        <f t="shared" si="4"/>
        <v>1374.1798409999999</v>
      </c>
      <c r="L123" s="1">
        <f t="shared" si="5"/>
        <v>1889.130159</v>
      </c>
    </row>
    <row r="124" spans="1:12" x14ac:dyDescent="0.35">
      <c r="A124" s="1">
        <v>1122</v>
      </c>
      <c r="B124" s="2">
        <v>44929</v>
      </c>
      <c r="C124" s="1" t="s">
        <v>35</v>
      </c>
      <c r="D124" s="1" t="s">
        <v>36</v>
      </c>
      <c r="E124" s="1" t="s">
        <v>28</v>
      </c>
      <c r="F124" s="1">
        <v>2326.17</v>
      </c>
      <c r="G124" s="1" t="s">
        <v>145</v>
      </c>
      <c r="H124" s="2">
        <v>23470</v>
      </c>
      <c r="I124" s="2">
        <v>44938</v>
      </c>
      <c r="J124" s="1">
        <v>8.98</v>
      </c>
      <c r="K124" s="1">
        <f t="shared" si="4"/>
        <v>208.89006600000002</v>
      </c>
      <c r="L124" s="1">
        <f t="shared" si="5"/>
        <v>2117.2799340000001</v>
      </c>
    </row>
    <row r="125" spans="1:12" x14ac:dyDescent="0.35">
      <c r="A125" s="1">
        <v>1123</v>
      </c>
      <c r="B125" s="2">
        <v>45807</v>
      </c>
      <c r="C125" s="1" t="s">
        <v>21</v>
      </c>
      <c r="D125" s="1" t="s">
        <v>58</v>
      </c>
      <c r="E125" s="1" t="s">
        <v>31</v>
      </c>
      <c r="F125" s="1">
        <v>4103.01</v>
      </c>
      <c r="G125" s="1" t="s">
        <v>146</v>
      </c>
      <c r="H125" s="2">
        <v>24961</v>
      </c>
      <c r="I125" s="2">
        <v>45812</v>
      </c>
      <c r="J125" s="1">
        <v>0.87</v>
      </c>
      <c r="K125" s="1">
        <f t="shared" si="4"/>
        <v>35.696187000000002</v>
      </c>
      <c r="L125" s="1">
        <f t="shared" si="5"/>
        <v>4067.3138130000002</v>
      </c>
    </row>
    <row r="126" spans="1:12" x14ac:dyDescent="0.35">
      <c r="A126" s="1">
        <v>1124</v>
      </c>
      <c r="B126" s="2">
        <v>45207</v>
      </c>
      <c r="C126" s="1" t="s">
        <v>10</v>
      </c>
      <c r="D126" s="1" t="s">
        <v>30</v>
      </c>
      <c r="E126" s="1" t="s">
        <v>31</v>
      </c>
      <c r="F126" s="1">
        <v>3578.78</v>
      </c>
      <c r="G126" s="1" t="s">
        <v>147</v>
      </c>
      <c r="H126" s="2">
        <v>34343</v>
      </c>
      <c r="I126" s="2">
        <v>45216</v>
      </c>
      <c r="J126" s="1">
        <v>9.4600000000000009</v>
      </c>
      <c r="K126" s="1">
        <f t="shared" si="4"/>
        <v>338.55258800000001</v>
      </c>
      <c r="L126" s="1">
        <f t="shared" si="5"/>
        <v>3240.2274120000002</v>
      </c>
    </row>
    <row r="127" spans="1:12" x14ac:dyDescent="0.35">
      <c r="A127" s="1">
        <v>1125</v>
      </c>
      <c r="B127" s="2">
        <v>44559</v>
      </c>
      <c r="C127" s="1" t="s">
        <v>21</v>
      </c>
      <c r="D127" s="1" t="s">
        <v>22</v>
      </c>
      <c r="E127" s="1" t="s">
        <v>19</v>
      </c>
      <c r="F127" s="1">
        <v>3102.24</v>
      </c>
      <c r="G127" s="1" t="s">
        <v>75</v>
      </c>
      <c r="H127" s="2">
        <v>25853</v>
      </c>
      <c r="I127" s="2">
        <v>44570</v>
      </c>
      <c r="J127" s="1">
        <v>13.12</v>
      </c>
      <c r="K127" s="1">
        <f t="shared" si="4"/>
        <v>407.01388799999989</v>
      </c>
      <c r="L127" s="1">
        <f t="shared" si="5"/>
        <v>2695.2261119999998</v>
      </c>
    </row>
    <row r="128" spans="1:12" x14ac:dyDescent="0.35">
      <c r="A128" s="1">
        <v>1126</v>
      </c>
      <c r="B128" s="2">
        <v>44298</v>
      </c>
      <c r="C128" s="1" t="s">
        <v>10</v>
      </c>
      <c r="D128" s="1" t="s">
        <v>27</v>
      </c>
      <c r="E128" s="1" t="s">
        <v>28</v>
      </c>
      <c r="F128" s="1">
        <v>2539.35</v>
      </c>
      <c r="G128" s="1" t="s">
        <v>62</v>
      </c>
      <c r="H128" s="2">
        <v>22870</v>
      </c>
      <c r="I128" s="2">
        <v>44302</v>
      </c>
      <c r="J128" s="1">
        <v>18.09</v>
      </c>
      <c r="K128" s="1">
        <f t="shared" si="4"/>
        <v>459.36841499999997</v>
      </c>
      <c r="L128" s="1">
        <f t="shared" si="5"/>
        <v>2079.981585</v>
      </c>
    </row>
    <row r="129" spans="1:12" x14ac:dyDescent="0.35">
      <c r="A129" s="1">
        <v>1127</v>
      </c>
      <c r="B129" s="2">
        <v>45488</v>
      </c>
      <c r="C129" s="1" t="s">
        <v>10</v>
      </c>
      <c r="D129" s="1" t="s">
        <v>30</v>
      </c>
      <c r="E129" s="1" t="s">
        <v>31</v>
      </c>
      <c r="F129" s="1">
        <v>1990.67</v>
      </c>
      <c r="G129" s="1" t="s">
        <v>148</v>
      </c>
      <c r="H129" s="2">
        <v>22007</v>
      </c>
      <c r="I129" s="2">
        <v>45495</v>
      </c>
      <c r="J129" s="1">
        <v>1.56</v>
      </c>
      <c r="K129" s="1">
        <f t="shared" si="4"/>
        <v>31.054452000000005</v>
      </c>
      <c r="L129" s="1">
        <f t="shared" si="5"/>
        <v>1959.615548</v>
      </c>
    </row>
    <row r="130" spans="1:12" x14ac:dyDescent="0.35">
      <c r="A130" s="1">
        <v>1128</v>
      </c>
      <c r="B130" s="2">
        <v>45105</v>
      </c>
      <c r="C130" s="1" t="s">
        <v>21</v>
      </c>
      <c r="D130" s="1" t="s">
        <v>55</v>
      </c>
      <c r="E130" s="1" t="s">
        <v>31</v>
      </c>
      <c r="F130" s="1">
        <v>1239.3399999999999</v>
      </c>
      <c r="G130" s="1" t="s">
        <v>149</v>
      </c>
      <c r="H130" s="2">
        <v>26155</v>
      </c>
      <c r="I130" s="2">
        <v>45115</v>
      </c>
      <c r="J130" s="1">
        <v>5.3</v>
      </c>
      <c r="K130" s="1">
        <f t="shared" si="4"/>
        <v>65.685019999999994</v>
      </c>
      <c r="L130" s="1">
        <f t="shared" si="5"/>
        <v>1173.65498</v>
      </c>
    </row>
    <row r="131" spans="1:12" x14ac:dyDescent="0.35">
      <c r="A131" s="1">
        <v>1129</v>
      </c>
      <c r="B131" s="2">
        <v>45034</v>
      </c>
      <c r="C131" s="1" t="s">
        <v>14</v>
      </c>
      <c r="D131" s="1" t="s">
        <v>69</v>
      </c>
      <c r="E131" s="1" t="s">
        <v>31</v>
      </c>
      <c r="F131" s="1">
        <v>585.54999999999995</v>
      </c>
      <c r="G131" s="1" t="s">
        <v>54</v>
      </c>
      <c r="H131" s="2">
        <v>31082</v>
      </c>
      <c r="I131" s="2">
        <v>45038</v>
      </c>
      <c r="J131" s="1">
        <v>49.91</v>
      </c>
      <c r="K131" s="1">
        <f t="shared" ref="K131:K194" si="6">F131*J131%</f>
        <v>292.24800499999998</v>
      </c>
      <c r="L131" s="1">
        <f t="shared" ref="L131:L194" si="7">F131-K131</f>
        <v>293.30199499999998</v>
      </c>
    </row>
    <row r="132" spans="1:12" x14ac:dyDescent="0.35">
      <c r="A132" s="1">
        <v>1130</v>
      </c>
      <c r="B132" s="2">
        <v>45860</v>
      </c>
      <c r="C132" s="1" t="s">
        <v>21</v>
      </c>
      <c r="D132" s="1" t="s">
        <v>24</v>
      </c>
      <c r="E132" s="1" t="s">
        <v>19</v>
      </c>
      <c r="F132" s="1">
        <v>2422.41</v>
      </c>
      <c r="G132" s="1" t="s">
        <v>112</v>
      </c>
      <c r="H132" s="2">
        <v>38171</v>
      </c>
      <c r="I132" s="2">
        <v>45862</v>
      </c>
      <c r="J132" s="1">
        <v>43.13</v>
      </c>
      <c r="K132" s="1">
        <f t="shared" si="6"/>
        <v>1044.785433</v>
      </c>
      <c r="L132" s="1">
        <f t="shared" si="7"/>
        <v>1377.6245669999998</v>
      </c>
    </row>
    <row r="133" spans="1:12" x14ac:dyDescent="0.35">
      <c r="A133" s="1">
        <v>1131</v>
      </c>
      <c r="B133" s="2">
        <v>44404</v>
      </c>
      <c r="C133" s="1" t="s">
        <v>14</v>
      </c>
      <c r="D133" s="1" t="s">
        <v>102</v>
      </c>
      <c r="E133" s="1" t="s">
        <v>12</v>
      </c>
      <c r="F133" s="1">
        <v>1177.53</v>
      </c>
      <c r="G133" s="1" t="s">
        <v>150</v>
      </c>
      <c r="H133" s="2">
        <v>31231</v>
      </c>
      <c r="I133" s="2">
        <v>44418</v>
      </c>
      <c r="J133" s="1">
        <v>25.34</v>
      </c>
      <c r="K133" s="1">
        <f t="shared" si="6"/>
        <v>298.38610199999999</v>
      </c>
      <c r="L133" s="1">
        <f t="shared" si="7"/>
        <v>879.14389800000004</v>
      </c>
    </row>
    <row r="134" spans="1:12" x14ac:dyDescent="0.35">
      <c r="A134" s="1">
        <v>1132</v>
      </c>
      <c r="B134" s="2">
        <v>45011</v>
      </c>
      <c r="C134" s="1" t="s">
        <v>35</v>
      </c>
      <c r="D134" s="1" t="s">
        <v>65</v>
      </c>
      <c r="E134" s="1" t="s">
        <v>19</v>
      </c>
      <c r="F134" s="1">
        <v>141.16999999999999</v>
      </c>
      <c r="G134" s="1" t="s">
        <v>151</v>
      </c>
      <c r="H134" s="2">
        <v>34427</v>
      </c>
      <c r="I134" s="2">
        <v>45015</v>
      </c>
      <c r="J134" s="1">
        <v>22.75</v>
      </c>
      <c r="K134" s="1">
        <f t="shared" si="6"/>
        <v>32.116174999999998</v>
      </c>
      <c r="L134" s="1">
        <f t="shared" si="7"/>
        <v>109.05382499999999</v>
      </c>
    </row>
    <row r="135" spans="1:12" x14ac:dyDescent="0.35">
      <c r="A135" s="1">
        <v>1133</v>
      </c>
      <c r="B135" s="2">
        <v>44704</v>
      </c>
      <c r="C135" s="1" t="s">
        <v>26</v>
      </c>
      <c r="D135" s="1" t="s">
        <v>53</v>
      </c>
      <c r="E135" s="1" t="s">
        <v>28</v>
      </c>
      <c r="F135" s="1">
        <v>309.52</v>
      </c>
      <c r="G135" s="1" t="s">
        <v>152</v>
      </c>
      <c r="H135" s="2">
        <v>24792</v>
      </c>
      <c r="I135" s="2">
        <v>44718</v>
      </c>
      <c r="J135" s="1">
        <v>38.33</v>
      </c>
      <c r="K135" s="1">
        <f t="shared" si="6"/>
        <v>118.63901599999998</v>
      </c>
      <c r="L135" s="1">
        <f t="shared" si="7"/>
        <v>190.88098400000001</v>
      </c>
    </row>
    <row r="136" spans="1:12" x14ac:dyDescent="0.35">
      <c r="A136" s="1">
        <v>1134</v>
      </c>
      <c r="B136" s="2">
        <v>44910</v>
      </c>
      <c r="C136" s="1" t="s">
        <v>21</v>
      </c>
      <c r="D136" s="1" t="s">
        <v>88</v>
      </c>
      <c r="E136" s="1" t="s">
        <v>16</v>
      </c>
      <c r="F136" s="1">
        <v>3482.39</v>
      </c>
      <c r="G136" s="1" t="s">
        <v>153</v>
      </c>
      <c r="H136" s="2">
        <v>36216</v>
      </c>
      <c r="I136" s="2">
        <v>44912</v>
      </c>
      <c r="J136" s="1">
        <v>34.479999999999997</v>
      </c>
      <c r="K136" s="1">
        <f t="shared" si="6"/>
        <v>1200.7280719999999</v>
      </c>
      <c r="L136" s="1">
        <f t="shared" si="7"/>
        <v>2281.661928</v>
      </c>
    </row>
    <row r="137" spans="1:12" x14ac:dyDescent="0.35">
      <c r="A137" s="1">
        <v>1135</v>
      </c>
      <c r="B137" s="2">
        <v>45173</v>
      </c>
      <c r="C137" s="1" t="s">
        <v>14</v>
      </c>
      <c r="D137" s="1" t="s">
        <v>40</v>
      </c>
      <c r="E137" s="1" t="s">
        <v>16</v>
      </c>
      <c r="F137" s="1">
        <v>186.59</v>
      </c>
      <c r="G137" s="1" t="s">
        <v>154</v>
      </c>
      <c r="H137" s="2">
        <v>32146</v>
      </c>
      <c r="I137" s="2">
        <v>45186</v>
      </c>
      <c r="J137" s="1">
        <v>43.06</v>
      </c>
      <c r="K137" s="1">
        <f t="shared" si="6"/>
        <v>80.34565400000001</v>
      </c>
      <c r="L137" s="1">
        <f t="shared" si="7"/>
        <v>106.24434599999999</v>
      </c>
    </row>
    <row r="138" spans="1:12" x14ac:dyDescent="0.35">
      <c r="A138" s="1">
        <v>1136</v>
      </c>
      <c r="B138" s="2">
        <v>44784</v>
      </c>
      <c r="C138" s="1" t="s">
        <v>35</v>
      </c>
      <c r="D138" s="1" t="s">
        <v>55</v>
      </c>
      <c r="E138" s="1" t="s">
        <v>31</v>
      </c>
      <c r="F138" s="1">
        <v>2204.64</v>
      </c>
      <c r="G138" s="1" t="s">
        <v>132</v>
      </c>
      <c r="H138" s="2">
        <v>34364</v>
      </c>
      <c r="I138" s="2">
        <v>44785</v>
      </c>
      <c r="J138" s="1">
        <v>1.55</v>
      </c>
      <c r="K138" s="1">
        <f t="shared" si="6"/>
        <v>34.17192</v>
      </c>
      <c r="L138" s="1">
        <f t="shared" si="7"/>
        <v>2170.4680799999996</v>
      </c>
    </row>
    <row r="139" spans="1:12" x14ac:dyDescent="0.35">
      <c r="A139" s="1">
        <v>1137</v>
      </c>
      <c r="B139" s="2">
        <v>44556</v>
      </c>
      <c r="C139" s="1" t="s">
        <v>35</v>
      </c>
      <c r="D139" s="1" t="s">
        <v>69</v>
      </c>
      <c r="E139" s="1" t="s">
        <v>31</v>
      </c>
      <c r="F139" s="1">
        <v>472.14</v>
      </c>
      <c r="G139" s="1" t="s">
        <v>155</v>
      </c>
      <c r="H139" s="2">
        <v>27688</v>
      </c>
      <c r="I139" s="2">
        <v>44558</v>
      </c>
      <c r="J139" s="1">
        <v>6.01</v>
      </c>
      <c r="K139" s="1">
        <f t="shared" si="6"/>
        <v>28.375613999999999</v>
      </c>
      <c r="L139" s="1">
        <f t="shared" si="7"/>
        <v>443.764386</v>
      </c>
    </row>
    <row r="140" spans="1:12" x14ac:dyDescent="0.35">
      <c r="A140" s="1">
        <v>1138</v>
      </c>
      <c r="B140" s="2">
        <v>44765</v>
      </c>
      <c r="C140" s="1" t="s">
        <v>10</v>
      </c>
      <c r="D140" s="1" t="s">
        <v>27</v>
      </c>
      <c r="E140" s="1" t="s">
        <v>28</v>
      </c>
      <c r="F140" s="1">
        <v>4691.68</v>
      </c>
      <c r="G140" s="1" t="s">
        <v>156</v>
      </c>
      <c r="H140" s="2">
        <v>38693</v>
      </c>
      <c r="I140" s="2">
        <v>44777</v>
      </c>
      <c r="J140" s="1">
        <v>24.19</v>
      </c>
      <c r="K140" s="1">
        <f t="shared" si="6"/>
        <v>1134.9173920000001</v>
      </c>
      <c r="L140" s="1">
        <f t="shared" si="7"/>
        <v>3556.762608</v>
      </c>
    </row>
    <row r="141" spans="1:12" x14ac:dyDescent="0.35">
      <c r="A141" s="1">
        <v>1139</v>
      </c>
      <c r="B141" s="2">
        <v>45699</v>
      </c>
      <c r="C141" s="1" t="s">
        <v>10</v>
      </c>
      <c r="D141" s="1" t="s">
        <v>47</v>
      </c>
      <c r="E141" s="1" t="s">
        <v>12</v>
      </c>
      <c r="F141" s="1">
        <v>1474.93</v>
      </c>
      <c r="G141" s="1" t="s">
        <v>157</v>
      </c>
      <c r="H141" s="2">
        <v>37189</v>
      </c>
      <c r="I141" s="2">
        <v>45710</v>
      </c>
      <c r="J141" s="1">
        <v>13.15</v>
      </c>
      <c r="K141" s="1">
        <f t="shared" si="6"/>
        <v>193.95329500000003</v>
      </c>
      <c r="L141" s="1">
        <f t="shared" si="7"/>
        <v>1280.976705</v>
      </c>
    </row>
    <row r="142" spans="1:12" x14ac:dyDescent="0.35">
      <c r="A142" s="1">
        <v>1140</v>
      </c>
      <c r="B142" s="2">
        <v>45407</v>
      </c>
      <c r="C142" s="1" t="s">
        <v>26</v>
      </c>
      <c r="D142" s="1" t="s">
        <v>36</v>
      </c>
      <c r="E142" s="1" t="s">
        <v>28</v>
      </c>
      <c r="F142" s="1">
        <v>1790.45</v>
      </c>
      <c r="G142" s="1" t="s">
        <v>90</v>
      </c>
      <c r="H142" s="2">
        <v>29348</v>
      </c>
      <c r="I142" s="2">
        <v>45408</v>
      </c>
      <c r="J142" s="1">
        <v>19.11</v>
      </c>
      <c r="K142" s="1">
        <f t="shared" si="6"/>
        <v>342.15499499999999</v>
      </c>
      <c r="L142" s="1">
        <f t="shared" si="7"/>
        <v>1448.2950049999999</v>
      </c>
    </row>
    <row r="143" spans="1:12" x14ac:dyDescent="0.35">
      <c r="A143" s="1">
        <v>1141</v>
      </c>
      <c r="B143" s="2">
        <v>45878</v>
      </c>
      <c r="C143" s="1" t="s">
        <v>35</v>
      </c>
      <c r="D143" s="1" t="s">
        <v>61</v>
      </c>
      <c r="E143" s="1" t="s">
        <v>19</v>
      </c>
      <c r="F143" s="1">
        <v>808</v>
      </c>
      <c r="G143" s="1" t="s">
        <v>78</v>
      </c>
      <c r="H143" s="2">
        <v>25099</v>
      </c>
      <c r="I143" s="2">
        <v>45883</v>
      </c>
      <c r="J143" s="1">
        <v>23.32</v>
      </c>
      <c r="K143" s="1">
        <f t="shared" si="6"/>
        <v>188.4256</v>
      </c>
      <c r="L143" s="1">
        <f t="shared" si="7"/>
        <v>619.57439999999997</v>
      </c>
    </row>
    <row r="144" spans="1:12" x14ac:dyDescent="0.35">
      <c r="A144" s="1">
        <v>1142</v>
      </c>
      <c r="B144" s="2">
        <v>44208</v>
      </c>
      <c r="C144" s="1" t="s">
        <v>14</v>
      </c>
      <c r="D144" s="1" t="s">
        <v>61</v>
      </c>
      <c r="E144" s="1" t="s">
        <v>19</v>
      </c>
      <c r="F144" s="1">
        <v>1853.63</v>
      </c>
      <c r="G144" s="1" t="s">
        <v>158</v>
      </c>
      <c r="H144" s="2">
        <v>34871</v>
      </c>
      <c r="I144" s="2">
        <v>44219</v>
      </c>
      <c r="J144" s="1">
        <v>22.73</v>
      </c>
      <c r="K144" s="1">
        <f t="shared" si="6"/>
        <v>421.33009900000002</v>
      </c>
      <c r="L144" s="1">
        <f t="shared" si="7"/>
        <v>1432.2999010000001</v>
      </c>
    </row>
    <row r="145" spans="1:12" x14ac:dyDescent="0.35">
      <c r="A145" s="1">
        <v>1143</v>
      </c>
      <c r="B145" s="2">
        <v>44282</v>
      </c>
      <c r="C145" s="1" t="s">
        <v>21</v>
      </c>
      <c r="D145" s="1" t="s">
        <v>71</v>
      </c>
      <c r="E145" s="1" t="s">
        <v>31</v>
      </c>
      <c r="F145" s="1">
        <v>3908.26</v>
      </c>
      <c r="G145" s="1" t="s">
        <v>159</v>
      </c>
      <c r="H145" s="2">
        <v>38194</v>
      </c>
      <c r="I145" s="2">
        <v>44285</v>
      </c>
      <c r="J145" s="1">
        <v>5.22</v>
      </c>
      <c r="K145" s="1">
        <f t="shared" si="6"/>
        <v>204.01117199999999</v>
      </c>
      <c r="L145" s="1">
        <f t="shared" si="7"/>
        <v>3704.2488280000002</v>
      </c>
    </row>
    <row r="146" spans="1:12" x14ac:dyDescent="0.35">
      <c r="A146" s="1">
        <v>1144</v>
      </c>
      <c r="B146" s="2">
        <v>45242</v>
      </c>
      <c r="C146" s="1" t="s">
        <v>21</v>
      </c>
      <c r="D146" s="1" t="s">
        <v>30</v>
      </c>
      <c r="E146" s="1" t="s">
        <v>31</v>
      </c>
      <c r="F146" s="1">
        <v>3609.48</v>
      </c>
      <c r="G146" s="1" t="s">
        <v>43</v>
      </c>
      <c r="H146" s="2">
        <v>30054</v>
      </c>
      <c r="I146" s="2">
        <v>45249</v>
      </c>
      <c r="J146" s="1">
        <v>0.27</v>
      </c>
      <c r="K146" s="1">
        <f t="shared" si="6"/>
        <v>9.7455960000000008</v>
      </c>
      <c r="L146" s="1">
        <f t="shared" si="7"/>
        <v>3599.7344039999998</v>
      </c>
    </row>
    <row r="147" spans="1:12" x14ac:dyDescent="0.35">
      <c r="A147" s="1">
        <v>1145</v>
      </c>
      <c r="B147" s="2">
        <v>44771</v>
      </c>
      <c r="C147" s="1" t="s">
        <v>14</v>
      </c>
      <c r="D147" s="1" t="s">
        <v>11</v>
      </c>
      <c r="E147" s="1" t="s">
        <v>12</v>
      </c>
      <c r="F147" s="1">
        <v>527.39</v>
      </c>
      <c r="G147" s="1" t="s">
        <v>59</v>
      </c>
      <c r="H147" s="2">
        <v>25166</v>
      </c>
      <c r="I147" s="2">
        <v>44780</v>
      </c>
      <c r="J147" s="1">
        <v>14.21</v>
      </c>
      <c r="K147" s="1">
        <f t="shared" si="6"/>
        <v>74.942119000000005</v>
      </c>
      <c r="L147" s="1">
        <f t="shared" si="7"/>
        <v>452.447881</v>
      </c>
    </row>
    <row r="148" spans="1:12" x14ac:dyDescent="0.35">
      <c r="A148" s="1">
        <v>1146</v>
      </c>
      <c r="B148" s="2">
        <v>44893</v>
      </c>
      <c r="C148" s="1" t="s">
        <v>35</v>
      </c>
      <c r="D148" s="1" t="s">
        <v>30</v>
      </c>
      <c r="E148" s="1" t="s">
        <v>31</v>
      </c>
      <c r="F148" s="1">
        <v>3221.4</v>
      </c>
      <c r="G148" s="1" t="s">
        <v>160</v>
      </c>
      <c r="H148" s="2">
        <v>35321</v>
      </c>
      <c r="I148" s="2">
        <v>44900</v>
      </c>
      <c r="J148" s="1">
        <v>14.32</v>
      </c>
      <c r="K148" s="1">
        <f t="shared" si="6"/>
        <v>461.30448000000001</v>
      </c>
      <c r="L148" s="1">
        <f t="shared" si="7"/>
        <v>2760.0955199999999</v>
      </c>
    </row>
    <row r="149" spans="1:12" x14ac:dyDescent="0.35">
      <c r="A149" s="1">
        <v>1147</v>
      </c>
      <c r="B149" s="2">
        <v>44609</v>
      </c>
      <c r="C149" s="1" t="s">
        <v>14</v>
      </c>
      <c r="D149" s="1" t="s">
        <v>69</v>
      </c>
      <c r="E149" s="1" t="s">
        <v>31</v>
      </c>
      <c r="F149" s="1">
        <v>2149.13</v>
      </c>
      <c r="G149" s="1" t="s">
        <v>161</v>
      </c>
      <c r="H149" s="2">
        <v>29386</v>
      </c>
      <c r="I149" s="2">
        <v>44612</v>
      </c>
      <c r="J149" s="1">
        <v>39.03</v>
      </c>
      <c r="K149" s="1">
        <f t="shared" si="6"/>
        <v>838.80543900000009</v>
      </c>
      <c r="L149" s="1">
        <f t="shared" si="7"/>
        <v>1310.3245609999999</v>
      </c>
    </row>
    <row r="150" spans="1:12" x14ac:dyDescent="0.35">
      <c r="A150" s="1">
        <v>1148</v>
      </c>
      <c r="B150" s="2">
        <v>44281</v>
      </c>
      <c r="C150" s="1" t="s">
        <v>21</v>
      </c>
      <c r="D150" s="1" t="s">
        <v>24</v>
      </c>
      <c r="E150" s="1" t="s">
        <v>19</v>
      </c>
      <c r="F150" s="1">
        <v>4310.55</v>
      </c>
      <c r="G150" s="1" t="s">
        <v>162</v>
      </c>
      <c r="H150" s="2">
        <v>32712</v>
      </c>
      <c r="I150" s="2">
        <v>44282</v>
      </c>
      <c r="J150" s="1">
        <v>19.37</v>
      </c>
      <c r="K150" s="1">
        <f t="shared" si="6"/>
        <v>834.9535350000001</v>
      </c>
      <c r="L150" s="1">
        <f t="shared" si="7"/>
        <v>3475.5964650000001</v>
      </c>
    </row>
    <row r="151" spans="1:12" x14ac:dyDescent="0.35">
      <c r="A151" s="1">
        <v>1149</v>
      </c>
      <c r="B151" s="2">
        <v>44709</v>
      </c>
      <c r="C151" s="1" t="s">
        <v>10</v>
      </c>
      <c r="D151" s="1" t="s">
        <v>49</v>
      </c>
      <c r="E151" s="1" t="s">
        <v>12</v>
      </c>
      <c r="F151" s="1">
        <v>4335.75</v>
      </c>
      <c r="G151" s="1" t="s">
        <v>163</v>
      </c>
      <c r="H151" s="2">
        <v>30364</v>
      </c>
      <c r="I151" s="2">
        <v>44715</v>
      </c>
      <c r="J151" s="1">
        <v>8.9700000000000006</v>
      </c>
      <c r="K151" s="1">
        <f t="shared" si="6"/>
        <v>388.91677500000003</v>
      </c>
      <c r="L151" s="1">
        <f t="shared" si="7"/>
        <v>3946.8332249999999</v>
      </c>
    </row>
    <row r="152" spans="1:12" x14ac:dyDescent="0.35">
      <c r="A152" s="1">
        <v>1150</v>
      </c>
      <c r="B152" s="2">
        <v>45252</v>
      </c>
      <c r="C152" s="1" t="s">
        <v>35</v>
      </c>
      <c r="D152" s="1" t="s">
        <v>69</v>
      </c>
      <c r="E152" s="1" t="s">
        <v>12</v>
      </c>
      <c r="F152" s="1">
        <v>3821.32</v>
      </c>
      <c r="G152" s="1" t="s">
        <v>164</v>
      </c>
      <c r="H152" s="2">
        <v>28046</v>
      </c>
      <c r="I152" s="2">
        <v>45263</v>
      </c>
      <c r="J152" s="1">
        <v>26.4</v>
      </c>
      <c r="K152" s="1">
        <f t="shared" si="6"/>
        <v>1008.8284800000001</v>
      </c>
      <c r="L152" s="1">
        <f t="shared" si="7"/>
        <v>2812.49152</v>
      </c>
    </row>
    <row r="153" spans="1:12" x14ac:dyDescent="0.35">
      <c r="A153" s="1">
        <v>1151</v>
      </c>
      <c r="B153" s="2">
        <v>44914</v>
      </c>
      <c r="C153" s="1" t="s">
        <v>10</v>
      </c>
      <c r="D153" s="1" t="s">
        <v>65</v>
      </c>
      <c r="E153" s="1" t="s">
        <v>19</v>
      </c>
      <c r="F153" s="1">
        <v>2012.94</v>
      </c>
      <c r="G153" s="1" t="s">
        <v>165</v>
      </c>
      <c r="H153" s="2">
        <v>29887</v>
      </c>
      <c r="I153" s="2">
        <v>44915</v>
      </c>
      <c r="J153" s="1">
        <v>44.45</v>
      </c>
      <c r="K153" s="1">
        <f t="shared" si="6"/>
        <v>894.75183000000004</v>
      </c>
      <c r="L153" s="1">
        <f t="shared" si="7"/>
        <v>1118.1881699999999</v>
      </c>
    </row>
    <row r="154" spans="1:12" x14ac:dyDescent="0.35">
      <c r="A154" s="1">
        <v>1152</v>
      </c>
      <c r="B154" s="2">
        <v>45518</v>
      </c>
      <c r="C154" s="1" t="s">
        <v>14</v>
      </c>
      <c r="D154" s="1" t="s">
        <v>88</v>
      </c>
      <c r="E154" s="1" t="s">
        <v>16</v>
      </c>
      <c r="F154" s="1">
        <v>4403.59</v>
      </c>
      <c r="G154" s="1" t="s">
        <v>166</v>
      </c>
      <c r="H154" s="2">
        <v>27879</v>
      </c>
      <c r="I154" s="2">
        <v>45526</v>
      </c>
      <c r="J154" s="1">
        <v>20.79</v>
      </c>
      <c r="K154" s="1">
        <f t="shared" si="6"/>
        <v>915.50636100000008</v>
      </c>
      <c r="L154" s="1">
        <f t="shared" si="7"/>
        <v>3488.0836389999999</v>
      </c>
    </row>
    <row r="155" spans="1:12" x14ac:dyDescent="0.35">
      <c r="A155" s="1">
        <v>1153</v>
      </c>
      <c r="B155" s="2">
        <v>45326</v>
      </c>
      <c r="C155" s="1" t="s">
        <v>21</v>
      </c>
      <c r="D155" s="1" t="s">
        <v>33</v>
      </c>
      <c r="E155" s="1" t="s">
        <v>16</v>
      </c>
      <c r="F155" s="1">
        <v>3632.86</v>
      </c>
      <c r="G155" s="1" t="s">
        <v>167</v>
      </c>
      <c r="H155" s="2">
        <v>24672</v>
      </c>
      <c r="I155" s="2">
        <v>45334</v>
      </c>
      <c r="J155" s="1">
        <v>42.47</v>
      </c>
      <c r="K155" s="1">
        <f t="shared" si="6"/>
        <v>1542.875642</v>
      </c>
      <c r="L155" s="1">
        <f t="shared" si="7"/>
        <v>2089.9843580000002</v>
      </c>
    </row>
    <row r="156" spans="1:12" x14ac:dyDescent="0.35">
      <c r="A156" s="1">
        <v>1154</v>
      </c>
      <c r="B156" s="2">
        <v>45488</v>
      </c>
      <c r="C156" s="1" t="s">
        <v>21</v>
      </c>
      <c r="D156" s="1" t="s">
        <v>27</v>
      </c>
      <c r="E156" s="1" t="s">
        <v>28</v>
      </c>
      <c r="F156" s="1">
        <v>2638.14</v>
      </c>
      <c r="G156" s="1" t="s">
        <v>168</v>
      </c>
      <c r="H156" s="2">
        <v>37674</v>
      </c>
      <c r="I156" s="2">
        <v>45496</v>
      </c>
      <c r="J156" s="1">
        <v>39.82</v>
      </c>
      <c r="K156" s="1">
        <f t="shared" si="6"/>
        <v>1050.5073479999999</v>
      </c>
      <c r="L156" s="1">
        <f t="shared" si="7"/>
        <v>1587.632652</v>
      </c>
    </row>
    <row r="157" spans="1:12" x14ac:dyDescent="0.35">
      <c r="A157" s="1">
        <v>1155</v>
      </c>
      <c r="B157" s="2">
        <v>44780</v>
      </c>
      <c r="C157" s="1" t="s">
        <v>26</v>
      </c>
      <c r="D157" s="1" t="s">
        <v>53</v>
      </c>
      <c r="E157" s="1" t="s">
        <v>28</v>
      </c>
      <c r="F157" s="1">
        <v>4876.3599999999997</v>
      </c>
      <c r="G157" s="1" t="s">
        <v>169</v>
      </c>
      <c r="H157" s="2">
        <v>37894</v>
      </c>
      <c r="I157" s="2">
        <v>44794</v>
      </c>
      <c r="J157" s="1">
        <v>48.53</v>
      </c>
      <c r="K157" s="1">
        <f t="shared" si="6"/>
        <v>2366.4975079999999</v>
      </c>
      <c r="L157" s="1">
        <f t="shared" si="7"/>
        <v>2509.8624919999997</v>
      </c>
    </row>
    <row r="158" spans="1:12" x14ac:dyDescent="0.35">
      <c r="A158" s="1">
        <v>1156</v>
      </c>
      <c r="B158" s="2">
        <v>45019</v>
      </c>
      <c r="C158" s="1" t="s">
        <v>10</v>
      </c>
      <c r="D158" s="1" t="s">
        <v>11</v>
      </c>
      <c r="E158" s="1" t="s">
        <v>12</v>
      </c>
      <c r="F158" s="1">
        <v>222.74</v>
      </c>
      <c r="G158" s="1" t="s">
        <v>68</v>
      </c>
      <c r="H158" s="2">
        <v>22079</v>
      </c>
      <c r="I158" s="2">
        <v>45031</v>
      </c>
      <c r="J158" s="1">
        <v>25.77</v>
      </c>
      <c r="K158" s="1">
        <f t="shared" si="6"/>
        <v>57.400098</v>
      </c>
      <c r="L158" s="1">
        <f t="shared" si="7"/>
        <v>165.339902</v>
      </c>
    </row>
    <row r="159" spans="1:12" x14ac:dyDescent="0.35">
      <c r="A159" s="1">
        <v>1157</v>
      </c>
      <c r="B159" s="2">
        <v>44954</v>
      </c>
      <c r="C159" s="1" t="s">
        <v>26</v>
      </c>
      <c r="D159" s="1" t="s">
        <v>24</v>
      </c>
      <c r="E159" s="1" t="s">
        <v>19</v>
      </c>
      <c r="F159" s="1">
        <v>1279.19</v>
      </c>
      <c r="G159" s="1" t="s">
        <v>170</v>
      </c>
      <c r="H159" s="2">
        <v>34205</v>
      </c>
      <c r="I159" s="2">
        <v>44960</v>
      </c>
      <c r="J159" s="1">
        <v>43.33</v>
      </c>
      <c r="K159" s="1">
        <f t="shared" si="6"/>
        <v>554.27302699999996</v>
      </c>
      <c r="L159" s="1">
        <f t="shared" si="7"/>
        <v>724.9169730000001</v>
      </c>
    </row>
    <row r="160" spans="1:12" x14ac:dyDescent="0.35">
      <c r="A160" s="1">
        <v>1158</v>
      </c>
      <c r="B160" s="2">
        <v>44956</v>
      </c>
      <c r="C160" s="1" t="s">
        <v>35</v>
      </c>
      <c r="D160" s="1" t="s">
        <v>88</v>
      </c>
      <c r="E160" s="1" t="s">
        <v>16</v>
      </c>
      <c r="F160" s="1">
        <v>355.11</v>
      </c>
      <c r="G160" s="1" t="s">
        <v>79</v>
      </c>
      <c r="H160" s="2">
        <v>28675</v>
      </c>
      <c r="I160" s="2">
        <v>44969</v>
      </c>
      <c r="J160" s="1">
        <v>40.58</v>
      </c>
      <c r="K160" s="1">
        <f t="shared" si="6"/>
        <v>144.10363799999999</v>
      </c>
      <c r="L160" s="1">
        <f t="shared" si="7"/>
        <v>211.00636200000002</v>
      </c>
    </row>
    <row r="161" spans="1:12" x14ac:dyDescent="0.35">
      <c r="A161" s="1">
        <v>1159</v>
      </c>
      <c r="B161" s="2">
        <v>45880</v>
      </c>
      <c r="C161" s="1" t="s">
        <v>26</v>
      </c>
      <c r="D161" s="1" t="s">
        <v>53</v>
      </c>
      <c r="E161" s="1" t="s">
        <v>28</v>
      </c>
      <c r="F161" s="1">
        <v>4313.16</v>
      </c>
      <c r="G161" s="1" t="s">
        <v>171</v>
      </c>
      <c r="H161" s="2">
        <v>31261</v>
      </c>
      <c r="I161" s="2">
        <v>45884</v>
      </c>
      <c r="J161" s="1">
        <v>46.82</v>
      </c>
      <c r="K161" s="1">
        <f t="shared" si="6"/>
        <v>2019.4215119999999</v>
      </c>
      <c r="L161" s="1">
        <f t="shared" si="7"/>
        <v>2293.738488</v>
      </c>
    </row>
    <row r="162" spans="1:12" x14ac:dyDescent="0.35">
      <c r="A162" s="1">
        <v>1160</v>
      </c>
      <c r="B162" s="2">
        <v>45804</v>
      </c>
      <c r="C162" s="1" t="s">
        <v>21</v>
      </c>
      <c r="D162" s="1" t="s">
        <v>44</v>
      </c>
      <c r="E162" s="1" t="s">
        <v>16</v>
      </c>
      <c r="F162" s="1">
        <v>492.96</v>
      </c>
      <c r="G162" s="1" t="s">
        <v>172</v>
      </c>
      <c r="H162" s="2">
        <v>36571</v>
      </c>
      <c r="I162" s="2">
        <v>45814</v>
      </c>
      <c r="J162" s="1">
        <v>21.92</v>
      </c>
      <c r="K162" s="1">
        <f t="shared" si="6"/>
        <v>108.056832</v>
      </c>
      <c r="L162" s="1">
        <f t="shared" si="7"/>
        <v>384.90316799999999</v>
      </c>
    </row>
    <row r="163" spans="1:12" x14ac:dyDescent="0.35">
      <c r="A163" s="1">
        <v>1161</v>
      </c>
      <c r="B163" s="2">
        <v>45796</v>
      </c>
      <c r="C163" s="1" t="s">
        <v>26</v>
      </c>
      <c r="D163" s="1" t="s">
        <v>44</v>
      </c>
      <c r="E163" s="1" t="s">
        <v>16</v>
      </c>
      <c r="F163" s="1">
        <v>1635.84</v>
      </c>
      <c r="G163" s="1" t="s">
        <v>160</v>
      </c>
      <c r="H163" s="2">
        <v>35321</v>
      </c>
      <c r="I163" s="2">
        <v>45804</v>
      </c>
      <c r="J163" s="1">
        <v>5.75</v>
      </c>
      <c r="K163" s="1">
        <f t="shared" si="6"/>
        <v>94.0608</v>
      </c>
      <c r="L163" s="1">
        <f t="shared" si="7"/>
        <v>1541.7791999999999</v>
      </c>
    </row>
    <row r="164" spans="1:12" x14ac:dyDescent="0.35">
      <c r="A164" s="1">
        <v>1162</v>
      </c>
      <c r="B164" s="2">
        <v>45352</v>
      </c>
      <c r="C164" s="1" t="s">
        <v>21</v>
      </c>
      <c r="D164" s="1" t="s">
        <v>49</v>
      </c>
      <c r="E164" s="1" t="s">
        <v>12</v>
      </c>
      <c r="F164" s="1">
        <v>4145.6899999999996</v>
      </c>
      <c r="G164" s="1" t="s">
        <v>96</v>
      </c>
      <c r="H164" s="2">
        <v>36236</v>
      </c>
      <c r="I164" s="2">
        <v>45365</v>
      </c>
      <c r="J164" s="1">
        <v>14.43</v>
      </c>
      <c r="K164" s="1">
        <f t="shared" si="6"/>
        <v>598.2230669999999</v>
      </c>
      <c r="L164" s="1">
        <f t="shared" si="7"/>
        <v>3547.4669329999997</v>
      </c>
    </row>
    <row r="165" spans="1:12" x14ac:dyDescent="0.35">
      <c r="A165" s="1">
        <v>1163</v>
      </c>
      <c r="B165" s="2">
        <v>45008</v>
      </c>
      <c r="C165" s="1" t="s">
        <v>26</v>
      </c>
      <c r="D165" s="1" t="s">
        <v>53</v>
      </c>
      <c r="E165" s="1" t="s">
        <v>28</v>
      </c>
      <c r="F165" s="1">
        <v>4581.34</v>
      </c>
      <c r="G165" s="1" t="s">
        <v>78</v>
      </c>
      <c r="H165" s="2">
        <v>25099</v>
      </c>
      <c r="I165" s="2">
        <v>45010</v>
      </c>
      <c r="J165" s="1">
        <v>32.869999999999997</v>
      </c>
      <c r="K165" s="1">
        <f t="shared" si="6"/>
        <v>1505.8864579999999</v>
      </c>
      <c r="L165" s="1">
        <f t="shared" si="7"/>
        <v>3075.4535420000002</v>
      </c>
    </row>
    <row r="166" spans="1:12" x14ac:dyDescent="0.35">
      <c r="A166" s="1">
        <v>1164</v>
      </c>
      <c r="B166" s="2">
        <v>44551</v>
      </c>
      <c r="C166" s="1" t="s">
        <v>10</v>
      </c>
      <c r="D166" s="1" t="s">
        <v>47</v>
      </c>
      <c r="E166" s="1" t="s">
        <v>12</v>
      </c>
      <c r="F166" s="1">
        <v>1339.01</v>
      </c>
      <c r="G166" s="1" t="s">
        <v>173</v>
      </c>
      <c r="H166" s="2">
        <v>22016</v>
      </c>
      <c r="I166" s="2">
        <v>44553</v>
      </c>
      <c r="J166" s="1">
        <v>22.21</v>
      </c>
      <c r="K166" s="1">
        <f t="shared" si="6"/>
        <v>297.39412100000004</v>
      </c>
      <c r="L166" s="1">
        <f t="shared" si="7"/>
        <v>1041.6158789999999</v>
      </c>
    </row>
    <row r="167" spans="1:12" x14ac:dyDescent="0.35">
      <c r="A167" s="1">
        <v>1165</v>
      </c>
      <c r="B167" s="2">
        <v>45742</v>
      </c>
      <c r="C167" s="1" t="s">
        <v>14</v>
      </c>
      <c r="D167" s="1" t="s">
        <v>15</v>
      </c>
      <c r="E167" s="1" t="s">
        <v>16</v>
      </c>
      <c r="F167" s="1">
        <v>2790.45</v>
      </c>
      <c r="G167" s="1" t="s">
        <v>157</v>
      </c>
      <c r="H167" s="2">
        <v>37189</v>
      </c>
      <c r="I167" s="2">
        <v>45752</v>
      </c>
      <c r="J167" s="1">
        <v>6.5</v>
      </c>
      <c r="K167" s="1">
        <f t="shared" si="6"/>
        <v>181.37924999999998</v>
      </c>
      <c r="L167" s="1">
        <f t="shared" si="7"/>
        <v>2609.0707499999999</v>
      </c>
    </row>
    <row r="168" spans="1:12" x14ac:dyDescent="0.35">
      <c r="A168" s="1">
        <v>1166</v>
      </c>
      <c r="B168" s="2">
        <v>44783</v>
      </c>
      <c r="C168" s="1" t="s">
        <v>10</v>
      </c>
      <c r="D168" s="1" t="s">
        <v>24</v>
      </c>
      <c r="E168" s="1" t="s">
        <v>19</v>
      </c>
      <c r="F168" s="1">
        <v>720.87</v>
      </c>
      <c r="G168" s="1" t="s">
        <v>174</v>
      </c>
      <c r="H168" s="2">
        <v>38118</v>
      </c>
      <c r="I168" s="2">
        <v>44791</v>
      </c>
      <c r="J168" s="1">
        <v>21.76</v>
      </c>
      <c r="K168" s="1">
        <f t="shared" si="6"/>
        <v>156.861312</v>
      </c>
      <c r="L168" s="1">
        <f t="shared" si="7"/>
        <v>564.00868800000001</v>
      </c>
    </row>
    <row r="169" spans="1:12" x14ac:dyDescent="0.35">
      <c r="A169" s="1">
        <v>1167</v>
      </c>
      <c r="B169" s="2">
        <v>45151</v>
      </c>
      <c r="C169" s="1" t="s">
        <v>21</v>
      </c>
      <c r="D169" s="1" t="s">
        <v>58</v>
      </c>
      <c r="E169" s="1" t="s">
        <v>31</v>
      </c>
      <c r="F169" s="1">
        <v>1782.75</v>
      </c>
      <c r="G169" s="1" t="s">
        <v>175</v>
      </c>
      <c r="H169" s="2">
        <v>36623</v>
      </c>
      <c r="I169" s="2">
        <v>45156</v>
      </c>
      <c r="J169" s="1">
        <v>9.26</v>
      </c>
      <c r="K169" s="1">
        <f t="shared" si="6"/>
        <v>165.08265</v>
      </c>
      <c r="L169" s="1">
        <f t="shared" si="7"/>
        <v>1617.6673499999999</v>
      </c>
    </row>
    <row r="170" spans="1:12" x14ac:dyDescent="0.35">
      <c r="A170" s="1">
        <v>1168</v>
      </c>
      <c r="B170" s="2">
        <v>45093</v>
      </c>
      <c r="C170" s="1" t="s">
        <v>14</v>
      </c>
      <c r="D170" s="1" t="s">
        <v>44</v>
      </c>
      <c r="E170" s="1" t="s">
        <v>16</v>
      </c>
      <c r="F170" s="1">
        <v>2529.54</v>
      </c>
      <c r="G170" s="1" t="s">
        <v>72</v>
      </c>
      <c r="H170" s="2">
        <v>32992</v>
      </c>
      <c r="I170" s="2">
        <v>45094</v>
      </c>
      <c r="J170" s="1">
        <v>35.01</v>
      </c>
      <c r="K170" s="1">
        <f t="shared" si="6"/>
        <v>885.59195399999987</v>
      </c>
      <c r="L170" s="1">
        <f t="shared" si="7"/>
        <v>1643.948046</v>
      </c>
    </row>
    <row r="171" spans="1:12" x14ac:dyDescent="0.35">
      <c r="A171" s="1">
        <v>1169</v>
      </c>
      <c r="B171" s="2">
        <v>44225</v>
      </c>
      <c r="C171" s="1" t="s">
        <v>14</v>
      </c>
      <c r="D171" s="1" t="s">
        <v>24</v>
      </c>
      <c r="E171" s="1" t="s">
        <v>19</v>
      </c>
      <c r="F171" s="1">
        <v>456.09</v>
      </c>
      <c r="G171" s="1" t="s">
        <v>143</v>
      </c>
      <c r="H171" s="2">
        <v>37490</v>
      </c>
      <c r="I171" s="2">
        <v>44233</v>
      </c>
      <c r="J171" s="1">
        <v>45.07</v>
      </c>
      <c r="K171" s="1">
        <f t="shared" si="6"/>
        <v>205.55976299999998</v>
      </c>
      <c r="L171" s="1">
        <f t="shared" si="7"/>
        <v>250.530237</v>
      </c>
    </row>
    <row r="172" spans="1:12" x14ac:dyDescent="0.35">
      <c r="A172" s="1">
        <v>1170</v>
      </c>
      <c r="B172" s="2">
        <v>44998</v>
      </c>
      <c r="C172" s="1" t="s">
        <v>26</v>
      </c>
      <c r="D172" s="1" t="s">
        <v>69</v>
      </c>
      <c r="E172" s="1" t="s">
        <v>31</v>
      </c>
      <c r="F172" s="1">
        <v>1253.77</v>
      </c>
      <c r="G172" s="1" t="s">
        <v>132</v>
      </c>
      <c r="H172" s="2">
        <v>34364</v>
      </c>
      <c r="I172" s="2">
        <v>45011</v>
      </c>
      <c r="J172" s="1">
        <v>10.24</v>
      </c>
      <c r="K172" s="1">
        <f t="shared" si="6"/>
        <v>128.38604800000002</v>
      </c>
      <c r="L172" s="1">
        <f t="shared" si="7"/>
        <v>1125.3839519999999</v>
      </c>
    </row>
    <row r="173" spans="1:12" x14ac:dyDescent="0.35">
      <c r="A173" s="1">
        <v>1171</v>
      </c>
      <c r="B173" s="2">
        <v>45820</v>
      </c>
      <c r="C173" s="1" t="s">
        <v>35</v>
      </c>
      <c r="D173" s="1" t="s">
        <v>24</v>
      </c>
      <c r="E173" s="1" t="s">
        <v>19</v>
      </c>
      <c r="F173" s="1">
        <v>271.82</v>
      </c>
      <c r="G173" s="1" t="s">
        <v>163</v>
      </c>
      <c r="H173" s="2">
        <v>30364</v>
      </c>
      <c r="I173" s="2">
        <v>45824</v>
      </c>
      <c r="J173" s="1">
        <v>42.03</v>
      </c>
      <c r="K173" s="1">
        <f t="shared" si="6"/>
        <v>114.245946</v>
      </c>
      <c r="L173" s="1">
        <f t="shared" si="7"/>
        <v>157.57405399999999</v>
      </c>
    </row>
    <row r="174" spans="1:12" x14ac:dyDescent="0.35">
      <c r="A174" s="1">
        <v>1172</v>
      </c>
      <c r="B174" s="2">
        <v>44617</v>
      </c>
      <c r="C174" s="1" t="s">
        <v>14</v>
      </c>
      <c r="D174" s="1" t="s">
        <v>55</v>
      </c>
      <c r="E174" s="1" t="s">
        <v>31</v>
      </c>
      <c r="F174" s="1">
        <v>3804.2</v>
      </c>
      <c r="G174" s="1" t="s">
        <v>167</v>
      </c>
      <c r="H174" s="2">
        <v>24672</v>
      </c>
      <c r="I174" s="2">
        <v>44620</v>
      </c>
      <c r="J174" s="1">
        <v>27.88</v>
      </c>
      <c r="K174" s="1">
        <f t="shared" si="6"/>
        <v>1060.61096</v>
      </c>
      <c r="L174" s="1">
        <f t="shared" si="7"/>
        <v>2743.5890399999998</v>
      </c>
    </row>
    <row r="175" spans="1:12" x14ac:dyDescent="0.35">
      <c r="A175" s="1">
        <v>1173</v>
      </c>
      <c r="B175" s="2">
        <v>44561</v>
      </c>
      <c r="C175" s="1" t="s">
        <v>26</v>
      </c>
      <c r="D175" s="1" t="s">
        <v>55</v>
      </c>
      <c r="E175" s="1" t="s">
        <v>31</v>
      </c>
      <c r="F175" s="1">
        <v>3327.36</v>
      </c>
      <c r="G175" s="1" t="s">
        <v>126</v>
      </c>
      <c r="H175" s="2">
        <v>28644</v>
      </c>
      <c r="I175" s="2">
        <v>44567</v>
      </c>
      <c r="J175" s="1">
        <v>43.29</v>
      </c>
      <c r="K175" s="1">
        <f t="shared" si="6"/>
        <v>1440.4141440000001</v>
      </c>
      <c r="L175" s="1">
        <f t="shared" si="7"/>
        <v>1886.945856</v>
      </c>
    </row>
    <row r="176" spans="1:12" x14ac:dyDescent="0.35">
      <c r="A176" s="1">
        <v>1174</v>
      </c>
      <c r="B176" s="2">
        <v>44498</v>
      </c>
      <c r="C176" s="1" t="s">
        <v>35</v>
      </c>
      <c r="D176" s="1" t="s">
        <v>30</v>
      </c>
      <c r="E176" s="1" t="s">
        <v>31</v>
      </c>
      <c r="F176" s="1">
        <v>4323.72</v>
      </c>
      <c r="G176" s="1" t="s">
        <v>29</v>
      </c>
      <c r="H176" s="2">
        <v>24033</v>
      </c>
      <c r="I176" s="2">
        <v>44501</v>
      </c>
      <c r="J176" s="1">
        <v>40.82</v>
      </c>
      <c r="K176" s="1">
        <f t="shared" si="6"/>
        <v>1764.9425040000001</v>
      </c>
      <c r="L176" s="1">
        <f t="shared" si="7"/>
        <v>2558.7774960000002</v>
      </c>
    </row>
    <row r="177" spans="1:12" x14ac:dyDescent="0.35">
      <c r="A177" s="1">
        <v>1175</v>
      </c>
      <c r="B177" s="2">
        <v>44844</v>
      </c>
      <c r="C177" s="1" t="s">
        <v>14</v>
      </c>
      <c r="D177" s="1" t="s">
        <v>49</v>
      </c>
      <c r="E177" s="1" t="s">
        <v>12</v>
      </c>
      <c r="F177" s="1">
        <v>4240.53</v>
      </c>
      <c r="G177" s="1" t="s">
        <v>176</v>
      </c>
      <c r="H177" s="2">
        <v>33282</v>
      </c>
      <c r="I177" s="2">
        <v>44856</v>
      </c>
      <c r="J177" s="1">
        <v>1.84</v>
      </c>
      <c r="K177" s="1">
        <f t="shared" si="6"/>
        <v>78.025751999999997</v>
      </c>
      <c r="L177" s="1">
        <f t="shared" si="7"/>
        <v>4162.5042480000002</v>
      </c>
    </row>
    <row r="178" spans="1:12" x14ac:dyDescent="0.35">
      <c r="A178" s="1">
        <v>1176</v>
      </c>
      <c r="B178" s="2">
        <v>44490</v>
      </c>
      <c r="C178" s="1" t="s">
        <v>10</v>
      </c>
      <c r="D178" s="1" t="s">
        <v>11</v>
      </c>
      <c r="E178" s="1" t="s">
        <v>12</v>
      </c>
      <c r="F178" s="1">
        <v>365.08</v>
      </c>
      <c r="G178" s="1" t="s">
        <v>177</v>
      </c>
      <c r="H178" s="2">
        <v>22927</v>
      </c>
      <c r="I178" s="2">
        <v>44493</v>
      </c>
      <c r="J178" s="1">
        <v>19.37</v>
      </c>
      <c r="K178" s="1">
        <f t="shared" si="6"/>
        <v>70.715996000000004</v>
      </c>
      <c r="L178" s="1">
        <f t="shared" si="7"/>
        <v>294.36400399999997</v>
      </c>
    </row>
    <row r="179" spans="1:12" x14ac:dyDescent="0.35">
      <c r="A179" s="1">
        <v>1177</v>
      </c>
      <c r="B179" s="2">
        <v>44469</v>
      </c>
      <c r="C179" s="1" t="s">
        <v>14</v>
      </c>
      <c r="D179" s="1" t="s">
        <v>30</v>
      </c>
      <c r="E179" s="1" t="s">
        <v>31</v>
      </c>
      <c r="F179" s="1">
        <v>2760.09</v>
      </c>
      <c r="G179" s="1" t="s">
        <v>178</v>
      </c>
      <c r="H179" s="2">
        <v>23890</v>
      </c>
      <c r="I179" s="2">
        <v>44481</v>
      </c>
      <c r="J179" s="1">
        <v>45.94</v>
      </c>
      <c r="K179" s="1">
        <f t="shared" si="6"/>
        <v>1267.9853459999999</v>
      </c>
      <c r="L179" s="1">
        <f t="shared" si="7"/>
        <v>1492.1046540000002</v>
      </c>
    </row>
    <row r="180" spans="1:12" x14ac:dyDescent="0.35">
      <c r="A180" s="1">
        <v>1178</v>
      </c>
      <c r="B180" s="2">
        <v>44255</v>
      </c>
      <c r="C180" s="1" t="s">
        <v>35</v>
      </c>
      <c r="D180" s="1" t="s">
        <v>61</v>
      </c>
      <c r="E180" s="1" t="s">
        <v>19</v>
      </c>
      <c r="F180" s="1">
        <v>3846</v>
      </c>
      <c r="G180" s="1" t="s">
        <v>179</v>
      </c>
      <c r="H180" s="2">
        <v>30356</v>
      </c>
      <c r="I180" s="2">
        <v>44256</v>
      </c>
      <c r="J180" s="1">
        <v>1.22</v>
      </c>
      <c r="K180" s="1">
        <f t="shared" si="6"/>
        <v>46.921199999999999</v>
      </c>
      <c r="L180" s="1">
        <f t="shared" si="7"/>
        <v>3799.0788000000002</v>
      </c>
    </row>
    <row r="181" spans="1:12" x14ac:dyDescent="0.35">
      <c r="A181" s="1">
        <v>1179</v>
      </c>
      <c r="B181" s="2">
        <v>44307</v>
      </c>
      <c r="C181" s="1" t="s">
        <v>26</v>
      </c>
      <c r="D181" s="1" t="s">
        <v>47</v>
      </c>
      <c r="E181" s="1" t="s">
        <v>12</v>
      </c>
      <c r="F181" s="1">
        <v>319.27999999999997</v>
      </c>
      <c r="G181" s="1" t="s">
        <v>180</v>
      </c>
      <c r="H181" s="2">
        <v>25163</v>
      </c>
      <c r="I181" s="2">
        <v>44319</v>
      </c>
      <c r="J181" s="1">
        <v>34.58</v>
      </c>
      <c r="K181" s="1">
        <f t="shared" si="6"/>
        <v>110.40702399999999</v>
      </c>
      <c r="L181" s="1">
        <f t="shared" si="7"/>
        <v>208.87297599999999</v>
      </c>
    </row>
    <row r="182" spans="1:12" x14ac:dyDescent="0.35">
      <c r="A182" s="1">
        <v>1180</v>
      </c>
      <c r="B182" s="2">
        <v>44632</v>
      </c>
      <c r="C182" s="1" t="s">
        <v>14</v>
      </c>
      <c r="D182" s="1" t="s">
        <v>11</v>
      </c>
      <c r="E182" s="1" t="s">
        <v>12</v>
      </c>
      <c r="F182" s="1">
        <v>4801.1000000000004</v>
      </c>
      <c r="G182" s="1" t="s">
        <v>85</v>
      </c>
      <c r="H182" s="2">
        <v>37236</v>
      </c>
      <c r="I182" s="2">
        <v>44645</v>
      </c>
      <c r="J182" s="1">
        <v>46.21</v>
      </c>
      <c r="K182" s="1">
        <f t="shared" si="6"/>
        <v>2218.5883100000001</v>
      </c>
      <c r="L182" s="1">
        <f t="shared" si="7"/>
        <v>2582.5116900000003</v>
      </c>
    </row>
    <row r="183" spans="1:12" x14ac:dyDescent="0.35">
      <c r="A183" s="1">
        <v>1181</v>
      </c>
      <c r="B183" s="2">
        <v>44779</v>
      </c>
      <c r="C183" s="1" t="s">
        <v>14</v>
      </c>
      <c r="D183" s="1" t="s">
        <v>47</v>
      </c>
      <c r="E183" s="1" t="s">
        <v>12</v>
      </c>
      <c r="F183" s="1">
        <v>2518.65</v>
      </c>
      <c r="G183" s="1" t="s">
        <v>181</v>
      </c>
      <c r="H183" s="2">
        <v>25222</v>
      </c>
      <c r="I183" s="2">
        <v>44782</v>
      </c>
      <c r="J183" s="1">
        <v>18.14</v>
      </c>
      <c r="K183" s="1">
        <f t="shared" si="6"/>
        <v>456.88311000000004</v>
      </c>
      <c r="L183" s="1">
        <f t="shared" si="7"/>
        <v>2061.7668899999999</v>
      </c>
    </row>
    <row r="184" spans="1:12" x14ac:dyDescent="0.35">
      <c r="A184" s="1">
        <v>1182</v>
      </c>
      <c r="B184" s="2">
        <v>44255</v>
      </c>
      <c r="C184" s="1" t="s">
        <v>14</v>
      </c>
      <c r="D184" s="1" t="s">
        <v>73</v>
      </c>
      <c r="E184" s="1" t="s">
        <v>28</v>
      </c>
      <c r="F184" s="1">
        <v>842.21</v>
      </c>
      <c r="G184" s="1" t="s">
        <v>182</v>
      </c>
      <c r="H184" s="2">
        <v>24719</v>
      </c>
      <c r="I184" s="2">
        <v>44258</v>
      </c>
      <c r="J184" s="1">
        <v>32.22</v>
      </c>
      <c r="K184" s="1">
        <f t="shared" si="6"/>
        <v>271.36006200000003</v>
      </c>
      <c r="L184" s="1">
        <f t="shared" si="7"/>
        <v>570.84993800000007</v>
      </c>
    </row>
    <row r="185" spans="1:12" x14ac:dyDescent="0.35">
      <c r="A185" s="1">
        <v>1183</v>
      </c>
      <c r="B185" s="2">
        <v>44414</v>
      </c>
      <c r="C185" s="1" t="s">
        <v>14</v>
      </c>
      <c r="D185" s="1" t="s">
        <v>33</v>
      </c>
      <c r="E185" s="1" t="s">
        <v>16</v>
      </c>
      <c r="F185" s="1">
        <v>1084.71</v>
      </c>
      <c r="G185" s="1" t="s">
        <v>121</v>
      </c>
      <c r="H185" s="2">
        <v>24580</v>
      </c>
      <c r="I185" s="2">
        <v>44424</v>
      </c>
      <c r="J185" s="1">
        <v>36.89</v>
      </c>
      <c r="K185" s="1">
        <f t="shared" si="6"/>
        <v>400.149519</v>
      </c>
      <c r="L185" s="1">
        <f t="shared" si="7"/>
        <v>684.56048099999998</v>
      </c>
    </row>
    <row r="186" spans="1:12" x14ac:dyDescent="0.35">
      <c r="A186" s="1">
        <v>1184</v>
      </c>
      <c r="B186" s="2">
        <v>44227</v>
      </c>
      <c r="C186" s="1" t="s">
        <v>21</v>
      </c>
      <c r="D186" s="1" t="s">
        <v>38</v>
      </c>
      <c r="E186" s="1" t="s">
        <v>28</v>
      </c>
      <c r="F186" s="1">
        <v>2092.31</v>
      </c>
      <c r="G186" s="1" t="s">
        <v>183</v>
      </c>
      <c r="H186" s="2">
        <v>32359</v>
      </c>
      <c r="I186" s="2">
        <v>44234</v>
      </c>
      <c r="J186" s="1">
        <v>41.77</v>
      </c>
      <c r="K186" s="1">
        <f t="shared" si="6"/>
        <v>873.95788700000003</v>
      </c>
      <c r="L186" s="1">
        <f t="shared" si="7"/>
        <v>1218.3521129999999</v>
      </c>
    </row>
    <row r="187" spans="1:12" x14ac:dyDescent="0.35">
      <c r="A187" s="1">
        <v>1185</v>
      </c>
      <c r="B187" s="2">
        <v>44174</v>
      </c>
      <c r="C187" s="1" t="s">
        <v>14</v>
      </c>
      <c r="D187" s="1" t="s">
        <v>33</v>
      </c>
      <c r="E187" s="1" t="s">
        <v>16</v>
      </c>
      <c r="F187" s="1">
        <v>3301.51</v>
      </c>
      <c r="G187" s="1" t="s">
        <v>184</v>
      </c>
      <c r="H187" s="2">
        <v>29547</v>
      </c>
      <c r="I187" s="2">
        <v>44180</v>
      </c>
      <c r="J187" s="1">
        <v>14.54</v>
      </c>
      <c r="K187" s="1">
        <f t="shared" si="6"/>
        <v>480.03955400000001</v>
      </c>
      <c r="L187" s="1">
        <f t="shared" si="7"/>
        <v>2821.4704460000003</v>
      </c>
    </row>
    <row r="188" spans="1:12" x14ac:dyDescent="0.35">
      <c r="A188" s="1">
        <v>1186</v>
      </c>
      <c r="B188" s="2">
        <v>45520</v>
      </c>
      <c r="C188" s="1" t="s">
        <v>26</v>
      </c>
      <c r="D188" s="1" t="s">
        <v>49</v>
      </c>
      <c r="E188" s="1" t="s">
        <v>12</v>
      </c>
      <c r="F188" s="1">
        <v>4889.82</v>
      </c>
      <c r="G188" s="1" t="s">
        <v>185</v>
      </c>
      <c r="H188" s="2">
        <v>36384</v>
      </c>
      <c r="I188" s="2">
        <v>45534</v>
      </c>
      <c r="J188" s="1">
        <v>26.73</v>
      </c>
      <c r="K188" s="1">
        <f t="shared" si="6"/>
        <v>1307.0488859999998</v>
      </c>
      <c r="L188" s="1">
        <f t="shared" si="7"/>
        <v>3582.7711140000001</v>
      </c>
    </row>
    <row r="189" spans="1:12" x14ac:dyDescent="0.35">
      <c r="A189" s="1">
        <v>1187</v>
      </c>
      <c r="B189" s="2">
        <v>45444</v>
      </c>
      <c r="C189" s="1" t="s">
        <v>35</v>
      </c>
      <c r="D189" s="1" t="s">
        <v>71</v>
      </c>
      <c r="E189" s="1" t="s">
        <v>31</v>
      </c>
      <c r="F189" s="1">
        <v>1596.91</v>
      </c>
      <c r="G189" s="1" t="s">
        <v>122</v>
      </c>
      <c r="H189" s="2">
        <v>29720</v>
      </c>
      <c r="I189" s="2">
        <v>45453</v>
      </c>
      <c r="J189" s="1">
        <v>23.65</v>
      </c>
      <c r="K189" s="1">
        <f t="shared" si="6"/>
        <v>377.66921500000001</v>
      </c>
      <c r="L189" s="1">
        <f t="shared" si="7"/>
        <v>1219.240785</v>
      </c>
    </row>
    <row r="190" spans="1:12" x14ac:dyDescent="0.35">
      <c r="A190" s="1">
        <v>1188</v>
      </c>
      <c r="B190" s="2">
        <v>45667</v>
      </c>
      <c r="C190" s="1" t="s">
        <v>35</v>
      </c>
      <c r="D190" s="1" t="s">
        <v>88</v>
      </c>
      <c r="E190" s="1" t="s">
        <v>16</v>
      </c>
      <c r="F190" s="1">
        <v>746.87</v>
      </c>
      <c r="G190" s="1" t="s">
        <v>186</v>
      </c>
      <c r="H190" s="2">
        <v>39193</v>
      </c>
      <c r="I190" s="2">
        <v>45670</v>
      </c>
      <c r="J190" s="1">
        <v>42.9</v>
      </c>
      <c r="K190" s="1">
        <f t="shared" si="6"/>
        <v>320.40722999999997</v>
      </c>
      <c r="L190" s="1">
        <f t="shared" si="7"/>
        <v>426.46277000000003</v>
      </c>
    </row>
    <row r="191" spans="1:12" x14ac:dyDescent="0.35">
      <c r="A191" s="1">
        <v>1189</v>
      </c>
      <c r="B191" s="2">
        <v>45333</v>
      </c>
      <c r="C191" s="1" t="s">
        <v>35</v>
      </c>
      <c r="D191" s="1" t="s">
        <v>65</v>
      </c>
      <c r="E191" s="1" t="s">
        <v>19</v>
      </c>
      <c r="F191" s="1">
        <v>2712.97</v>
      </c>
      <c r="G191" s="1" t="s">
        <v>187</v>
      </c>
      <c r="H191" s="2">
        <v>30778</v>
      </c>
      <c r="I191" s="2">
        <v>45344</v>
      </c>
      <c r="J191" s="1">
        <v>6.89</v>
      </c>
      <c r="K191" s="1">
        <f t="shared" si="6"/>
        <v>186.923633</v>
      </c>
      <c r="L191" s="1">
        <f t="shared" si="7"/>
        <v>2526.0463669999999</v>
      </c>
    </row>
    <row r="192" spans="1:12" x14ac:dyDescent="0.35">
      <c r="A192" s="1">
        <v>1190</v>
      </c>
      <c r="B192" s="2">
        <v>44120</v>
      </c>
      <c r="C192" s="1" t="s">
        <v>10</v>
      </c>
      <c r="D192" s="1" t="s">
        <v>15</v>
      </c>
      <c r="E192" s="1" t="s">
        <v>16</v>
      </c>
      <c r="F192" s="1">
        <v>4441.87</v>
      </c>
      <c r="G192" s="1" t="s">
        <v>184</v>
      </c>
      <c r="H192" s="2">
        <v>29547</v>
      </c>
      <c r="I192" s="2">
        <v>44123</v>
      </c>
      <c r="J192" s="1">
        <v>1.02</v>
      </c>
      <c r="K192" s="1">
        <f t="shared" si="6"/>
        <v>45.307074</v>
      </c>
      <c r="L192" s="1">
        <f t="shared" si="7"/>
        <v>4396.5629259999996</v>
      </c>
    </row>
    <row r="193" spans="1:12" x14ac:dyDescent="0.35">
      <c r="A193" s="1">
        <v>1191</v>
      </c>
      <c r="B193" s="2">
        <v>45266</v>
      </c>
      <c r="C193" s="1" t="s">
        <v>14</v>
      </c>
      <c r="D193" s="1" t="s">
        <v>55</v>
      </c>
      <c r="E193" s="1" t="s">
        <v>31</v>
      </c>
      <c r="F193" s="1">
        <v>4864.68</v>
      </c>
      <c r="G193" s="1" t="s">
        <v>188</v>
      </c>
      <c r="H193" s="2">
        <v>31467</v>
      </c>
      <c r="I193" s="2">
        <v>45277</v>
      </c>
      <c r="J193" s="1">
        <v>35.32</v>
      </c>
      <c r="K193" s="1">
        <f t="shared" si="6"/>
        <v>1718.2049760000002</v>
      </c>
      <c r="L193" s="1">
        <f t="shared" si="7"/>
        <v>3146.4750240000003</v>
      </c>
    </row>
    <row r="194" spans="1:12" x14ac:dyDescent="0.35">
      <c r="A194" s="1">
        <v>1192</v>
      </c>
      <c r="B194" s="2">
        <v>44285</v>
      </c>
      <c r="C194" s="1" t="s">
        <v>35</v>
      </c>
      <c r="D194" s="1" t="s">
        <v>27</v>
      </c>
      <c r="E194" s="1" t="s">
        <v>28</v>
      </c>
      <c r="F194" s="1">
        <v>4013.62</v>
      </c>
      <c r="G194" s="1" t="s">
        <v>189</v>
      </c>
      <c r="H194" s="2">
        <v>34164</v>
      </c>
      <c r="I194" s="2">
        <v>44292</v>
      </c>
      <c r="J194" s="1">
        <v>45.04</v>
      </c>
      <c r="K194" s="1">
        <f t="shared" si="6"/>
        <v>1807.7344479999999</v>
      </c>
      <c r="L194" s="1">
        <f t="shared" si="7"/>
        <v>2205.8855519999997</v>
      </c>
    </row>
    <row r="195" spans="1:12" x14ac:dyDescent="0.35">
      <c r="A195" s="1">
        <v>1193</v>
      </c>
      <c r="B195" s="2">
        <v>45437</v>
      </c>
      <c r="C195" s="1" t="s">
        <v>14</v>
      </c>
      <c r="D195" s="1" t="s">
        <v>36</v>
      </c>
      <c r="E195" s="1" t="s">
        <v>28</v>
      </c>
      <c r="F195" s="1">
        <v>3465.02</v>
      </c>
      <c r="G195" s="1" t="s">
        <v>190</v>
      </c>
      <c r="H195" s="2">
        <v>33354</v>
      </c>
      <c r="I195" s="2">
        <v>45449</v>
      </c>
      <c r="J195" s="1">
        <v>18.989999999999998</v>
      </c>
      <c r="K195" s="1">
        <f t="shared" ref="K195:K258" si="8">F195*J195%</f>
        <v>658.00729799999999</v>
      </c>
      <c r="L195" s="1">
        <f t="shared" ref="L195:L258" si="9">F195-K195</f>
        <v>2807.012702</v>
      </c>
    </row>
    <row r="196" spans="1:12" x14ac:dyDescent="0.35">
      <c r="A196" s="1">
        <v>1194</v>
      </c>
      <c r="B196" s="2">
        <v>45746</v>
      </c>
      <c r="C196" s="1" t="s">
        <v>14</v>
      </c>
      <c r="D196" s="1" t="s">
        <v>65</v>
      </c>
      <c r="E196" s="1" t="s">
        <v>19</v>
      </c>
      <c r="F196" s="1">
        <v>4434.63</v>
      </c>
      <c r="G196" s="1" t="s">
        <v>191</v>
      </c>
      <c r="H196" s="2">
        <v>37495</v>
      </c>
      <c r="I196" s="2">
        <v>45750</v>
      </c>
      <c r="J196" s="1">
        <v>35.770000000000003</v>
      </c>
      <c r="K196" s="1">
        <f t="shared" si="8"/>
        <v>1586.267151</v>
      </c>
      <c r="L196" s="1">
        <f t="shared" si="9"/>
        <v>2848.3628490000001</v>
      </c>
    </row>
    <row r="197" spans="1:12" x14ac:dyDescent="0.35">
      <c r="A197" s="1">
        <v>1195</v>
      </c>
      <c r="B197" s="2">
        <v>45831</v>
      </c>
      <c r="C197" s="1" t="s">
        <v>21</v>
      </c>
      <c r="D197" s="1" t="s">
        <v>53</v>
      </c>
      <c r="E197" s="1" t="s">
        <v>28</v>
      </c>
      <c r="F197" s="1">
        <v>440.11</v>
      </c>
      <c r="G197" s="1" t="s">
        <v>191</v>
      </c>
      <c r="H197" s="2">
        <v>37495</v>
      </c>
      <c r="I197" s="2">
        <v>45836</v>
      </c>
      <c r="J197" s="1">
        <v>15.2</v>
      </c>
      <c r="K197" s="1">
        <f t="shared" si="8"/>
        <v>66.896720000000002</v>
      </c>
      <c r="L197" s="1">
        <f t="shared" si="9"/>
        <v>373.21328</v>
      </c>
    </row>
    <row r="198" spans="1:12" x14ac:dyDescent="0.35">
      <c r="A198" s="1">
        <v>1196</v>
      </c>
      <c r="B198" s="2">
        <v>45182</v>
      </c>
      <c r="C198" s="1" t="s">
        <v>10</v>
      </c>
      <c r="D198" s="1" t="s">
        <v>102</v>
      </c>
      <c r="E198" s="1" t="s">
        <v>12</v>
      </c>
      <c r="F198" s="1">
        <v>505.23</v>
      </c>
      <c r="G198" s="1" t="s">
        <v>192</v>
      </c>
      <c r="H198" s="2">
        <v>33626</v>
      </c>
      <c r="I198" s="2">
        <v>45186</v>
      </c>
      <c r="J198" s="1">
        <v>32.119999999999997</v>
      </c>
      <c r="K198" s="1">
        <f t="shared" si="8"/>
        <v>162.279876</v>
      </c>
      <c r="L198" s="1">
        <f t="shared" si="9"/>
        <v>342.95012400000002</v>
      </c>
    </row>
    <row r="199" spans="1:12" x14ac:dyDescent="0.35">
      <c r="A199" s="1">
        <v>1197</v>
      </c>
      <c r="B199" s="2">
        <v>45554</v>
      </c>
      <c r="C199" s="1" t="s">
        <v>35</v>
      </c>
      <c r="D199" s="1" t="s">
        <v>33</v>
      </c>
      <c r="E199" s="1" t="s">
        <v>16</v>
      </c>
      <c r="F199" s="1">
        <v>4798.92</v>
      </c>
      <c r="G199" s="1" t="s">
        <v>123</v>
      </c>
      <c r="H199" s="2">
        <v>36120</v>
      </c>
      <c r="I199" s="2">
        <v>45561</v>
      </c>
      <c r="J199" s="1">
        <v>34.590000000000003</v>
      </c>
      <c r="K199" s="1">
        <f t="shared" si="8"/>
        <v>1659.9464280000002</v>
      </c>
      <c r="L199" s="1">
        <f t="shared" si="9"/>
        <v>3138.9735719999999</v>
      </c>
    </row>
    <row r="200" spans="1:12" x14ac:dyDescent="0.35">
      <c r="A200" s="1">
        <v>1198</v>
      </c>
      <c r="B200" s="2">
        <v>44503</v>
      </c>
      <c r="C200" s="1" t="s">
        <v>14</v>
      </c>
      <c r="D200" s="1" t="s">
        <v>33</v>
      </c>
      <c r="E200" s="1" t="s">
        <v>16</v>
      </c>
      <c r="F200" s="1">
        <v>484.34</v>
      </c>
      <c r="G200" s="1" t="s">
        <v>193</v>
      </c>
      <c r="H200" s="2">
        <v>26082</v>
      </c>
      <c r="I200" s="2">
        <v>44510</v>
      </c>
      <c r="J200" s="1">
        <v>18.260000000000002</v>
      </c>
      <c r="K200" s="1">
        <f t="shared" si="8"/>
        <v>88.440483999999998</v>
      </c>
      <c r="L200" s="1">
        <f t="shared" si="9"/>
        <v>395.89951599999995</v>
      </c>
    </row>
    <row r="201" spans="1:12" x14ac:dyDescent="0.35">
      <c r="A201" s="1">
        <v>1199</v>
      </c>
      <c r="B201" s="2">
        <v>44435</v>
      </c>
      <c r="C201" s="1" t="s">
        <v>14</v>
      </c>
      <c r="D201" s="1" t="s">
        <v>49</v>
      </c>
      <c r="E201" s="1" t="s">
        <v>12</v>
      </c>
      <c r="F201" s="1">
        <v>4449.97</v>
      </c>
      <c r="G201" s="1" t="s">
        <v>118</v>
      </c>
      <c r="H201" s="2">
        <v>22599</v>
      </c>
      <c r="I201" s="2">
        <v>44448</v>
      </c>
      <c r="J201" s="1">
        <v>4.2699999999999996</v>
      </c>
      <c r="K201" s="1">
        <f t="shared" si="8"/>
        <v>190.01371899999998</v>
      </c>
      <c r="L201" s="1">
        <f t="shared" si="9"/>
        <v>4259.9562810000007</v>
      </c>
    </row>
    <row r="202" spans="1:12" x14ac:dyDescent="0.35">
      <c r="A202" s="1">
        <v>1200</v>
      </c>
      <c r="B202" s="2">
        <v>45089</v>
      </c>
      <c r="C202" s="1" t="s">
        <v>26</v>
      </c>
      <c r="D202" s="1" t="s">
        <v>11</v>
      </c>
      <c r="E202" s="1" t="s">
        <v>12</v>
      </c>
      <c r="F202" s="1">
        <v>3878.91</v>
      </c>
      <c r="G202" s="1" t="s">
        <v>83</v>
      </c>
      <c r="H202" s="2">
        <v>24673</v>
      </c>
      <c r="I202" s="2">
        <v>45096</v>
      </c>
      <c r="J202" s="1">
        <v>39.96</v>
      </c>
      <c r="K202" s="1">
        <f t="shared" si="8"/>
        <v>1550.012436</v>
      </c>
      <c r="L202" s="1">
        <f t="shared" si="9"/>
        <v>2328.8975639999999</v>
      </c>
    </row>
    <row r="203" spans="1:12" x14ac:dyDescent="0.35">
      <c r="A203" s="1">
        <v>1201</v>
      </c>
      <c r="B203" s="2">
        <v>44968</v>
      </c>
      <c r="C203" s="1" t="s">
        <v>21</v>
      </c>
      <c r="D203" s="1" t="s">
        <v>38</v>
      </c>
      <c r="E203" s="1" t="s">
        <v>28</v>
      </c>
      <c r="F203" s="1">
        <v>3955.84</v>
      </c>
      <c r="G203" s="1" t="s">
        <v>194</v>
      </c>
      <c r="H203" s="2">
        <v>22210</v>
      </c>
      <c r="I203" s="2">
        <v>44969</v>
      </c>
      <c r="J203" s="1">
        <v>18.329999999999998</v>
      </c>
      <c r="K203" s="1">
        <f t="shared" si="8"/>
        <v>725.10547199999996</v>
      </c>
      <c r="L203" s="1">
        <f t="shared" si="9"/>
        <v>3230.734528</v>
      </c>
    </row>
    <row r="204" spans="1:12" x14ac:dyDescent="0.35">
      <c r="A204" s="1">
        <v>1202</v>
      </c>
      <c r="B204" s="2">
        <v>44175</v>
      </c>
      <c r="C204" s="1" t="s">
        <v>26</v>
      </c>
      <c r="D204" s="1" t="s">
        <v>69</v>
      </c>
      <c r="E204" s="1" t="s">
        <v>31</v>
      </c>
      <c r="F204" s="1">
        <v>1511.72</v>
      </c>
      <c r="G204" s="1" t="s">
        <v>195</v>
      </c>
      <c r="H204" s="2">
        <v>28065</v>
      </c>
      <c r="I204" s="2">
        <v>44187</v>
      </c>
      <c r="J204" s="1">
        <v>39.659999999999997</v>
      </c>
      <c r="K204" s="1">
        <f t="shared" si="8"/>
        <v>599.54815199999996</v>
      </c>
      <c r="L204" s="1">
        <f t="shared" si="9"/>
        <v>912.17184800000007</v>
      </c>
    </row>
    <row r="205" spans="1:12" x14ac:dyDescent="0.35">
      <c r="A205" s="1">
        <v>1203</v>
      </c>
      <c r="B205" s="2">
        <v>45345</v>
      </c>
      <c r="C205" s="1" t="s">
        <v>35</v>
      </c>
      <c r="D205" s="1" t="s">
        <v>44</v>
      </c>
      <c r="E205" s="1" t="s">
        <v>16</v>
      </c>
      <c r="F205" s="1">
        <v>2358</v>
      </c>
      <c r="G205" s="1" t="s">
        <v>122</v>
      </c>
      <c r="H205" s="2">
        <v>29720</v>
      </c>
      <c r="I205" s="2">
        <v>45346</v>
      </c>
      <c r="J205" s="1">
        <v>47.61</v>
      </c>
      <c r="K205" s="1">
        <f t="shared" si="8"/>
        <v>1122.6437999999998</v>
      </c>
      <c r="L205" s="1">
        <f t="shared" si="9"/>
        <v>1235.3562000000002</v>
      </c>
    </row>
    <row r="206" spans="1:12" x14ac:dyDescent="0.35">
      <c r="A206" s="1">
        <v>1204</v>
      </c>
      <c r="B206" s="2">
        <v>44468</v>
      </c>
      <c r="C206" s="1" t="s">
        <v>26</v>
      </c>
      <c r="D206" s="1" t="s">
        <v>65</v>
      </c>
      <c r="E206" s="1" t="s">
        <v>19</v>
      </c>
      <c r="F206" s="1">
        <v>4910.2700000000004</v>
      </c>
      <c r="G206" s="1" t="s">
        <v>173</v>
      </c>
      <c r="H206" s="2">
        <v>22016</v>
      </c>
      <c r="I206" s="2">
        <v>44481</v>
      </c>
      <c r="J206" s="1">
        <v>0.52</v>
      </c>
      <c r="K206" s="1">
        <f t="shared" si="8"/>
        <v>25.533404000000001</v>
      </c>
      <c r="L206" s="1">
        <f t="shared" si="9"/>
        <v>4884.7365960000006</v>
      </c>
    </row>
    <row r="207" spans="1:12" x14ac:dyDescent="0.35">
      <c r="A207" s="1">
        <v>1205</v>
      </c>
      <c r="B207" s="2">
        <v>44575</v>
      </c>
      <c r="C207" s="1" t="s">
        <v>21</v>
      </c>
      <c r="D207" s="1" t="s">
        <v>69</v>
      </c>
      <c r="E207" s="1" t="s">
        <v>31</v>
      </c>
      <c r="F207" s="1">
        <v>654.83000000000004</v>
      </c>
      <c r="G207" s="1" t="s">
        <v>196</v>
      </c>
      <c r="H207" s="2">
        <v>26300</v>
      </c>
      <c r="I207" s="2">
        <v>44588</v>
      </c>
      <c r="J207" s="1">
        <v>27.19</v>
      </c>
      <c r="K207" s="1">
        <f t="shared" si="8"/>
        <v>178.04827700000004</v>
      </c>
      <c r="L207" s="1">
        <f t="shared" si="9"/>
        <v>476.781723</v>
      </c>
    </row>
    <row r="208" spans="1:12" x14ac:dyDescent="0.35">
      <c r="A208" s="1">
        <v>1206</v>
      </c>
      <c r="B208" s="2">
        <v>45665</v>
      </c>
      <c r="C208" s="1" t="s">
        <v>14</v>
      </c>
      <c r="D208" s="1" t="s">
        <v>47</v>
      </c>
      <c r="E208" s="1" t="s">
        <v>12</v>
      </c>
      <c r="F208" s="1">
        <v>871.1</v>
      </c>
      <c r="G208" s="1" t="s">
        <v>197</v>
      </c>
      <c r="H208" s="2">
        <v>26001</v>
      </c>
      <c r="I208" s="2">
        <v>45667</v>
      </c>
      <c r="J208" s="1">
        <v>42.4</v>
      </c>
      <c r="K208" s="1">
        <f t="shared" si="8"/>
        <v>369.34640000000002</v>
      </c>
      <c r="L208" s="1">
        <f t="shared" si="9"/>
        <v>501.75360000000001</v>
      </c>
    </row>
    <row r="209" spans="1:12" x14ac:dyDescent="0.35">
      <c r="A209" s="1">
        <v>1207</v>
      </c>
      <c r="B209" s="2">
        <v>44585</v>
      </c>
      <c r="C209" s="1" t="s">
        <v>10</v>
      </c>
      <c r="D209" s="1" t="s">
        <v>30</v>
      </c>
      <c r="E209" s="1" t="s">
        <v>31</v>
      </c>
      <c r="F209" s="1">
        <v>2724.62</v>
      </c>
      <c r="G209" s="1" t="s">
        <v>198</v>
      </c>
      <c r="H209" s="2">
        <v>31598</v>
      </c>
      <c r="I209" s="2">
        <v>44599</v>
      </c>
      <c r="J209" s="1">
        <v>39.33</v>
      </c>
      <c r="K209" s="1">
        <f t="shared" si="8"/>
        <v>1071.593046</v>
      </c>
      <c r="L209" s="1">
        <f t="shared" si="9"/>
        <v>1653.0269539999999</v>
      </c>
    </row>
    <row r="210" spans="1:12" x14ac:dyDescent="0.35">
      <c r="A210" s="1">
        <v>1208</v>
      </c>
      <c r="B210" s="2">
        <v>45028</v>
      </c>
      <c r="C210" s="1" t="s">
        <v>14</v>
      </c>
      <c r="D210" s="1" t="s">
        <v>36</v>
      </c>
      <c r="E210" s="1" t="s">
        <v>28</v>
      </c>
      <c r="F210" s="1">
        <v>1636.83</v>
      </c>
      <c r="G210" s="1" t="s">
        <v>199</v>
      </c>
      <c r="H210" s="2">
        <v>25341</v>
      </c>
      <c r="I210" s="2">
        <v>45040</v>
      </c>
      <c r="J210" s="1">
        <v>11.01</v>
      </c>
      <c r="K210" s="1">
        <f t="shared" si="8"/>
        <v>180.21498299999999</v>
      </c>
      <c r="L210" s="1">
        <f t="shared" si="9"/>
        <v>1456.6150169999999</v>
      </c>
    </row>
    <row r="211" spans="1:12" x14ac:dyDescent="0.35">
      <c r="A211" s="1">
        <v>1209</v>
      </c>
      <c r="B211" s="2">
        <v>44543</v>
      </c>
      <c r="C211" s="1" t="s">
        <v>10</v>
      </c>
      <c r="D211" s="1" t="s">
        <v>65</v>
      </c>
      <c r="E211" s="1" t="s">
        <v>19</v>
      </c>
      <c r="F211" s="1">
        <v>173.02</v>
      </c>
      <c r="G211" s="1" t="s">
        <v>200</v>
      </c>
      <c r="H211" s="2">
        <v>30222</v>
      </c>
      <c r="I211" s="2">
        <v>44553</v>
      </c>
      <c r="J211" s="1">
        <v>15.94</v>
      </c>
      <c r="K211" s="1">
        <f t="shared" si="8"/>
        <v>27.579387999999998</v>
      </c>
      <c r="L211" s="1">
        <f t="shared" si="9"/>
        <v>145.44061200000002</v>
      </c>
    </row>
    <row r="212" spans="1:12" x14ac:dyDescent="0.35">
      <c r="A212" s="1">
        <v>1210</v>
      </c>
      <c r="B212" s="2">
        <v>44387</v>
      </c>
      <c r="C212" s="1" t="s">
        <v>35</v>
      </c>
      <c r="D212" s="1" t="s">
        <v>61</v>
      </c>
      <c r="E212" s="1" t="s">
        <v>19</v>
      </c>
      <c r="F212" s="1">
        <v>3390.55</v>
      </c>
      <c r="G212" s="1" t="s">
        <v>201</v>
      </c>
      <c r="H212" s="2">
        <v>23469</v>
      </c>
      <c r="I212" s="2">
        <v>44389</v>
      </c>
      <c r="J212" s="1">
        <v>16.8</v>
      </c>
      <c r="K212" s="1">
        <f t="shared" si="8"/>
        <v>569.61240000000009</v>
      </c>
      <c r="L212" s="1">
        <f t="shared" si="9"/>
        <v>2820.9376000000002</v>
      </c>
    </row>
    <row r="213" spans="1:12" x14ac:dyDescent="0.35">
      <c r="A213" s="1">
        <v>1211</v>
      </c>
      <c r="B213" s="2">
        <v>44412</v>
      </c>
      <c r="C213" s="1" t="s">
        <v>14</v>
      </c>
      <c r="D213" s="1" t="s">
        <v>53</v>
      </c>
      <c r="E213" s="1" t="s">
        <v>28</v>
      </c>
      <c r="F213" s="1">
        <v>2135.7600000000002</v>
      </c>
      <c r="G213" s="1" t="s">
        <v>202</v>
      </c>
      <c r="H213" s="2">
        <v>24802</v>
      </c>
      <c r="I213" s="2">
        <v>44426</v>
      </c>
      <c r="J213" s="1">
        <v>38.24</v>
      </c>
      <c r="K213" s="1">
        <f t="shared" si="8"/>
        <v>816.71462400000007</v>
      </c>
      <c r="L213" s="1">
        <f t="shared" si="9"/>
        <v>1319.045376</v>
      </c>
    </row>
    <row r="214" spans="1:12" x14ac:dyDescent="0.35">
      <c r="A214" s="1">
        <v>1212</v>
      </c>
      <c r="B214" s="2">
        <v>45875</v>
      </c>
      <c r="C214" s="1" t="s">
        <v>35</v>
      </c>
      <c r="D214" s="1" t="s">
        <v>58</v>
      </c>
      <c r="E214" s="1" t="s">
        <v>31</v>
      </c>
      <c r="F214" s="1">
        <v>4735.45</v>
      </c>
      <c r="G214" s="1" t="s">
        <v>165</v>
      </c>
      <c r="H214" s="2">
        <v>29887</v>
      </c>
      <c r="I214" s="2">
        <v>45888</v>
      </c>
      <c r="J214" s="1">
        <v>31.17</v>
      </c>
      <c r="K214" s="1">
        <f t="shared" si="8"/>
        <v>1476.039765</v>
      </c>
      <c r="L214" s="1">
        <f t="shared" si="9"/>
        <v>3259.4102349999998</v>
      </c>
    </row>
    <row r="215" spans="1:12" x14ac:dyDescent="0.35">
      <c r="A215" s="1">
        <v>1213</v>
      </c>
      <c r="B215" s="2">
        <v>44481</v>
      </c>
      <c r="C215" s="1" t="s">
        <v>10</v>
      </c>
      <c r="D215" s="1" t="s">
        <v>69</v>
      </c>
      <c r="E215" s="1" t="s">
        <v>31</v>
      </c>
      <c r="F215" s="1">
        <v>2889.24</v>
      </c>
      <c r="G215" s="1" t="s">
        <v>13</v>
      </c>
      <c r="H215" s="2">
        <v>24348</v>
      </c>
      <c r="I215" s="2">
        <v>44488</v>
      </c>
      <c r="J215" s="1">
        <v>28.37</v>
      </c>
      <c r="K215" s="1">
        <f t="shared" si="8"/>
        <v>819.67738799999995</v>
      </c>
      <c r="L215" s="1">
        <f t="shared" si="9"/>
        <v>2069.5626119999997</v>
      </c>
    </row>
    <row r="216" spans="1:12" x14ac:dyDescent="0.35">
      <c r="A216" s="1">
        <v>1214</v>
      </c>
      <c r="B216" s="2">
        <v>45507</v>
      </c>
      <c r="C216" s="1" t="s">
        <v>21</v>
      </c>
      <c r="D216" s="1" t="s">
        <v>22</v>
      </c>
      <c r="E216" s="1" t="s">
        <v>19</v>
      </c>
      <c r="F216" s="1">
        <v>3022.9</v>
      </c>
      <c r="G216" s="1" t="s">
        <v>170</v>
      </c>
      <c r="H216" s="2">
        <v>34205</v>
      </c>
      <c r="I216" s="2">
        <v>45521</v>
      </c>
      <c r="J216" s="1">
        <v>47.72</v>
      </c>
      <c r="K216" s="1">
        <f t="shared" si="8"/>
        <v>1442.5278800000001</v>
      </c>
      <c r="L216" s="1">
        <f t="shared" si="9"/>
        <v>1580.37212</v>
      </c>
    </row>
    <row r="217" spans="1:12" x14ac:dyDescent="0.35">
      <c r="A217" s="1">
        <v>1215</v>
      </c>
      <c r="B217" s="2">
        <v>45473</v>
      </c>
      <c r="C217" s="1" t="s">
        <v>35</v>
      </c>
      <c r="D217" s="1" t="s">
        <v>11</v>
      </c>
      <c r="E217" s="1" t="s">
        <v>12</v>
      </c>
      <c r="F217" s="1">
        <v>4188.75</v>
      </c>
      <c r="G217" s="1" t="s">
        <v>203</v>
      </c>
      <c r="H217" s="2">
        <v>34357</v>
      </c>
      <c r="I217" s="2">
        <v>45475</v>
      </c>
      <c r="J217" s="1">
        <v>38.21</v>
      </c>
      <c r="K217" s="1">
        <f t="shared" si="8"/>
        <v>1600.521375</v>
      </c>
      <c r="L217" s="1">
        <f t="shared" si="9"/>
        <v>2588.2286249999997</v>
      </c>
    </row>
    <row r="218" spans="1:12" x14ac:dyDescent="0.35">
      <c r="A218" s="1">
        <v>1216</v>
      </c>
      <c r="B218" s="2">
        <v>44675</v>
      </c>
      <c r="C218" s="1" t="s">
        <v>26</v>
      </c>
      <c r="D218" s="1" t="s">
        <v>49</v>
      </c>
      <c r="E218" s="1" t="s">
        <v>12</v>
      </c>
      <c r="F218" s="1">
        <v>2073.79</v>
      </c>
      <c r="G218" s="1" t="s">
        <v>77</v>
      </c>
      <c r="H218" s="2">
        <v>38696</v>
      </c>
      <c r="I218" s="2">
        <v>44682</v>
      </c>
      <c r="J218" s="1">
        <v>25.62</v>
      </c>
      <c r="K218" s="1">
        <f t="shared" si="8"/>
        <v>531.30499799999996</v>
      </c>
      <c r="L218" s="1">
        <f t="shared" si="9"/>
        <v>1542.4850019999999</v>
      </c>
    </row>
    <row r="219" spans="1:12" x14ac:dyDescent="0.35">
      <c r="A219" s="1">
        <v>1217</v>
      </c>
      <c r="B219" s="2">
        <v>44521</v>
      </c>
      <c r="C219" s="1" t="s">
        <v>14</v>
      </c>
      <c r="D219" s="1" t="s">
        <v>73</v>
      </c>
      <c r="E219" s="1" t="s">
        <v>28</v>
      </c>
      <c r="F219" s="1">
        <v>2237.83</v>
      </c>
      <c r="G219" s="1" t="s">
        <v>137</v>
      </c>
      <c r="H219" s="2">
        <v>36905</v>
      </c>
      <c r="I219" s="2">
        <v>44524</v>
      </c>
      <c r="J219" s="1">
        <v>4.8600000000000003</v>
      </c>
      <c r="K219" s="1">
        <f t="shared" si="8"/>
        <v>108.758538</v>
      </c>
      <c r="L219" s="1">
        <f t="shared" si="9"/>
        <v>2129.0714619999999</v>
      </c>
    </row>
    <row r="220" spans="1:12" x14ac:dyDescent="0.35">
      <c r="A220" s="1">
        <v>1218</v>
      </c>
      <c r="B220" s="2">
        <v>44470</v>
      </c>
      <c r="C220" s="1" t="s">
        <v>26</v>
      </c>
      <c r="D220" s="1" t="s">
        <v>24</v>
      </c>
      <c r="E220" s="1" t="s">
        <v>19</v>
      </c>
      <c r="F220" s="1">
        <v>3830.75</v>
      </c>
      <c r="G220" s="1" t="s">
        <v>204</v>
      </c>
      <c r="H220" s="2">
        <v>23718</v>
      </c>
      <c r="I220" s="2">
        <v>44475</v>
      </c>
      <c r="J220" s="1">
        <v>39.33</v>
      </c>
      <c r="K220" s="1">
        <f t="shared" si="8"/>
        <v>1506.633975</v>
      </c>
      <c r="L220" s="1">
        <f t="shared" si="9"/>
        <v>2324.1160250000003</v>
      </c>
    </row>
    <row r="221" spans="1:12" x14ac:dyDescent="0.35">
      <c r="A221" s="1">
        <v>1219</v>
      </c>
      <c r="B221" s="2">
        <v>45412</v>
      </c>
      <c r="C221" s="1" t="s">
        <v>35</v>
      </c>
      <c r="D221" s="1" t="s">
        <v>53</v>
      </c>
      <c r="E221" s="1" t="s">
        <v>28</v>
      </c>
      <c r="F221" s="1">
        <v>808.73</v>
      </c>
      <c r="G221" s="1" t="s">
        <v>205</v>
      </c>
      <c r="H221" s="2">
        <v>27526</v>
      </c>
      <c r="I221" s="2">
        <v>45419</v>
      </c>
      <c r="J221" s="1">
        <v>8.61</v>
      </c>
      <c r="K221" s="1">
        <f t="shared" si="8"/>
        <v>69.631653</v>
      </c>
      <c r="L221" s="1">
        <f t="shared" si="9"/>
        <v>739.09834699999999</v>
      </c>
    </row>
    <row r="222" spans="1:12" x14ac:dyDescent="0.35">
      <c r="A222" s="1">
        <v>1220</v>
      </c>
      <c r="B222" s="2">
        <v>45194</v>
      </c>
      <c r="C222" s="1" t="s">
        <v>14</v>
      </c>
      <c r="D222" s="1" t="s">
        <v>65</v>
      </c>
      <c r="E222" s="1" t="s">
        <v>19</v>
      </c>
      <c r="F222" s="1">
        <v>3956.75</v>
      </c>
      <c r="G222" s="1" t="s">
        <v>206</v>
      </c>
      <c r="H222" s="2">
        <v>34011</v>
      </c>
      <c r="I222" s="2">
        <v>45205</v>
      </c>
      <c r="J222" s="1">
        <v>1.67</v>
      </c>
      <c r="K222" s="1">
        <f t="shared" si="8"/>
        <v>66.077725000000001</v>
      </c>
      <c r="L222" s="1">
        <f t="shared" si="9"/>
        <v>3890.6722749999999</v>
      </c>
    </row>
    <row r="223" spans="1:12" x14ac:dyDescent="0.35">
      <c r="A223" s="1">
        <v>1221</v>
      </c>
      <c r="B223" s="2">
        <v>45465</v>
      </c>
      <c r="C223" s="1" t="s">
        <v>14</v>
      </c>
      <c r="D223" s="1" t="s">
        <v>53</v>
      </c>
      <c r="E223" s="1" t="s">
        <v>28</v>
      </c>
      <c r="F223" s="1">
        <v>3130.27</v>
      </c>
      <c r="G223" s="1" t="s">
        <v>139</v>
      </c>
      <c r="H223" s="2">
        <v>29381</v>
      </c>
      <c r="I223" s="2">
        <v>45478</v>
      </c>
      <c r="J223" s="1">
        <v>44.53</v>
      </c>
      <c r="K223" s="1">
        <f t="shared" si="8"/>
        <v>1393.9092310000001</v>
      </c>
      <c r="L223" s="1">
        <f t="shared" si="9"/>
        <v>1736.3607689999999</v>
      </c>
    </row>
    <row r="224" spans="1:12" x14ac:dyDescent="0.35">
      <c r="A224" s="1">
        <v>1222</v>
      </c>
      <c r="B224" s="2">
        <v>44808</v>
      </c>
      <c r="C224" s="1" t="s">
        <v>35</v>
      </c>
      <c r="D224" s="1" t="s">
        <v>53</v>
      </c>
      <c r="E224" s="1" t="s">
        <v>28</v>
      </c>
      <c r="F224" s="1">
        <v>3446.37</v>
      </c>
      <c r="G224" s="1" t="s">
        <v>207</v>
      </c>
      <c r="H224" s="2">
        <v>23988</v>
      </c>
      <c r="I224" s="2">
        <v>44814</v>
      </c>
      <c r="J224" s="1">
        <v>5.56</v>
      </c>
      <c r="K224" s="1">
        <f t="shared" si="8"/>
        <v>191.61817199999999</v>
      </c>
      <c r="L224" s="1">
        <f t="shared" si="9"/>
        <v>3254.7518279999999</v>
      </c>
    </row>
    <row r="225" spans="1:12" x14ac:dyDescent="0.35">
      <c r="A225" s="1">
        <v>1223</v>
      </c>
      <c r="B225" s="2">
        <v>45167</v>
      </c>
      <c r="C225" s="1" t="s">
        <v>35</v>
      </c>
      <c r="D225" s="1" t="s">
        <v>36</v>
      </c>
      <c r="E225" s="1" t="s">
        <v>28</v>
      </c>
      <c r="F225" s="1">
        <v>2497.2600000000002</v>
      </c>
      <c r="G225" s="1" t="s">
        <v>130</v>
      </c>
      <c r="H225" s="2">
        <v>38750</v>
      </c>
      <c r="I225" s="2">
        <v>45174</v>
      </c>
      <c r="J225" s="1">
        <v>1.29</v>
      </c>
      <c r="K225" s="1">
        <f t="shared" si="8"/>
        <v>32.214654000000003</v>
      </c>
      <c r="L225" s="1">
        <f t="shared" si="9"/>
        <v>2465.0453460000003</v>
      </c>
    </row>
    <row r="226" spans="1:12" x14ac:dyDescent="0.35">
      <c r="A226" s="1">
        <v>1224</v>
      </c>
      <c r="B226" s="2">
        <v>44083</v>
      </c>
      <c r="C226" s="1" t="s">
        <v>14</v>
      </c>
      <c r="D226" s="1" t="s">
        <v>11</v>
      </c>
      <c r="E226" s="1" t="s">
        <v>12</v>
      </c>
      <c r="F226" s="1">
        <v>851.57</v>
      </c>
      <c r="G226" s="1" t="s">
        <v>181</v>
      </c>
      <c r="H226" s="2">
        <v>25222</v>
      </c>
      <c r="I226" s="2">
        <v>44092</v>
      </c>
      <c r="J226" s="1">
        <v>7.79</v>
      </c>
      <c r="K226" s="1">
        <f t="shared" si="8"/>
        <v>66.337303000000006</v>
      </c>
      <c r="L226" s="1">
        <f t="shared" si="9"/>
        <v>785.23269700000003</v>
      </c>
    </row>
    <row r="227" spans="1:12" x14ac:dyDescent="0.35">
      <c r="A227" s="1">
        <v>1225</v>
      </c>
      <c r="B227" s="2">
        <v>44858</v>
      </c>
      <c r="C227" s="1" t="s">
        <v>26</v>
      </c>
      <c r="D227" s="1" t="s">
        <v>33</v>
      </c>
      <c r="E227" s="1" t="s">
        <v>16</v>
      </c>
      <c r="F227" s="1">
        <v>2904.95</v>
      </c>
      <c r="G227" s="1" t="s">
        <v>124</v>
      </c>
      <c r="H227" s="2">
        <v>30786</v>
      </c>
      <c r="I227" s="2">
        <v>44860</v>
      </c>
      <c r="J227" s="1">
        <v>6.47</v>
      </c>
      <c r="K227" s="1">
        <f t="shared" si="8"/>
        <v>187.95026499999997</v>
      </c>
      <c r="L227" s="1">
        <f t="shared" si="9"/>
        <v>2716.9997349999999</v>
      </c>
    </row>
    <row r="228" spans="1:12" x14ac:dyDescent="0.35">
      <c r="A228" s="1">
        <v>1226</v>
      </c>
      <c r="B228" s="2">
        <v>45203</v>
      </c>
      <c r="C228" s="1" t="s">
        <v>26</v>
      </c>
      <c r="D228" s="1" t="s">
        <v>47</v>
      </c>
      <c r="E228" s="1" t="s">
        <v>12</v>
      </c>
      <c r="F228" s="1">
        <v>513.84</v>
      </c>
      <c r="G228" s="1" t="s">
        <v>113</v>
      </c>
      <c r="H228" s="2">
        <v>25579</v>
      </c>
      <c r="I228" s="2">
        <v>45214</v>
      </c>
      <c r="J228" s="1">
        <v>49.58</v>
      </c>
      <c r="K228" s="1">
        <f t="shared" si="8"/>
        <v>254.76187199999998</v>
      </c>
      <c r="L228" s="1">
        <f t="shared" si="9"/>
        <v>259.07812800000005</v>
      </c>
    </row>
    <row r="229" spans="1:12" x14ac:dyDescent="0.35">
      <c r="A229" s="1">
        <v>1227</v>
      </c>
      <c r="B229" s="2">
        <v>45737</v>
      </c>
      <c r="C229" s="1" t="s">
        <v>35</v>
      </c>
      <c r="D229" s="1" t="s">
        <v>47</v>
      </c>
      <c r="E229" s="1" t="s">
        <v>12</v>
      </c>
      <c r="F229" s="1">
        <v>4335.8</v>
      </c>
      <c r="G229" s="1" t="s">
        <v>208</v>
      </c>
      <c r="H229" s="2">
        <v>32188</v>
      </c>
      <c r="I229" s="2">
        <v>45750</v>
      </c>
      <c r="J229" s="1">
        <v>9.0299999999999994</v>
      </c>
      <c r="K229" s="1">
        <f t="shared" si="8"/>
        <v>391.52274</v>
      </c>
      <c r="L229" s="1">
        <f t="shared" si="9"/>
        <v>3944.2772600000003</v>
      </c>
    </row>
    <row r="230" spans="1:12" x14ac:dyDescent="0.35">
      <c r="A230" s="1">
        <v>1228</v>
      </c>
      <c r="B230" s="2">
        <v>45107</v>
      </c>
      <c r="C230" s="1" t="s">
        <v>14</v>
      </c>
      <c r="D230" s="1" t="s">
        <v>44</v>
      </c>
      <c r="E230" s="1" t="s">
        <v>16</v>
      </c>
      <c r="F230" s="1">
        <v>2971.52</v>
      </c>
      <c r="G230" s="1" t="s">
        <v>209</v>
      </c>
      <c r="H230" s="2">
        <v>28522</v>
      </c>
      <c r="I230" s="2">
        <v>45119</v>
      </c>
      <c r="J230" s="1">
        <v>24.69</v>
      </c>
      <c r="K230" s="1">
        <f t="shared" si="8"/>
        <v>733.66828800000008</v>
      </c>
      <c r="L230" s="1">
        <f t="shared" si="9"/>
        <v>2237.8517119999997</v>
      </c>
    </row>
    <row r="231" spans="1:12" x14ac:dyDescent="0.35">
      <c r="A231" s="1">
        <v>1229</v>
      </c>
      <c r="B231" s="2">
        <v>44494</v>
      </c>
      <c r="C231" s="1" t="s">
        <v>35</v>
      </c>
      <c r="D231" s="1" t="s">
        <v>88</v>
      </c>
      <c r="E231" s="1" t="s">
        <v>16</v>
      </c>
      <c r="F231" s="1">
        <v>4761.95</v>
      </c>
      <c r="G231" s="1" t="s">
        <v>210</v>
      </c>
      <c r="H231" s="2">
        <v>27550</v>
      </c>
      <c r="I231" s="2">
        <v>44501</v>
      </c>
      <c r="J231" s="1">
        <v>43.51</v>
      </c>
      <c r="K231" s="1">
        <f t="shared" si="8"/>
        <v>2071.9244449999997</v>
      </c>
      <c r="L231" s="1">
        <f t="shared" si="9"/>
        <v>2690.0255550000002</v>
      </c>
    </row>
    <row r="232" spans="1:12" x14ac:dyDescent="0.35">
      <c r="A232" s="1">
        <v>1230</v>
      </c>
      <c r="B232" s="2">
        <v>44269</v>
      </c>
      <c r="C232" s="1" t="s">
        <v>26</v>
      </c>
      <c r="D232" s="1" t="s">
        <v>33</v>
      </c>
      <c r="E232" s="1" t="s">
        <v>16</v>
      </c>
      <c r="F232" s="1">
        <v>1146.72</v>
      </c>
      <c r="G232" s="1" t="s">
        <v>158</v>
      </c>
      <c r="H232" s="2">
        <v>34871</v>
      </c>
      <c r="I232" s="2">
        <v>44274</v>
      </c>
      <c r="J232" s="1">
        <v>32.44</v>
      </c>
      <c r="K232" s="1">
        <f t="shared" si="8"/>
        <v>371.99596799999995</v>
      </c>
      <c r="L232" s="1">
        <f t="shared" si="9"/>
        <v>774.72403200000008</v>
      </c>
    </row>
    <row r="233" spans="1:12" x14ac:dyDescent="0.35">
      <c r="A233" s="1">
        <v>1231</v>
      </c>
      <c r="B233" s="2">
        <v>44857</v>
      </c>
      <c r="C233" s="1" t="s">
        <v>26</v>
      </c>
      <c r="D233" s="1" t="s">
        <v>47</v>
      </c>
      <c r="E233" s="1" t="s">
        <v>12</v>
      </c>
      <c r="F233" s="1">
        <v>2995.97</v>
      </c>
      <c r="G233" s="1" t="s">
        <v>153</v>
      </c>
      <c r="H233" s="2">
        <v>36216</v>
      </c>
      <c r="I233" s="2">
        <v>44868</v>
      </c>
      <c r="J233" s="1">
        <v>3.74</v>
      </c>
      <c r="K233" s="1">
        <f t="shared" si="8"/>
        <v>112.049278</v>
      </c>
      <c r="L233" s="1">
        <f t="shared" si="9"/>
        <v>2883.9207219999998</v>
      </c>
    </row>
    <row r="234" spans="1:12" x14ac:dyDescent="0.35">
      <c r="A234" s="1">
        <v>1232</v>
      </c>
      <c r="B234" s="2">
        <v>44732</v>
      </c>
      <c r="C234" s="1" t="s">
        <v>14</v>
      </c>
      <c r="D234" s="1" t="s">
        <v>73</v>
      </c>
      <c r="E234" s="1" t="s">
        <v>28</v>
      </c>
      <c r="F234" s="1">
        <v>1461.44</v>
      </c>
      <c r="G234" s="1" t="s">
        <v>211</v>
      </c>
      <c r="H234" s="2">
        <v>35702</v>
      </c>
      <c r="I234" s="2">
        <v>44741</v>
      </c>
      <c r="J234" s="1">
        <v>1.64</v>
      </c>
      <c r="K234" s="1">
        <f t="shared" si="8"/>
        <v>23.967616</v>
      </c>
      <c r="L234" s="1">
        <f t="shared" si="9"/>
        <v>1437.4723840000001</v>
      </c>
    </row>
    <row r="235" spans="1:12" x14ac:dyDescent="0.35">
      <c r="A235" s="1">
        <v>1233</v>
      </c>
      <c r="B235" s="2">
        <v>44730</v>
      </c>
      <c r="C235" s="1" t="s">
        <v>21</v>
      </c>
      <c r="D235" s="1" t="s">
        <v>69</v>
      </c>
      <c r="E235" s="1" t="s">
        <v>12</v>
      </c>
      <c r="F235" s="1">
        <v>325.3</v>
      </c>
      <c r="G235" s="1" t="s">
        <v>152</v>
      </c>
      <c r="H235" s="2">
        <v>24792</v>
      </c>
      <c r="I235" s="2">
        <v>44736</v>
      </c>
      <c r="J235" s="1">
        <v>9.27</v>
      </c>
      <c r="K235" s="1">
        <f t="shared" si="8"/>
        <v>30.155309999999997</v>
      </c>
      <c r="L235" s="1">
        <f t="shared" si="9"/>
        <v>295.14469000000003</v>
      </c>
    </row>
    <row r="236" spans="1:12" x14ac:dyDescent="0.35">
      <c r="A236" s="1">
        <v>1234</v>
      </c>
      <c r="B236" s="2">
        <v>44339</v>
      </c>
      <c r="C236" s="1" t="s">
        <v>21</v>
      </c>
      <c r="D236" s="1" t="s">
        <v>49</v>
      </c>
      <c r="E236" s="1" t="s">
        <v>12</v>
      </c>
      <c r="F236" s="1">
        <v>4453.8100000000004</v>
      </c>
      <c r="G236" s="1" t="s">
        <v>212</v>
      </c>
      <c r="H236" s="2">
        <v>23674</v>
      </c>
      <c r="I236" s="2">
        <v>44348</v>
      </c>
      <c r="J236" s="1">
        <v>42.29</v>
      </c>
      <c r="K236" s="1">
        <f t="shared" si="8"/>
        <v>1883.5162490000002</v>
      </c>
      <c r="L236" s="1">
        <f t="shared" si="9"/>
        <v>2570.2937510000002</v>
      </c>
    </row>
    <row r="237" spans="1:12" x14ac:dyDescent="0.35">
      <c r="A237" s="1">
        <v>1235</v>
      </c>
      <c r="B237" s="2">
        <v>44284</v>
      </c>
      <c r="C237" s="1" t="s">
        <v>35</v>
      </c>
      <c r="D237" s="1" t="s">
        <v>18</v>
      </c>
      <c r="E237" s="1" t="s">
        <v>19</v>
      </c>
      <c r="F237" s="1">
        <v>4999.79</v>
      </c>
      <c r="G237" s="1" t="s">
        <v>213</v>
      </c>
      <c r="H237" s="2">
        <v>34345</v>
      </c>
      <c r="I237" s="2">
        <v>44285</v>
      </c>
      <c r="J237" s="1">
        <v>42.92</v>
      </c>
      <c r="K237" s="1">
        <f t="shared" si="8"/>
        <v>2145.9098680000002</v>
      </c>
      <c r="L237" s="1">
        <f t="shared" si="9"/>
        <v>2853.8801319999998</v>
      </c>
    </row>
    <row r="238" spans="1:12" x14ac:dyDescent="0.35">
      <c r="A238" s="1">
        <v>1236</v>
      </c>
      <c r="B238" s="2">
        <v>45408</v>
      </c>
      <c r="C238" s="1" t="s">
        <v>10</v>
      </c>
      <c r="D238" s="1" t="s">
        <v>40</v>
      </c>
      <c r="E238" s="1" t="s">
        <v>16</v>
      </c>
      <c r="F238" s="1">
        <v>4464.05</v>
      </c>
      <c r="G238" s="1" t="s">
        <v>116</v>
      </c>
      <c r="H238" s="2">
        <v>39294</v>
      </c>
      <c r="I238" s="2">
        <v>45415</v>
      </c>
      <c r="J238" s="1">
        <v>27.44</v>
      </c>
      <c r="K238" s="1">
        <f t="shared" si="8"/>
        <v>1224.9353200000003</v>
      </c>
      <c r="L238" s="1">
        <f t="shared" si="9"/>
        <v>3239.1146799999997</v>
      </c>
    </row>
    <row r="239" spans="1:12" x14ac:dyDescent="0.35">
      <c r="A239" s="1">
        <v>1237</v>
      </c>
      <c r="B239" s="2">
        <v>44398</v>
      </c>
      <c r="C239" s="1" t="s">
        <v>21</v>
      </c>
      <c r="D239" s="1" t="s">
        <v>102</v>
      </c>
      <c r="E239" s="1" t="s">
        <v>12</v>
      </c>
      <c r="F239" s="1">
        <v>3581.56</v>
      </c>
      <c r="G239" s="1" t="s">
        <v>86</v>
      </c>
      <c r="H239" s="2">
        <v>37858</v>
      </c>
      <c r="I239" s="2">
        <v>44405</v>
      </c>
      <c r="J239" s="1">
        <v>41.87</v>
      </c>
      <c r="K239" s="1">
        <f t="shared" si="8"/>
        <v>1499.5991719999997</v>
      </c>
      <c r="L239" s="1">
        <f t="shared" si="9"/>
        <v>2081.9608280000002</v>
      </c>
    </row>
    <row r="240" spans="1:12" x14ac:dyDescent="0.35">
      <c r="A240" s="1">
        <v>1238</v>
      </c>
      <c r="B240" s="2">
        <v>44940</v>
      </c>
      <c r="C240" s="1" t="s">
        <v>26</v>
      </c>
      <c r="D240" s="1" t="s">
        <v>71</v>
      </c>
      <c r="E240" s="1" t="s">
        <v>31</v>
      </c>
      <c r="F240" s="1">
        <v>1509.92</v>
      </c>
      <c r="G240" s="1" t="s">
        <v>214</v>
      </c>
      <c r="H240" s="2">
        <v>29540</v>
      </c>
      <c r="I240" s="2">
        <v>44943</v>
      </c>
      <c r="J240" s="1">
        <v>20.399999999999999</v>
      </c>
      <c r="K240" s="1">
        <f t="shared" si="8"/>
        <v>308.02368000000001</v>
      </c>
      <c r="L240" s="1">
        <f t="shared" si="9"/>
        <v>1201.8963200000001</v>
      </c>
    </row>
    <row r="241" spans="1:12" x14ac:dyDescent="0.35">
      <c r="A241" s="1">
        <v>1239</v>
      </c>
      <c r="B241" s="2">
        <v>45792</v>
      </c>
      <c r="C241" s="1" t="s">
        <v>35</v>
      </c>
      <c r="D241" s="1" t="s">
        <v>27</v>
      </c>
      <c r="E241" s="1" t="s">
        <v>28</v>
      </c>
      <c r="F241" s="1">
        <v>2305.0300000000002</v>
      </c>
      <c r="G241" s="1" t="s">
        <v>215</v>
      </c>
      <c r="H241" s="2">
        <v>31386</v>
      </c>
      <c r="I241" s="2">
        <v>45803</v>
      </c>
      <c r="J241" s="1">
        <v>39.799999999999997</v>
      </c>
      <c r="K241" s="1">
        <f t="shared" si="8"/>
        <v>917.40193999999997</v>
      </c>
      <c r="L241" s="1">
        <f t="shared" si="9"/>
        <v>1387.6280600000002</v>
      </c>
    </row>
    <row r="242" spans="1:12" x14ac:dyDescent="0.35">
      <c r="A242" s="1">
        <v>1240</v>
      </c>
      <c r="B242" s="2">
        <v>45013</v>
      </c>
      <c r="C242" s="1" t="s">
        <v>35</v>
      </c>
      <c r="D242" s="1" t="s">
        <v>88</v>
      </c>
      <c r="E242" s="1" t="s">
        <v>16</v>
      </c>
      <c r="F242" s="1">
        <v>4272.7299999999996</v>
      </c>
      <c r="G242" s="1" t="s">
        <v>91</v>
      </c>
      <c r="H242" s="2">
        <v>34220</v>
      </c>
      <c r="I242" s="2">
        <v>45020</v>
      </c>
      <c r="J242" s="1">
        <v>37.74</v>
      </c>
      <c r="K242" s="1">
        <f t="shared" si="8"/>
        <v>1612.5283019999999</v>
      </c>
      <c r="L242" s="1">
        <f t="shared" si="9"/>
        <v>2660.2016979999999</v>
      </c>
    </row>
    <row r="243" spans="1:12" x14ac:dyDescent="0.35">
      <c r="A243" s="1">
        <v>1241</v>
      </c>
      <c r="B243" s="2">
        <v>45234</v>
      </c>
      <c r="C243" s="1" t="s">
        <v>21</v>
      </c>
      <c r="D243" s="1" t="s">
        <v>69</v>
      </c>
      <c r="E243" s="1" t="s">
        <v>31</v>
      </c>
      <c r="F243" s="1">
        <v>1756.15</v>
      </c>
      <c r="G243" s="1" t="s">
        <v>216</v>
      </c>
      <c r="H243" s="2">
        <v>31419</v>
      </c>
      <c r="I243" s="2">
        <v>45239</v>
      </c>
      <c r="J243" s="1">
        <v>33.44</v>
      </c>
      <c r="K243" s="1">
        <f t="shared" si="8"/>
        <v>587.25656000000004</v>
      </c>
      <c r="L243" s="1">
        <f t="shared" si="9"/>
        <v>1168.8934400000001</v>
      </c>
    </row>
    <row r="244" spans="1:12" x14ac:dyDescent="0.35">
      <c r="A244" s="1">
        <v>1242</v>
      </c>
      <c r="B244" s="2">
        <v>44800</v>
      </c>
      <c r="C244" s="1" t="s">
        <v>14</v>
      </c>
      <c r="D244" s="1" t="s">
        <v>40</v>
      </c>
      <c r="E244" s="1" t="s">
        <v>16</v>
      </c>
      <c r="F244" s="1">
        <v>2727.83</v>
      </c>
      <c r="G244" s="1" t="s">
        <v>103</v>
      </c>
      <c r="H244" s="2">
        <v>30923</v>
      </c>
      <c r="I244" s="2">
        <v>44805</v>
      </c>
      <c r="J244" s="1">
        <v>11.22</v>
      </c>
      <c r="K244" s="1">
        <f t="shared" si="8"/>
        <v>306.06252599999999</v>
      </c>
      <c r="L244" s="1">
        <f t="shared" si="9"/>
        <v>2421.7674739999998</v>
      </c>
    </row>
    <row r="245" spans="1:12" x14ac:dyDescent="0.35">
      <c r="A245" s="1">
        <v>1243</v>
      </c>
      <c r="B245" s="2">
        <v>44438</v>
      </c>
      <c r="C245" s="1" t="s">
        <v>26</v>
      </c>
      <c r="D245" s="1" t="s">
        <v>53</v>
      </c>
      <c r="E245" s="1" t="s">
        <v>28</v>
      </c>
      <c r="F245" s="1">
        <v>993.29</v>
      </c>
      <c r="G245" s="1" t="s">
        <v>80</v>
      </c>
      <c r="H245" s="2">
        <v>31578</v>
      </c>
      <c r="I245" s="2">
        <v>44442</v>
      </c>
      <c r="J245" s="1">
        <v>9.93</v>
      </c>
      <c r="K245" s="1">
        <f t="shared" si="8"/>
        <v>98.633696999999998</v>
      </c>
      <c r="L245" s="1">
        <f t="shared" si="9"/>
        <v>894.65630299999998</v>
      </c>
    </row>
    <row r="246" spans="1:12" x14ac:dyDescent="0.35">
      <c r="A246" s="1">
        <v>1244</v>
      </c>
      <c r="B246" s="2">
        <v>45408</v>
      </c>
      <c r="C246" s="1" t="s">
        <v>14</v>
      </c>
      <c r="D246" s="1" t="s">
        <v>47</v>
      </c>
      <c r="E246" s="1" t="s">
        <v>12</v>
      </c>
      <c r="F246" s="1">
        <v>1187.1099999999999</v>
      </c>
      <c r="G246" s="1" t="s">
        <v>170</v>
      </c>
      <c r="H246" s="2">
        <v>34205</v>
      </c>
      <c r="I246" s="2">
        <v>45420</v>
      </c>
      <c r="J246" s="1">
        <v>33.229999999999997</v>
      </c>
      <c r="K246" s="1">
        <f t="shared" si="8"/>
        <v>394.47665299999994</v>
      </c>
      <c r="L246" s="1">
        <f t="shared" si="9"/>
        <v>792.63334699999996</v>
      </c>
    </row>
    <row r="247" spans="1:12" x14ac:dyDescent="0.35">
      <c r="A247" s="1">
        <v>1245</v>
      </c>
      <c r="B247" s="2">
        <v>44488</v>
      </c>
      <c r="C247" s="1" t="s">
        <v>21</v>
      </c>
      <c r="D247" s="1" t="s">
        <v>15</v>
      </c>
      <c r="E247" s="1" t="s">
        <v>16</v>
      </c>
      <c r="F247" s="1">
        <v>2517.8000000000002</v>
      </c>
      <c r="G247" s="1" t="s">
        <v>107</v>
      </c>
      <c r="H247" s="2">
        <v>26671</v>
      </c>
      <c r="I247" s="2">
        <v>44495</v>
      </c>
      <c r="J247" s="1">
        <v>38.24</v>
      </c>
      <c r="K247" s="1">
        <f t="shared" si="8"/>
        <v>962.80672000000015</v>
      </c>
      <c r="L247" s="1">
        <f t="shared" si="9"/>
        <v>1554.9932800000001</v>
      </c>
    </row>
    <row r="248" spans="1:12" x14ac:dyDescent="0.35">
      <c r="A248" s="1">
        <v>1246</v>
      </c>
      <c r="B248" s="2">
        <v>44489</v>
      </c>
      <c r="C248" s="1" t="s">
        <v>10</v>
      </c>
      <c r="D248" s="1" t="s">
        <v>88</v>
      </c>
      <c r="E248" s="1" t="s">
        <v>16</v>
      </c>
      <c r="F248" s="1">
        <v>4390.6000000000004</v>
      </c>
      <c r="G248" s="1" t="s">
        <v>144</v>
      </c>
      <c r="H248" s="2">
        <v>34571</v>
      </c>
      <c r="I248" s="2">
        <v>44491</v>
      </c>
      <c r="J248" s="1">
        <v>15.44</v>
      </c>
      <c r="K248" s="1">
        <f t="shared" si="8"/>
        <v>677.90863999999999</v>
      </c>
      <c r="L248" s="1">
        <f t="shared" si="9"/>
        <v>3712.6913600000003</v>
      </c>
    </row>
    <row r="249" spans="1:12" x14ac:dyDescent="0.35">
      <c r="A249" s="1">
        <v>1247</v>
      </c>
      <c r="B249" s="2">
        <v>44653</v>
      </c>
      <c r="C249" s="1" t="s">
        <v>35</v>
      </c>
      <c r="D249" s="1" t="s">
        <v>38</v>
      </c>
      <c r="E249" s="1" t="s">
        <v>28</v>
      </c>
      <c r="F249" s="1">
        <v>4464.93</v>
      </c>
      <c r="G249" s="1" t="s">
        <v>194</v>
      </c>
      <c r="H249" s="2">
        <v>22210</v>
      </c>
      <c r="I249" s="2">
        <v>44658</v>
      </c>
      <c r="J249" s="1">
        <v>42.78</v>
      </c>
      <c r="K249" s="1">
        <f t="shared" si="8"/>
        <v>1910.0970540000003</v>
      </c>
      <c r="L249" s="1">
        <f t="shared" si="9"/>
        <v>2554.832946</v>
      </c>
    </row>
    <row r="250" spans="1:12" x14ac:dyDescent="0.35">
      <c r="A250" s="1">
        <v>1248</v>
      </c>
      <c r="B250" s="2">
        <v>45583</v>
      </c>
      <c r="C250" s="1" t="s">
        <v>10</v>
      </c>
      <c r="D250" s="1" t="s">
        <v>55</v>
      </c>
      <c r="E250" s="1" t="s">
        <v>31</v>
      </c>
      <c r="F250" s="1">
        <v>834.79</v>
      </c>
      <c r="G250" s="1" t="s">
        <v>62</v>
      </c>
      <c r="H250" s="2">
        <v>22870</v>
      </c>
      <c r="I250" s="2">
        <v>45587</v>
      </c>
      <c r="J250" s="1">
        <v>43.88</v>
      </c>
      <c r="K250" s="1">
        <f t="shared" si="8"/>
        <v>366.30585200000002</v>
      </c>
      <c r="L250" s="1">
        <f t="shared" si="9"/>
        <v>468.48414799999995</v>
      </c>
    </row>
    <row r="251" spans="1:12" x14ac:dyDescent="0.35">
      <c r="A251" s="1">
        <v>1249</v>
      </c>
      <c r="B251" s="2">
        <v>45218</v>
      </c>
      <c r="C251" s="1" t="s">
        <v>14</v>
      </c>
      <c r="D251" s="1" t="s">
        <v>73</v>
      </c>
      <c r="E251" s="1" t="s">
        <v>28</v>
      </c>
      <c r="F251" s="1">
        <v>1780.78</v>
      </c>
      <c r="G251" s="1" t="s">
        <v>217</v>
      </c>
      <c r="H251" s="2">
        <v>36951</v>
      </c>
      <c r="I251" s="2">
        <v>45232</v>
      </c>
      <c r="J251" s="1">
        <v>43.61</v>
      </c>
      <c r="K251" s="1">
        <f t="shared" si="8"/>
        <v>776.59815800000001</v>
      </c>
      <c r="L251" s="1">
        <f t="shared" si="9"/>
        <v>1004.181842</v>
      </c>
    </row>
    <row r="252" spans="1:12" x14ac:dyDescent="0.35">
      <c r="A252" s="1">
        <v>1250</v>
      </c>
      <c r="B252" s="2">
        <v>44458</v>
      </c>
      <c r="C252" s="1" t="s">
        <v>35</v>
      </c>
      <c r="D252" s="1" t="s">
        <v>49</v>
      </c>
      <c r="E252" s="1" t="s">
        <v>12</v>
      </c>
      <c r="F252" s="1">
        <v>2340.94</v>
      </c>
      <c r="G252" s="1" t="s">
        <v>218</v>
      </c>
      <c r="H252" s="2">
        <v>29792</v>
      </c>
      <c r="I252" s="2">
        <v>44460</v>
      </c>
      <c r="J252" s="1">
        <v>22.07</v>
      </c>
      <c r="K252" s="1">
        <f t="shared" si="8"/>
        <v>516.64545800000008</v>
      </c>
      <c r="L252" s="1">
        <f t="shared" si="9"/>
        <v>1824.2945420000001</v>
      </c>
    </row>
    <row r="253" spans="1:12" x14ac:dyDescent="0.35">
      <c r="A253" s="1">
        <v>1251</v>
      </c>
      <c r="B253" s="2">
        <v>45121</v>
      </c>
      <c r="C253" s="1" t="s">
        <v>21</v>
      </c>
      <c r="D253" s="1" t="s">
        <v>38</v>
      </c>
      <c r="E253" s="1" t="s">
        <v>28</v>
      </c>
      <c r="F253" s="1">
        <v>898.44</v>
      </c>
      <c r="G253" s="1" t="s">
        <v>152</v>
      </c>
      <c r="H253" s="2">
        <v>24792</v>
      </c>
      <c r="I253" s="2">
        <v>45128</v>
      </c>
      <c r="J253" s="1">
        <v>19.48</v>
      </c>
      <c r="K253" s="1">
        <f t="shared" si="8"/>
        <v>175.01611200000002</v>
      </c>
      <c r="L253" s="1">
        <f t="shared" si="9"/>
        <v>723.42388800000003</v>
      </c>
    </row>
    <row r="254" spans="1:12" x14ac:dyDescent="0.35">
      <c r="A254" s="1">
        <v>1252</v>
      </c>
      <c r="B254" s="2">
        <v>45116</v>
      </c>
      <c r="C254" s="1" t="s">
        <v>21</v>
      </c>
      <c r="D254" s="1" t="s">
        <v>38</v>
      </c>
      <c r="E254" s="1" t="s">
        <v>28</v>
      </c>
      <c r="F254" s="1">
        <v>2705.86</v>
      </c>
      <c r="G254" s="1" t="s">
        <v>219</v>
      </c>
      <c r="H254" s="2">
        <v>25321</v>
      </c>
      <c r="I254" s="2">
        <v>45121</v>
      </c>
      <c r="J254" s="1">
        <v>48.33</v>
      </c>
      <c r="K254" s="1">
        <f t="shared" si="8"/>
        <v>1307.7421380000001</v>
      </c>
      <c r="L254" s="1">
        <f t="shared" si="9"/>
        <v>1398.1178620000001</v>
      </c>
    </row>
    <row r="255" spans="1:12" x14ac:dyDescent="0.35">
      <c r="A255" s="1">
        <v>1253</v>
      </c>
      <c r="B255" s="2">
        <v>44995</v>
      </c>
      <c r="C255" s="1" t="s">
        <v>10</v>
      </c>
      <c r="D255" s="1" t="s">
        <v>24</v>
      </c>
      <c r="E255" s="1" t="s">
        <v>19</v>
      </c>
      <c r="F255" s="1">
        <v>4945.4399999999996</v>
      </c>
      <c r="G255" s="1" t="s">
        <v>118</v>
      </c>
      <c r="H255" s="2">
        <v>22599</v>
      </c>
      <c r="I255" s="2">
        <v>44999</v>
      </c>
      <c r="J255" s="1">
        <v>23.04</v>
      </c>
      <c r="K255" s="1">
        <f t="shared" si="8"/>
        <v>1139.4293759999998</v>
      </c>
      <c r="L255" s="1">
        <f t="shared" si="9"/>
        <v>3806.0106239999996</v>
      </c>
    </row>
    <row r="256" spans="1:12" x14ac:dyDescent="0.35">
      <c r="A256" s="1">
        <v>1254</v>
      </c>
      <c r="B256" s="2">
        <v>45777</v>
      </c>
      <c r="C256" s="1" t="s">
        <v>21</v>
      </c>
      <c r="D256" s="1" t="s">
        <v>58</v>
      </c>
      <c r="E256" s="1" t="s">
        <v>31</v>
      </c>
      <c r="F256" s="1">
        <v>1796.08</v>
      </c>
      <c r="G256" s="1" t="s">
        <v>176</v>
      </c>
      <c r="H256" s="2">
        <v>33282</v>
      </c>
      <c r="I256" s="2">
        <v>45788</v>
      </c>
      <c r="J256" s="1">
        <v>3.3</v>
      </c>
      <c r="K256" s="1">
        <f t="shared" si="8"/>
        <v>59.27064</v>
      </c>
      <c r="L256" s="1">
        <f t="shared" si="9"/>
        <v>1736.80936</v>
      </c>
    </row>
    <row r="257" spans="1:12" x14ac:dyDescent="0.35">
      <c r="A257" s="1">
        <v>1255</v>
      </c>
      <c r="B257" s="2">
        <v>44791</v>
      </c>
      <c r="C257" s="1" t="s">
        <v>35</v>
      </c>
      <c r="D257" s="1" t="s">
        <v>69</v>
      </c>
      <c r="E257" s="1" t="s">
        <v>31</v>
      </c>
      <c r="F257" s="1">
        <v>1032.53</v>
      </c>
      <c r="G257" s="1" t="s">
        <v>157</v>
      </c>
      <c r="H257" s="2">
        <v>37189</v>
      </c>
      <c r="I257" s="2">
        <v>44793</v>
      </c>
      <c r="J257" s="1">
        <v>47.26</v>
      </c>
      <c r="K257" s="1">
        <f t="shared" si="8"/>
        <v>487.97367799999995</v>
      </c>
      <c r="L257" s="1">
        <f t="shared" si="9"/>
        <v>544.55632200000002</v>
      </c>
    </row>
    <row r="258" spans="1:12" x14ac:dyDescent="0.35">
      <c r="A258" s="1">
        <v>1256</v>
      </c>
      <c r="B258" s="2">
        <v>44829</v>
      </c>
      <c r="C258" s="1" t="s">
        <v>10</v>
      </c>
      <c r="D258" s="1" t="s">
        <v>22</v>
      </c>
      <c r="E258" s="1" t="s">
        <v>19</v>
      </c>
      <c r="F258" s="1">
        <v>1161.73</v>
      </c>
      <c r="G258" s="1" t="s">
        <v>220</v>
      </c>
      <c r="H258" s="2">
        <v>30755</v>
      </c>
      <c r="I258" s="2">
        <v>44838</v>
      </c>
      <c r="J258" s="1">
        <v>8.2799999999999994</v>
      </c>
      <c r="K258" s="1">
        <f t="shared" si="8"/>
        <v>96.191243999999998</v>
      </c>
      <c r="L258" s="1">
        <f t="shared" si="9"/>
        <v>1065.5387559999999</v>
      </c>
    </row>
    <row r="259" spans="1:12" x14ac:dyDescent="0.35">
      <c r="A259" s="1">
        <v>1257</v>
      </c>
      <c r="B259" s="2">
        <v>45205</v>
      </c>
      <c r="C259" s="1" t="s">
        <v>35</v>
      </c>
      <c r="D259" s="1" t="s">
        <v>24</v>
      </c>
      <c r="E259" s="1" t="s">
        <v>19</v>
      </c>
      <c r="F259" s="1">
        <v>544.44000000000005</v>
      </c>
      <c r="G259" s="1" t="s">
        <v>221</v>
      </c>
      <c r="H259" s="2">
        <v>35658</v>
      </c>
      <c r="I259" s="2">
        <v>45214</v>
      </c>
      <c r="J259" s="1">
        <v>38.49</v>
      </c>
      <c r="K259" s="1">
        <f t="shared" ref="K259:K322" si="10">F259*J259%</f>
        <v>209.55495600000003</v>
      </c>
      <c r="L259" s="1">
        <f t="shared" ref="L259:L322" si="11">F259-K259</f>
        <v>334.88504399999999</v>
      </c>
    </row>
    <row r="260" spans="1:12" x14ac:dyDescent="0.35">
      <c r="A260" s="1">
        <v>1258</v>
      </c>
      <c r="B260" s="2">
        <v>44533</v>
      </c>
      <c r="C260" s="1" t="s">
        <v>26</v>
      </c>
      <c r="D260" s="1" t="s">
        <v>49</v>
      </c>
      <c r="E260" s="1" t="s">
        <v>12</v>
      </c>
      <c r="F260" s="1">
        <v>4156.28</v>
      </c>
      <c r="G260" s="1" t="s">
        <v>110</v>
      </c>
      <c r="H260" s="2">
        <v>32064</v>
      </c>
      <c r="I260" s="2">
        <v>44535</v>
      </c>
      <c r="J260" s="1">
        <v>11.58</v>
      </c>
      <c r="K260" s="1">
        <f t="shared" si="10"/>
        <v>481.29722399999997</v>
      </c>
      <c r="L260" s="1">
        <f t="shared" si="11"/>
        <v>3674.9827759999998</v>
      </c>
    </row>
    <row r="261" spans="1:12" x14ac:dyDescent="0.35">
      <c r="A261" s="1">
        <v>1259</v>
      </c>
      <c r="B261" s="2">
        <v>44840</v>
      </c>
      <c r="C261" s="1" t="s">
        <v>21</v>
      </c>
      <c r="D261" s="1" t="s">
        <v>11</v>
      </c>
      <c r="E261" s="1" t="s">
        <v>12</v>
      </c>
      <c r="F261" s="1">
        <v>1970.21</v>
      </c>
      <c r="G261" s="1" t="s">
        <v>222</v>
      </c>
      <c r="H261" s="2">
        <v>28619</v>
      </c>
      <c r="I261" s="2">
        <v>44850</v>
      </c>
      <c r="J261" s="1">
        <v>11.03</v>
      </c>
      <c r="K261" s="1">
        <f t="shared" si="10"/>
        <v>217.31416300000001</v>
      </c>
      <c r="L261" s="1">
        <f t="shared" si="11"/>
        <v>1752.895837</v>
      </c>
    </row>
    <row r="262" spans="1:12" x14ac:dyDescent="0.35">
      <c r="A262" s="1">
        <v>1260</v>
      </c>
      <c r="B262" s="2">
        <v>44890</v>
      </c>
      <c r="C262" s="1" t="s">
        <v>35</v>
      </c>
      <c r="D262" s="1" t="s">
        <v>73</v>
      </c>
      <c r="E262" s="1" t="s">
        <v>28</v>
      </c>
      <c r="F262" s="1">
        <v>4251.99</v>
      </c>
      <c r="G262" s="1" t="s">
        <v>186</v>
      </c>
      <c r="H262" s="2">
        <v>39193</v>
      </c>
      <c r="I262" s="2">
        <v>44903</v>
      </c>
      <c r="J262" s="1">
        <v>34.770000000000003</v>
      </c>
      <c r="K262" s="1">
        <f t="shared" si="10"/>
        <v>1478.416923</v>
      </c>
      <c r="L262" s="1">
        <f t="shared" si="11"/>
        <v>2773.573077</v>
      </c>
    </row>
    <row r="263" spans="1:12" x14ac:dyDescent="0.35">
      <c r="A263" s="1">
        <v>1261</v>
      </c>
      <c r="B263" s="2">
        <v>44437</v>
      </c>
      <c r="C263" s="1" t="s">
        <v>21</v>
      </c>
      <c r="D263" s="1" t="s">
        <v>61</v>
      </c>
      <c r="E263" s="1" t="s">
        <v>19</v>
      </c>
      <c r="F263" s="1">
        <v>2814.81</v>
      </c>
      <c r="G263" s="1" t="s">
        <v>119</v>
      </c>
      <c r="H263" s="2">
        <v>34954</v>
      </c>
      <c r="I263" s="2">
        <v>44444</v>
      </c>
      <c r="J263" s="1">
        <v>36.85</v>
      </c>
      <c r="K263" s="1">
        <f t="shared" si="10"/>
        <v>1037.2574849999999</v>
      </c>
      <c r="L263" s="1">
        <f t="shared" si="11"/>
        <v>1777.5525150000001</v>
      </c>
    </row>
    <row r="264" spans="1:12" x14ac:dyDescent="0.35">
      <c r="A264" s="1">
        <v>1262</v>
      </c>
      <c r="B264" s="2">
        <v>45103</v>
      </c>
      <c r="C264" s="1" t="s">
        <v>10</v>
      </c>
      <c r="D264" s="1" t="s">
        <v>73</v>
      </c>
      <c r="E264" s="1" t="s">
        <v>28</v>
      </c>
      <c r="F264" s="1">
        <v>2491.4899999999998</v>
      </c>
      <c r="G264" s="1" t="s">
        <v>221</v>
      </c>
      <c r="H264" s="2">
        <v>35658</v>
      </c>
      <c r="I264" s="2">
        <v>45113</v>
      </c>
      <c r="J264" s="1">
        <v>21.1</v>
      </c>
      <c r="K264" s="1">
        <f t="shared" si="10"/>
        <v>525.70438999999999</v>
      </c>
      <c r="L264" s="1">
        <f t="shared" si="11"/>
        <v>1965.7856099999999</v>
      </c>
    </row>
    <row r="265" spans="1:12" x14ac:dyDescent="0.35">
      <c r="A265" s="1">
        <v>1263</v>
      </c>
      <c r="B265" s="2">
        <v>44413</v>
      </c>
      <c r="C265" s="1" t="s">
        <v>14</v>
      </c>
      <c r="D265" s="1" t="s">
        <v>18</v>
      </c>
      <c r="E265" s="1" t="s">
        <v>19</v>
      </c>
      <c r="F265" s="1">
        <v>3097.86</v>
      </c>
      <c r="G265" s="1" t="s">
        <v>145</v>
      </c>
      <c r="H265" s="2">
        <v>23470</v>
      </c>
      <c r="I265" s="2">
        <v>44419</v>
      </c>
      <c r="J265" s="1">
        <v>41.73</v>
      </c>
      <c r="K265" s="1">
        <f t="shared" si="10"/>
        <v>1292.7369779999999</v>
      </c>
      <c r="L265" s="1">
        <f t="shared" si="11"/>
        <v>1805.1230220000002</v>
      </c>
    </row>
    <row r="266" spans="1:12" x14ac:dyDescent="0.35">
      <c r="A266" s="1">
        <v>1264</v>
      </c>
      <c r="B266" s="2">
        <v>45805</v>
      </c>
      <c r="C266" s="1" t="s">
        <v>10</v>
      </c>
      <c r="D266" s="1" t="s">
        <v>38</v>
      </c>
      <c r="E266" s="1" t="s">
        <v>28</v>
      </c>
      <c r="F266" s="1">
        <v>762.49</v>
      </c>
      <c r="G266" s="1" t="s">
        <v>32</v>
      </c>
      <c r="H266" s="2">
        <v>27166</v>
      </c>
      <c r="I266" s="2">
        <v>45807</v>
      </c>
      <c r="J266" s="1">
        <v>16.559999999999999</v>
      </c>
      <c r="K266" s="1">
        <f t="shared" si="10"/>
        <v>126.268344</v>
      </c>
      <c r="L266" s="1">
        <f t="shared" si="11"/>
        <v>636.22165600000005</v>
      </c>
    </row>
    <row r="267" spans="1:12" x14ac:dyDescent="0.35">
      <c r="A267" s="1">
        <v>1265</v>
      </c>
      <c r="B267" s="2">
        <v>45103</v>
      </c>
      <c r="C267" s="1" t="s">
        <v>35</v>
      </c>
      <c r="D267" s="1" t="s">
        <v>61</v>
      </c>
      <c r="E267" s="1" t="s">
        <v>19</v>
      </c>
      <c r="F267" s="1">
        <v>3658.32</v>
      </c>
      <c r="G267" s="1" t="s">
        <v>63</v>
      </c>
      <c r="H267" s="2">
        <v>25430</v>
      </c>
      <c r="I267" s="2">
        <v>45116</v>
      </c>
      <c r="J267" s="1">
        <v>27.9</v>
      </c>
      <c r="K267" s="1">
        <f t="shared" si="10"/>
        <v>1020.6712799999999</v>
      </c>
      <c r="L267" s="1">
        <f t="shared" si="11"/>
        <v>2637.6487200000001</v>
      </c>
    </row>
    <row r="268" spans="1:12" x14ac:dyDescent="0.35">
      <c r="A268" s="1">
        <v>1266</v>
      </c>
      <c r="B268" s="2">
        <v>45878</v>
      </c>
      <c r="C268" s="1" t="s">
        <v>35</v>
      </c>
      <c r="D268" s="1" t="s">
        <v>33</v>
      </c>
      <c r="E268" s="1" t="s">
        <v>16</v>
      </c>
      <c r="F268" s="1">
        <v>4570.67</v>
      </c>
      <c r="G268" s="1" t="s">
        <v>223</v>
      </c>
      <c r="H268" s="2">
        <v>35407</v>
      </c>
      <c r="I268" s="2">
        <v>45880</v>
      </c>
      <c r="J268" s="1">
        <v>40.4</v>
      </c>
      <c r="K268" s="1">
        <f t="shared" si="10"/>
        <v>1846.5506799999998</v>
      </c>
      <c r="L268" s="1">
        <f t="shared" si="11"/>
        <v>2724.1193200000002</v>
      </c>
    </row>
    <row r="269" spans="1:12" x14ac:dyDescent="0.35">
      <c r="A269" s="1">
        <v>1267</v>
      </c>
      <c r="B269" s="2">
        <v>44454</v>
      </c>
      <c r="C269" s="1" t="s">
        <v>26</v>
      </c>
      <c r="D269" s="1" t="s">
        <v>36</v>
      </c>
      <c r="E269" s="1" t="s">
        <v>28</v>
      </c>
      <c r="F269" s="1">
        <v>175.11</v>
      </c>
      <c r="G269" s="1" t="s">
        <v>224</v>
      </c>
      <c r="H269" s="2">
        <v>35405</v>
      </c>
      <c r="I269" s="2">
        <v>44461</v>
      </c>
      <c r="J269" s="1">
        <v>23.84</v>
      </c>
      <c r="K269" s="1">
        <f t="shared" si="10"/>
        <v>41.746224000000005</v>
      </c>
      <c r="L269" s="1">
        <f t="shared" si="11"/>
        <v>133.363776</v>
      </c>
    </row>
    <row r="270" spans="1:12" x14ac:dyDescent="0.35">
      <c r="A270" s="1">
        <v>1268</v>
      </c>
      <c r="B270" s="2">
        <v>44776</v>
      </c>
      <c r="C270" s="1" t="s">
        <v>10</v>
      </c>
      <c r="D270" s="1" t="s">
        <v>69</v>
      </c>
      <c r="E270" s="1" t="s">
        <v>12</v>
      </c>
      <c r="F270" s="1">
        <v>1206.06</v>
      </c>
      <c r="G270" s="1" t="s">
        <v>32</v>
      </c>
      <c r="H270" s="2">
        <v>27166</v>
      </c>
      <c r="I270" s="2">
        <v>44782</v>
      </c>
      <c r="J270" s="1">
        <v>10.39</v>
      </c>
      <c r="K270" s="1">
        <f t="shared" si="10"/>
        <v>125.309634</v>
      </c>
      <c r="L270" s="1">
        <f t="shared" si="11"/>
        <v>1080.750366</v>
      </c>
    </row>
    <row r="271" spans="1:12" x14ac:dyDescent="0.35">
      <c r="A271" s="1">
        <v>1269</v>
      </c>
      <c r="B271" s="2">
        <v>44135</v>
      </c>
      <c r="C271" s="1" t="s">
        <v>26</v>
      </c>
      <c r="D271" s="1" t="s">
        <v>65</v>
      </c>
      <c r="E271" s="1" t="s">
        <v>19</v>
      </c>
      <c r="F271" s="1">
        <v>800.68</v>
      </c>
      <c r="G271" s="1" t="s">
        <v>129</v>
      </c>
      <c r="H271" s="2">
        <v>26668</v>
      </c>
      <c r="I271" s="2">
        <v>44142</v>
      </c>
      <c r="J271" s="1">
        <v>13.26</v>
      </c>
      <c r="K271" s="1">
        <f t="shared" si="10"/>
        <v>106.17016799999999</v>
      </c>
      <c r="L271" s="1">
        <f t="shared" si="11"/>
        <v>694.50983199999996</v>
      </c>
    </row>
    <row r="272" spans="1:12" x14ac:dyDescent="0.35">
      <c r="A272" s="1">
        <v>1270</v>
      </c>
      <c r="B272" s="2">
        <v>44757</v>
      </c>
      <c r="C272" s="1" t="s">
        <v>35</v>
      </c>
      <c r="D272" s="1" t="s">
        <v>36</v>
      </c>
      <c r="E272" s="1" t="s">
        <v>28</v>
      </c>
      <c r="F272" s="1">
        <v>1878.78</v>
      </c>
      <c r="G272" s="1" t="s">
        <v>46</v>
      </c>
      <c r="H272" s="2">
        <v>24670</v>
      </c>
      <c r="I272" s="2">
        <v>44766</v>
      </c>
      <c r="J272" s="1">
        <v>1.81</v>
      </c>
      <c r="K272" s="1">
        <f t="shared" si="10"/>
        <v>34.005918000000001</v>
      </c>
      <c r="L272" s="1">
        <f t="shared" si="11"/>
        <v>1844.7740819999999</v>
      </c>
    </row>
    <row r="273" spans="1:12" x14ac:dyDescent="0.35">
      <c r="A273" s="1">
        <v>1271</v>
      </c>
      <c r="B273" s="2">
        <v>45831</v>
      </c>
      <c r="C273" s="1" t="s">
        <v>14</v>
      </c>
      <c r="D273" s="1" t="s">
        <v>30</v>
      </c>
      <c r="E273" s="1" t="s">
        <v>31</v>
      </c>
      <c r="F273" s="1">
        <v>854.3</v>
      </c>
      <c r="G273" s="1" t="s">
        <v>225</v>
      </c>
      <c r="H273" s="2">
        <v>27641</v>
      </c>
      <c r="I273" s="2">
        <v>45844</v>
      </c>
      <c r="J273" s="1">
        <v>34.979999999999997</v>
      </c>
      <c r="K273" s="1">
        <f t="shared" si="10"/>
        <v>298.83413999999993</v>
      </c>
      <c r="L273" s="1">
        <f t="shared" si="11"/>
        <v>555.46586000000002</v>
      </c>
    </row>
    <row r="274" spans="1:12" x14ac:dyDescent="0.35">
      <c r="A274" s="1">
        <v>1272</v>
      </c>
      <c r="B274" s="2">
        <v>45875</v>
      </c>
      <c r="C274" s="1" t="s">
        <v>14</v>
      </c>
      <c r="D274" s="1" t="s">
        <v>47</v>
      </c>
      <c r="E274" s="1" t="s">
        <v>12</v>
      </c>
      <c r="F274" s="1">
        <v>3347.21</v>
      </c>
      <c r="G274" s="1" t="s">
        <v>67</v>
      </c>
      <c r="H274" s="2">
        <v>34016</v>
      </c>
      <c r="I274" s="2">
        <v>45880</v>
      </c>
      <c r="J274" s="1">
        <v>41.7</v>
      </c>
      <c r="K274" s="1">
        <f t="shared" si="10"/>
        <v>1395.7865700000002</v>
      </c>
      <c r="L274" s="1">
        <f t="shared" si="11"/>
        <v>1951.4234299999998</v>
      </c>
    </row>
    <row r="275" spans="1:12" x14ac:dyDescent="0.35">
      <c r="A275" s="1">
        <v>1273</v>
      </c>
      <c r="B275" s="2">
        <v>45857</v>
      </c>
      <c r="C275" s="1" t="s">
        <v>26</v>
      </c>
      <c r="D275" s="1" t="s">
        <v>53</v>
      </c>
      <c r="E275" s="1" t="s">
        <v>28</v>
      </c>
      <c r="F275" s="1">
        <v>2890.65</v>
      </c>
      <c r="G275" s="1" t="s">
        <v>226</v>
      </c>
      <c r="H275" s="2">
        <v>33332</v>
      </c>
      <c r="I275" s="2">
        <v>45868</v>
      </c>
      <c r="J275" s="1">
        <v>27.79</v>
      </c>
      <c r="K275" s="1">
        <f t="shared" si="10"/>
        <v>803.31163500000002</v>
      </c>
      <c r="L275" s="1">
        <f t="shared" si="11"/>
        <v>2087.3383650000001</v>
      </c>
    </row>
    <row r="276" spans="1:12" x14ac:dyDescent="0.35">
      <c r="A276" s="1">
        <v>1274</v>
      </c>
      <c r="B276" s="2">
        <v>45696</v>
      </c>
      <c r="C276" s="1" t="s">
        <v>26</v>
      </c>
      <c r="D276" s="1" t="s">
        <v>49</v>
      </c>
      <c r="E276" s="1" t="s">
        <v>12</v>
      </c>
      <c r="F276" s="1">
        <v>3258.98</v>
      </c>
      <c r="G276" s="1" t="s">
        <v>227</v>
      </c>
      <c r="H276" s="2">
        <v>34932</v>
      </c>
      <c r="I276" s="2">
        <v>45701</v>
      </c>
      <c r="J276" s="1">
        <v>15.98</v>
      </c>
      <c r="K276" s="1">
        <f t="shared" si="10"/>
        <v>520.78500399999996</v>
      </c>
      <c r="L276" s="1">
        <f t="shared" si="11"/>
        <v>2738.1949960000002</v>
      </c>
    </row>
    <row r="277" spans="1:12" x14ac:dyDescent="0.35">
      <c r="A277" s="1">
        <v>1275</v>
      </c>
      <c r="B277" s="2">
        <v>45724</v>
      </c>
      <c r="C277" s="1" t="s">
        <v>10</v>
      </c>
      <c r="D277" s="1" t="s">
        <v>49</v>
      </c>
      <c r="E277" s="1" t="s">
        <v>12</v>
      </c>
      <c r="F277" s="1">
        <v>2674.72</v>
      </c>
      <c r="G277" s="1" t="s">
        <v>90</v>
      </c>
      <c r="H277" s="2">
        <v>29348</v>
      </c>
      <c r="I277" s="2">
        <v>45730</v>
      </c>
      <c r="J277" s="1">
        <v>41</v>
      </c>
      <c r="K277" s="1">
        <f t="shared" si="10"/>
        <v>1096.6351999999999</v>
      </c>
      <c r="L277" s="1">
        <f t="shared" si="11"/>
        <v>1578.0847999999999</v>
      </c>
    </row>
    <row r="278" spans="1:12" x14ac:dyDescent="0.35">
      <c r="A278" s="1">
        <v>1276</v>
      </c>
      <c r="B278" s="2">
        <v>45664</v>
      </c>
      <c r="C278" s="1" t="s">
        <v>35</v>
      </c>
      <c r="D278" s="1" t="s">
        <v>47</v>
      </c>
      <c r="E278" s="1" t="s">
        <v>12</v>
      </c>
      <c r="F278" s="1">
        <v>2605.23</v>
      </c>
      <c r="G278" s="1" t="s">
        <v>228</v>
      </c>
      <c r="H278" s="2">
        <v>25811</v>
      </c>
      <c r="I278" s="2">
        <v>45671</v>
      </c>
      <c r="J278" s="1">
        <v>38.31</v>
      </c>
      <c r="K278" s="1">
        <f t="shared" si="10"/>
        <v>998.06361300000003</v>
      </c>
      <c r="L278" s="1">
        <f t="shared" si="11"/>
        <v>1607.166387</v>
      </c>
    </row>
    <row r="279" spans="1:12" x14ac:dyDescent="0.35">
      <c r="A279" s="1">
        <v>1277</v>
      </c>
      <c r="B279" s="2">
        <v>44414</v>
      </c>
      <c r="C279" s="1" t="s">
        <v>10</v>
      </c>
      <c r="D279" s="1" t="s">
        <v>38</v>
      </c>
      <c r="E279" s="1" t="s">
        <v>28</v>
      </c>
      <c r="F279" s="1">
        <v>1138.02</v>
      </c>
      <c r="G279" s="1" t="s">
        <v>212</v>
      </c>
      <c r="H279" s="2">
        <v>23674</v>
      </c>
      <c r="I279" s="2">
        <v>44426</v>
      </c>
      <c r="J279" s="1">
        <v>44.7</v>
      </c>
      <c r="K279" s="1">
        <f t="shared" si="10"/>
        <v>508.69493999999997</v>
      </c>
      <c r="L279" s="1">
        <f t="shared" si="11"/>
        <v>629.32506000000001</v>
      </c>
    </row>
    <row r="280" spans="1:12" x14ac:dyDescent="0.35">
      <c r="A280" s="1">
        <v>1278</v>
      </c>
      <c r="B280" s="2">
        <v>45112</v>
      </c>
      <c r="C280" s="1" t="s">
        <v>14</v>
      </c>
      <c r="D280" s="1" t="s">
        <v>15</v>
      </c>
      <c r="E280" s="1" t="s">
        <v>16</v>
      </c>
      <c r="F280" s="1">
        <v>1792.81</v>
      </c>
      <c r="G280" s="1" t="s">
        <v>229</v>
      </c>
      <c r="H280" s="2">
        <v>37783</v>
      </c>
      <c r="I280" s="2">
        <v>45114</v>
      </c>
      <c r="J280" s="1">
        <v>0.96</v>
      </c>
      <c r="K280" s="1">
        <f t="shared" si="10"/>
        <v>17.210975999999999</v>
      </c>
      <c r="L280" s="1">
        <f t="shared" si="11"/>
        <v>1775.5990239999999</v>
      </c>
    </row>
    <row r="281" spans="1:12" x14ac:dyDescent="0.35">
      <c r="A281" s="1">
        <v>1279</v>
      </c>
      <c r="B281" s="2">
        <v>45807</v>
      </c>
      <c r="C281" s="1" t="s">
        <v>35</v>
      </c>
      <c r="D281" s="1" t="s">
        <v>24</v>
      </c>
      <c r="E281" s="1" t="s">
        <v>19</v>
      </c>
      <c r="F281" s="1">
        <v>281.86</v>
      </c>
      <c r="G281" s="1" t="s">
        <v>100</v>
      </c>
      <c r="H281" s="2">
        <v>22100</v>
      </c>
      <c r="I281" s="2">
        <v>45815</v>
      </c>
      <c r="J281" s="1">
        <v>40.89</v>
      </c>
      <c r="K281" s="1">
        <f t="shared" si="10"/>
        <v>115.252554</v>
      </c>
      <c r="L281" s="1">
        <f t="shared" si="11"/>
        <v>166.60744600000001</v>
      </c>
    </row>
    <row r="282" spans="1:12" x14ac:dyDescent="0.35">
      <c r="A282" s="1">
        <v>1280</v>
      </c>
      <c r="B282" s="2">
        <v>44353</v>
      </c>
      <c r="C282" s="1" t="s">
        <v>21</v>
      </c>
      <c r="D282" s="1" t="s">
        <v>53</v>
      </c>
      <c r="E282" s="1" t="s">
        <v>28</v>
      </c>
      <c r="F282" s="1">
        <v>926.55</v>
      </c>
      <c r="G282" s="1" t="s">
        <v>192</v>
      </c>
      <c r="H282" s="2">
        <v>33626</v>
      </c>
      <c r="I282" s="2">
        <v>44359</v>
      </c>
      <c r="J282" s="1">
        <v>6.59</v>
      </c>
      <c r="K282" s="1">
        <f t="shared" si="10"/>
        <v>61.059644999999996</v>
      </c>
      <c r="L282" s="1">
        <f t="shared" si="11"/>
        <v>865.49035499999991</v>
      </c>
    </row>
    <row r="283" spans="1:12" x14ac:dyDescent="0.35">
      <c r="A283" s="1">
        <v>1281</v>
      </c>
      <c r="B283" s="2">
        <v>44602</v>
      </c>
      <c r="C283" s="1" t="s">
        <v>35</v>
      </c>
      <c r="D283" s="1" t="s">
        <v>18</v>
      </c>
      <c r="E283" s="1" t="s">
        <v>19</v>
      </c>
      <c r="F283" s="1">
        <v>1739.97</v>
      </c>
      <c r="G283" s="1" t="s">
        <v>132</v>
      </c>
      <c r="H283" s="2">
        <v>34364</v>
      </c>
      <c r="I283" s="2">
        <v>44608</v>
      </c>
      <c r="J283" s="1">
        <v>37.43</v>
      </c>
      <c r="K283" s="1">
        <f t="shared" si="10"/>
        <v>651.27077100000008</v>
      </c>
      <c r="L283" s="1">
        <f t="shared" si="11"/>
        <v>1088.6992289999998</v>
      </c>
    </row>
    <row r="284" spans="1:12" x14ac:dyDescent="0.35">
      <c r="A284" s="1">
        <v>1282</v>
      </c>
      <c r="B284" s="2">
        <v>45045</v>
      </c>
      <c r="C284" s="1" t="s">
        <v>35</v>
      </c>
      <c r="D284" s="1" t="s">
        <v>65</v>
      </c>
      <c r="E284" s="1" t="s">
        <v>19</v>
      </c>
      <c r="F284" s="1">
        <v>1567.53</v>
      </c>
      <c r="G284" s="1" t="s">
        <v>148</v>
      </c>
      <c r="H284" s="2">
        <v>22007</v>
      </c>
      <c r="I284" s="2">
        <v>45049</v>
      </c>
      <c r="J284" s="1">
        <v>49</v>
      </c>
      <c r="K284" s="1">
        <f t="shared" si="10"/>
        <v>768.08969999999999</v>
      </c>
      <c r="L284" s="1">
        <f t="shared" si="11"/>
        <v>799.44029999999998</v>
      </c>
    </row>
    <row r="285" spans="1:12" x14ac:dyDescent="0.35">
      <c r="A285" s="1">
        <v>1283</v>
      </c>
      <c r="B285" s="2">
        <v>45017</v>
      </c>
      <c r="C285" s="1" t="s">
        <v>26</v>
      </c>
      <c r="D285" s="1" t="s">
        <v>33</v>
      </c>
      <c r="E285" s="1" t="s">
        <v>16</v>
      </c>
      <c r="F285" s="1">
        <v>1815.01</v>
      </c>
      <c r="G285" s="1" t="s">
        <v>142</v>
      </c>
      <c r="H285" s="2">
        <v>29541</v>
      </c>
      <c r="I285" s="2">
        <v>45031</v>
      </c>
      <c r="J285" s="1">
        <v>30.87</v>
      </c>
      <c r="K285" s="1">
        <f t="shared" si="10"/>
        <v>560.293587</v>
      </c>
      <c r="L285" s="1">
        <f t="shared" si="11"/>
        <v>1254.7164130000001</v>
      </c>
    </row>
    <row r="286" spans="1:12" x14ac:dyDescent="0.35">
      <c r="A286" s="1">
        <v>1284</v>
      </c>
      <c r="B286" s="2">
        <v>45082</v>
      </c>
      <c r="C286" s="1" t="s">
        <v>10</v>
      </c>
      <c r="D286" s="1" t="s">
        <v>102</v>
      </c>
      <c r="E286" s="1" t="s">
        <v>12</v>
      </c>
      <c r="F286" s="1">
        <v>3756.55</v>
      </c>
      <c r="G286" s="1" t="s">
        <v>120</v>
      </c>
      <c r="H286" s="2">
        <v>30820</v>
      </c>
      <c r="I286" s="2">
        <v>45088</v>
      </c>
      <c r="J286" s="1">
        <v>23.22</v>
      </c>
      <c r="K286" s="1">
        <f t="shared" si="10"/>
        <v>872.27090999999996</v>
      </c>
      <c r="L286" s="1">
        <f t="shared" si="11"/>
        <v>2884.27909</v>
      </c>
    </row>
    <row r="287" spans="1:12" x14ac:dyDescent="0.35">
      <c r="A287" s="1">
        <v>1285</v>
      </c>
      <c r="B287" s="2">
        <v>45807</v>
      </c>
      <c r="C287" s="1" t="s">
        <v>26</v>
      </c>
      <c r="D287" s="1" t="s">
        <v>22</v>
      </c>
      <c r="E287" s="1" t="s">
        <v>19</v>
      </c>
      <c r="F287" s="1">
        <v>1008.01</v>
      </c>
      <c r="G287" s="1" t="s">
        <v>230</v>
      </c>
      <c r="H287" s="2">
        <v>35642</v>
      </c>
      <c r="I287" s="2">
        <v>45812</v>
      </c>
      <c r="J287" s="1">
        <v>47.76</v>
      </c>
      <c r="K287" s="1">
        <f t="shared" si="10"/>
        <v>481.42557599999998</v>
      </c>
      <c r="L287" s="1">
        <f t="shared" si="11"/>
        <v>526.58442400000001</v>
      </c>
    </row>
    <row r="288" spans="1:12" x14ac:dyDescent="0.35">
      <c r="A288" s="1">
        <v>1286</v>
      </c>
      <c r="B288" s="2">
        <v>45456</v>
      </c>
      <c r="C288" s="1" t="s">
        <v>35</v>
      </c>
      <c r="D288" s="1" t="s">
        <v>69</v>
      </c>
      <c r="E288" s="1" t="s">
        <v>31</v>
      </c>
      <c r="F288" s="1">
        <v>2518.66</v>
      </c>
      <c r="G288" s="1" t="s">
        <v>231</v>
      </c>
      <c r="H288" s="2">
        <v>32047</v>
      </c>
      <c r="I288" s="2">
        <v>45468</v>
      </c>
      <c r="J288" s="1">
        <v>37.5</v>
      </c>
      <c r="K288" s="1">
        <f t="shared" si="10"/>
        <v>944.49749999999995</v>
      </c>
      <c r="L288" s="1">
        <f t="shared" si="11"/>
        <v>1574.1624999999999</v>
      </c>
    </row>
    <row r="289" spans="1:12" x14ac:dyDescent="0.35">
      <c r="A289" s="1">
        <v>1287</v>
      </c>
      <c r="B289" s="2">
        <v>44150</v>
      </c>
      <c r="C289" s="1" t="s">
        <v>35</v>
      </c>
      <c r="D289" s="1" t="s">
        <v>15</v>
      </c>
      <c r="E289" s="1" t="s">
        <v>16</v>
      </c>
      <c r="F289" s="1">
        <v>791.54</v>
      </c>
      <c r="G289" s="1" t="s">
        <v>232</v>
      </c>
      <c r="H289" s="2">
        <v>37913</v>
      </c>
      <c r="I289" s="2">
        <v>44160</v>
      </c>
      <c r="J289" s="1">
        <v>1.71</v>
      </c>
      <c r="K289" s="1">
        <f t="shared" si="10"/>
        <v>13.535334000000001</v>
      </c>
      <c r="L289" s="1">
        <f t="shared" si="11"/>
        <v>778.00466599999993</v>
      </c>
    </row>
    <row r="290" spans="1:12" x14ac:dyDescent="0.35">
      <c r="A290" s="1">
        <v>1288</v>
      </c>
      <c r="B290" s="2">
        <v>44486</v>
      </c>
      <c r="C290" s="1" t="s">
        <v>10</v>
      </c>
      <c r="D290" s="1" t="s">
        <v>27</v>
      </c>
      <c r="E290" s="1" t="s">
        <v>28</v>
      </c>
      <c r="F290" s="1">
        <v>2583.3000000000002</v>
      </c>
      <c r="G290" s="1" t="s">
        <v>213</v>
      </c>
      <c r="H290" s="2">
        <v>34345</v>
      </c>
      <c r="I290" s="2">
        <v>44493</v>
      </c>
      <c r="J290" s="1">
        <v>25.43</v>
      </c>
      <c r="K290" s="1">
        <f t="shared" si="10"/>
        <v>656.93318999999997</v>
      </c>
      <c r="L290" s="1">
        <f t="shared" si="11"/>
        <v>1926.3668100000002</v>
      </c>
    </row>
    <row r="291" spans="1:12" x14ac:dyDescent="0.35">
      <c r="A291" s="1">
        <v>1289</v>
      </c>
      <c r="B291" s="2">
        <v>44768</v>
      </c>
      <c r="C291" s="1" t="s">
        <v>21</v>
      </c>
      <c r="D291" s="1" t="s">
        <v>53</v>
      </c>
      <c r="E291" s="1" t="s">
        <v>28</v>
      </c>
      <c r="F291" s="1">
        <v>746.65</v>
      </c>
      <c r="G291" s="1" t="s">
        <v>129</v>
      </c>
      <c r="H291" s="2">
        <v>25933</v>
      </c>
      <c r="I291" s="2">
        <v>44773</v>
      </c>
      <c r="J291" s="1">
        <v>22.2</v>
      </c>
      <c r="K291" s="1">
        <f t="shared" si="10"/>
        <v>165.75630000000001</v>
      </c>
      <c r="L291" s="1">
        <f t="shared" si="11"/>
        <v>580.89369999999997</v>
      </c>
    </row>
    <row r="292" spans="1:12" x14ac:dyDescent="0.35">
      <c r="A292" s="1">
        <v>1290</v>
      </c>
      <c r="B292" s="2">
        <v>44419</v>
      </c>
      <c r="C292" s="1" t="s">
        <v>35</v>
      </c>
      <c r="D292" s="1" t="s">
        <v>58</v>
      </c>
      <c r="E292" s="1" t="s">
        <v>31</v>
      </c>
      <c r="F292" s="1">
        <v>3547.69</v>
      </c>
      <c r="G292" s="1" t="s">
        <v>90</v>
      </c>
      <c r="H292" s="2">
        <v>29348</v>
      </c>
      <c r="I292" s="2">
        <v>44423</v>
      </c>
      <c r="J292" s="1">
        <v>29.29</v>
      </c>
      <c r="K292" s="1">
        <f t="shared" si="10"/>
        <v>1039.1184009999999</v>
      </c>
      <c r="L292" s="1">
        <f t="shared" si="11"/>
        <v>2508.5715989999999</v>
      </c>
    </row>
    <row r="293" spans="1:12" x14ac:dyDescent="0.35">
      <c r="A293" s="1">
        <v>1291</v>
      </c>
      <c r="B293" s="2">
        <v>44229</v>
      </c>
      <c r="C293" s="1" t="s">
        <v>14</v>
      </c>
      <c r="D293" s="1" t="s">
        <v>47</v>
      </c>
      <c r="E293" s="1" t="s">
        <v>12</v>
      </c>
      <c r="F293" s="1">
        <v>3240.37</v>
      </c>
      <c r="G293" s="1" t="s">
        <v>233</v>
      </c>
      <c r="H293" s="2">
        <v>38826</v>
      </c>
      <c r="I293" s="2">
        <v>44235</v>
      </c>
      <c r="J293" s="1">
        <v>27.44</v>
      </c>
      <c r="K293" s="1">
        <f t="shared" si="10"/>
        <v>889.15752800000007</v>
      </c>
      <c r="L293" s="1">
        <f t="shared" si="11"/>
        <v>2351.2124719999997</v>
      </c>
    </row>
    <row r="294" spans="1:12" x14ac:dyDescent="0.35">
      <c r="A294" s="1">
        <v>1292</v>
      </c>
      <c r="B294" s="2">
        <v>45799</v>
      </c>
      <c r="C294" s="1" t="s">
        <v>10</v>
      </c>
      <c r="D294" s="1" t="s">
        <v>69</v>
      </c>
      <c r="E294" s="1" t="s">
        <v>12</v>
      </c>
      <c r="F294" s="1">
        <v>1365.32</v>
      </c>
      <c r="G294" s="1" t="s">
        <v>217</v>
      </c>
      <c r="H294" s="2">
        <v>36951</v>
      </c>
      <c r="I294" s="2">
        <v>45803</v>
      </c>
      <c r="J294" s="1">
        <v>19.55</v>
      </c>
      <c r="K294" s="1">
        <f t="shared" si="10"/>
        <v>266.92005999999998</v>
      </c>
      <c r="L294" s="1">
        <f t="shared" si="11"/>
        <v>1098.39994</v>
      </c>
    </row>
    <row r="295" spans="1:12" x14ac:dyDescent="0.35">
      <c r="A295" s="1">
        <v>1293</v>
      </c>
      <c r="B295" s="2">
        <v>45221</v>
      </c>
      <c r="C295" s="1" t="s">
        <v>14</v>
      </c>
      <c r="D295" s="1" t="s">
        <v>49</v>
      </c>
      <c r="E295" s="1" t="s">
        <v>12</v>
      </c>
      <c r="F295" s="1">
        <v>1475.57</v>
      </c>
      <c r="G295" s="1" t="s">
        <v>178</v>
      </c>
      <c r="H295" s="2">
        <v>23890</v>
      </c>
      <c r="I295" s="2">
        <v>45229</v>
      </c>
      <c r="J295" s="1">
        <v>32.5</v>
      </c>
      <c r="K295" s="1">
        <f t="shared" si="10"/>
        <v>479.56025</v>
      </c>
      <c r="L295" s="1">
        <f t="shared" si="11"/>
        <v>996.00974999999994</v>
      </c>
    </row>
    <row r="296" spans="1:12" x14ac:dyDescent="0.35">
      <c r="A296" s="1">
        <v>1294</v>
      </c>
      <c r="B296" s="2">
        <v>45335</v>
      </c>
      <c r="C296" s="1" t="s">
        <v>14</v>
      </c>
      <c r="D296" s="1" t="s">
        <v>30</v>
      </c>
      <c r="E296" s="1" t="s">
        <v>31</v>
      </c>
      <c r="F296" s="1">
        <v>714.22</v>
      </c>
      <c r="G296" s="1" t="s">
        <v>234</v>
      </c>
      <c r="H296" s="2">
        <v>24368</v>
      </c>
      <c r="I296" s="2">
        <v>45340</v>
      </c>
      <c r="J296" s="1">
        <v>40.56</v>
      </c>
      <c r="K296" s="1">
        <f t="shared" si="10"/>
        <v>289.68763200000001</v>
      </c>
      <c r="L296" s="1">
        <f t="shared" si="11"/>
        <v>424.53236800000002</v>
      </c>
    </row>
    <row r="297" spans="1:12" x14ac:dyDescent="0.35">
      <c r="A297" s="1">
        <v>1295</v>
      </c>
      <c r="B297" s="2">
        <v>45791</v>
      </c>
      <c r="C297" s="1" t="s">
        <v>35</v>
      </c>
      <c r="D297" s="1" t="s">
        <v>11</v>
      </c>
      <c r="E297" s="1" t="s">
        <v>12</v>
      </c>
      <c r="F297" s="1">
        <v>2154.89</v>
      </c>
      <c r="G297" s="1" t="s">
        <v>50</v>
      </c>
      <c r="H297" s="2">
        <v>22594</v>
      </c>
      <c r="I297" s="2">
        <v>45792</v>
      </c>
      <c r="J297" s="1">
        <v>25</v>
      </c>
      <c r="K297" s="1">
        <f t="shared" si="10"/>
        <v>538.72249999999997</v>
      </c>
      <c r="L297" s="1">
        <f t="shared" si="11"/>
        <v>1616.1675</v>
      </c>
    </row>
    <row r="298" spans="1:12" x14ac:dyDescent="0.35">
      <c r="A298" s="1">
        <v>1296</v>
      </c>
      <c r="B298" s="2">
        <v>45625</v>
      </c>
      <c r="C298" s="1" t="s">
        <v>21</v>
      </c>
      <c r="D298" s="1" t="s">
        <v>44</v>
      </c>
      <c r="E298" s="1" t="s">
        <v>16</v>
      </c>
      <c r="F298" s="1">
        <v>4002.12</v>
      </c>
      <c r="G298" s="1" t="s">
        <v>178</v>
      </c>
      <c r="H298" s="2">
        <v>23890</v>
      </c>
      <c r="I298" s="2">
        <v>45633</v>
      </c>
      <c r="J298" s="1">
        <v>46.69</v>
      </c>
      <c r="K298" s="1">
        <f t="shared" si="10"/>
        <v>1868.5898279999999</v>
      </c>
      <c r="L298" s="1">
        <f t="shared" si="11"/>
        <v>2133.5301719999998</v>
      </c>
    </row>
    <row r="299" spans="1:12" x14ac:dyDescent="0.35">
      <c r="A299" s="1">
        <v>1297</v>
      </c>
      <c r="B299" s="2">
        <v>44703</v>
      </c>
      <c r="C299" s="1" t="s">
        <v>26</v>
      </c>
      <c r="D299" s="1" t="s">
        <v>22</v>
      </c>
      <c r="E299" s="1" t="s">
        <v>19</v>
      </c>
      <c r="F299" s="1">
        <v>3838.33</v>
      </c>
      <c r="G299" s="1" t="s">
        <v>210</v>
      </c>
      <c r="H299" s="2">
        <v>27550</v>
      </c>
      <c r="I299" s="2">
        <v>44713</v>
      </c>
      <c r="J299" s="1">
        <v>24.79</v>
      </c>
      <c r="K299" s="1">
        <f t="shared" si="10"/>
        <v>951.52200699999992</v>
      </c>
      <c r="L299" s="1">
        <f t="shared" si="11"/>
        <v>2886.8079929999999</v>
      </c>
    </row>
    <row r="300" spans="1:12" x14ac:dyDescent="0.35">
      <c r="A300" s="1">
        <v>1298</v>
      </c>
      <c r="B300" s="2">
        <v>45461</v>
      </c>
      <c r="C300" s="1" t="s">
        <v>35</v>
      </c>
      <c r="D300" s="1" t="s">
        <v>33</v>
      </c>
      <c r="E300" s="1" t="s">
        <v>16</v>
      </c>
      <c r="F300" s="1">
        <v>828.96</v>
      </c>
      <c r="G300" s="1" t="s">
        <v>235</v>
      </c>
      <c r="H300" s="2">
        <v>36760</v>
      </c>
      <c r="I300" s="2">
        <v>45462</v>
      </c>
      <c r="J300" s="1">
        <v>40.68</v>
      </c>
      <c r="K300" s="1">
        <f t="shared" si="10"/>
        <v>337.22092800000001</v>
      </c>
      <c r="L300" s="1">
        <f t="shared" si="11"/>
        <v>491.73907200000002</v>
      </c>
    </row>
    <row r="301" spans="1:12" x14ac:dyDescent="0.35">
      <c r="A301" s="1">
        <v>1299</v>
      </c>
      <c r="B301" s="2">
        <v>44819</v>
      </c>
      <c r="C301" s="1" t="s">
        <v>10</v>
      </c>
      <c r="D301" s="1" t="s">
        <v>38</v>
      </c>
      <c r="E301" s="1" t="s">
        <v>28</v>
      </c>
      <c r="F301" s="1">
        <v>2757.73</v>
      </c>
      <c r="G301" s="1" t="s">
        <v>152</v>
      </c>
      <c r="H301" s="2">
        <v>24792</v>
      </c>
      <c r="I301" s="2">
        <v>44829</v>
      </c>
      <c r="J301" s="1">
        <v>21.95</v>
      </c>
      <c r="K301" s="1">
        <f t="shared" si="10"/>
        <v>605.32173499999999</v>
      </c>
      <c r="L301" s="1">
        <f t="shared" si="11"/>
        <v>2152.408265</v>
      </c>
    </row>
    <row r="302" spans="1:12" x14ac:dyDescent="0.35">
      <c r="A302" s="1">
        <v>1300</v>
      </c>
      <c r="B302" s="2">
        <v>45780</v>
      </c>
      <c r="C302" s="1" t="s">
        <v>35</v>
      </c>
      <c r="D302" s="1" t="s">
        <v>36</v>
      </c>
      <c r="E302" s="1" t="s">
        <v>28</v>
      </c>
      <c r="F302" s="1">
        <v>4519.3100000000004</v>
      </c>
      <c r="G302" s="1" t="s">
        <v>154</v>
      </c>
      <c r="H302" s="2">
        <v>32146</v>
      </c>
      <c r="I302" s="2">
        <v>45791</v>
      </c>
      <c r="J302" s="1">
        <v>34.9</v>
      </c>
      <c r="K302" s="1">
        <f t="shared" si="10"/>
        <v>1577.23919</v>
      </c>
      <c r="L302" s="1">
        <f t="shared" si="11"/>
        <v>2942.0708100000002</v>
      </c>
    </row>
    <row r="303" spans="1:12" x14ac:dyDescent="0.35">
      <c r="A303" s="1">
        <v>1301</v>
      </c>
      <c r="B303" s="2">
        <v>45060</v>
      </c>
      <c r="C303" s="1" t="s">
        <v>14</v>
      </c>
      <c r="D303" s="1" t="s">
        <v>33</v>
      </c>
      <c r="E303" s="1" t="s">
        <v>16</v>
      </c>
      <c r="F303" s="1">
        <v>2137.69</v>
      </c>
      <c r="G303" s="1" t="s">
        <v>236</v>
      </c>
      <c r="H303" s="2">
        <v>36099</v>
      </c>
      <c r="I303" s="2">
        <v>45074</v>
      </c>
      <c r="J303" s="1">
        <v>25.33</v>
      </c>
      <c r="K303" s="1">
        <f t="shared" si="10"/>
        <v>541.47687699999994</v>
      </c>
      <c r="L303" s="1">
        <f t="shared" si="11"/>
        <v>1596.213123</v>
      </c>
    </row>
    <row r="304" spans="1:12" x14ac:dyDescent="0.35">
      <c r="A304" s="1">
        <v>1302</v>
      </c>
      <c r="B304" s="2">
        <v>44344</v>
      </c>
      <c r="C304" s="1" t="s">
        <v>10</v>
      </c>
      <c r="D304" s="1" t="s">
        <v>73</v>
      </c>
      <c r="E304" s="1" t="s">
        <v>28</v>
      </c>
      <c r="F304" s="1">
        <v>3401.09</v>
      </c>
      <c r="G304" s="1" t="s">
        <v>113</v>
      </c>
      <c r="H304" s="2">
        <v>25579</v>
      </c>
      <c r="I304" s="2">
        <v>44348</v>
      </c>
      <c r="J304" s="1">
        <v>29.35</v>
      </c>
      <c r="K304" s="1">
        <f t="shared" si="10"/>
        <v>998.21991500000013</v>
      </c>
      <c r="L304" s="1">
        <f t="shared" si="11"/>
        <v>2402.870085</v>
      </c>
    </row>
    <row r="305" spans="1:12" x14ac:dyDescent="0.35">
      <c r="A305" s="1">
        <v>1303</v>
      </c>
      <c r="B305" s="2">
        <v>44677</v>
      </c>
      <c r="C305" s="1" t="s">
        <v>26</v>
      </c>
      <c r="D305" s="1" t="s">
        <v>61</v>
      </c>
      <c r="E305" s="1" t="s">
        <v>19</v>
      </c>
      <c r="F305" s="1">
        <v>3673.8</v>
      </c>
      <c r="G305" s="1" t="s">
        <v>25</v>
      </c>
      <c r="H305" s="2">
        <v>33386</v>
      </c>
      <c r="I305" s="2">
        <v>44688</v>
      </c>
      <c r="J305" s="1">
        <v>22.63</v>
      </c>
      <c r="K305" s="1">
        <f t="shared" si="10"/>
        <v>831.38094000000001</v>
      </c>
      <c r="L305" s="1">
        <f t="shared" si="11"/>
        <v>2842.4190600000002</v>
      </c>
    </row>
    <row r="306" spans="1:12" x14ac:dyDescent="0.35">
      <c r="A306" s="1">
        <v>1304</v>
      </c>
      <c r="B306" s="2">
        <v>44833</v>
      </c>
      <c r="C306" s="1" t="s">
        <v>21</v>
      </c>
      <c r="D306" s="1" t="s">
        <v>61</v>
      </c>
      <c r="E306" s="1" t="s">
        <v>19</v>
      </c>
      <c r="F306" s="1">
        <v>3544.31</v>
      </c>
      <c r="G306" s="1" t="s">
        <v>206</v>
      </c>
      <c r="H306" s="2">
        <v>34011</v>
      </c>
      <c r="I306" s="2">
        <v>44844</v>
      </c>
      <c r="J306" s="1">
        <v>26.92</v>
      </c>
      <c r="K306" s="1">
        <f t="shared" si="10"/>
        <v>954.12825199999997</v>
      </c>
      <c r="L306" s="1">
        <f t="shared" si="11"/>
        <v>2590.181748</v>
      </c>
    </row>
    <row r="307" spans="1:12" x14ac:dyDescent="0.35">
      <c r="A307" s="1">
        <v>1305</v>
      </c>
      <c r="B307" s="2">
        <v>45432</v>
      </c>
      <c r="C307" s="1" t="s">
        <v>35</v>
      </c>
      <c r="D307" s="1" t="s">
        <v>58</v>
      </c>
      <c r="E307" s="1" t="s">
        <v>31</v>
      </c>
      <c r="F307" s="1">
        <v>4720.71</v>
      </c>
      <c r="G307" s="1" t="s">
        <v>216</v>
      </c>
      <c r="H307" s="2">
        <v>31419</v>
      </c>
      <c r="I307" s="2">
        <v>45440</v>
      </c>
      <c r="J307" s="1">
        <v>45.5</v>
      </c>
      <c r="K307" s="1">
        <f t="shared" si="10"/>
        <v>2147.9230499999999</v>
      </c>
      <c r="L307" s="1">
        <f t="shared" si="11"/>
        <v>2572.7869500000002</v>
      </c>
    </row>
    <row r="308" spans="1:12" x14ac:dyDescent="0.35">
      <c r="A308" s="1">
        <v>1306</v>
      </c>
      <c r="B308" s="2">
        <v>45432</v>
      </c>
      <c r="C308" s="1" t="s">
        <v>26</v>
      </c>
      <c r="D308" s="1" t="s">
        <v>44</v>
      </c>
      <c r="E308" s="1" t="s">
        <v>16</v>
      </c>
      <c r="F308" s="1">
        <v>680.18</v>
      </c>
      <c r="G308" s="1" t="s">
        <v>124</v>
      </c>
      <c r="H308" s="2">
        <v>30786</v>
      </c>
      <c r="I308" s="2">
        <v>45446</v>
      </c>
      <c r="J308" s="1">
        <v>22.04</v>
      </c>
      <c r="K308" s="1">
        <f t="shared" si="10"/>
        <v>149.91167199999998</v>
      </c>
      <c r="L308" s="1">
        <f t="shared" si="11"/>
        <v>530.268328</v>
      </c>
    </row>
    <row r="309" spans="1:12" x14ac:dyDescent="0.35">
      <c r="A309" s="1">
        <v>1307</v>
      </c>
      <c r="B309" s="2">
        <v>45377</v>
      </c>
      <c r="C309" s="1" t="s">
        <v>26</v>
      </c>
      <c r="D309" s="1" t="s">
        <v>24</v>
      </c>
      <c r="E309" s="1" t="s">
        <v>19</v>
      </c>
      <c r="F309" s="1">
        <v>2670.72</v>
      </c>
      <c r="G309" s="1" t="s">
        <v>234</v>
      </c>
      <c r="H309" s="2">
        <v>24368</v>
      </c>
      <c r="I309" s="2">
        <v>45379</v>
      </c>
      <c r="J309" s="1">
        <v>34.68</v>
      </c>
      <c r="K309" s="1">
        <f t="shared" si="10"/>
        <v>926.20569599999988</v>
      </c>
      <c r="L309" s="1">
        <f t="shared" si="11"/>
        <v>1744.5143039999998</v>
      </c>
    </row>
    <row r="310" spans="1:12" x14ac:dyDescent="0.35">
      <c r="A310" s="1">
        <v>1308</v>
      </c>
      <c r="B310" s="2">
        <v>45111</v>
      </c>
      <c r="C310" s="1" t="s">
        <v>21</v>
      </c>
      <c r="D310" s="1" t="s">
        <v>30</v>
      </c>
      <c r="E310" s="1" t="s">
        <v>31</v>
      </c>
      <c r="F310" s="1">
        <v>4912.82</v>
      </c>
      <c r="G310" s="1" t="s">
        <v>158</v>
      </c>
      <c r="H310" s="2">
        <v>34871</v>
      </c>
      <c r="I310" s="2">
        <v>45123</v>
      </c>
      <c r="J310" s="1">
        <v>43.1</v>
      </c>
      <c r="K310" s="1">
        <f t="shared" si="10"/>
        <v>2117.42542</v>
      </c>
      <c r="L310" s="1">
        <f t="shared" si="11"/>
        <v>2795.3945799999997</v>
      </c>
    </row>
    <row r="311" spans="1:12" x14ac:dyDescent="0.35">
      <c r="A311" s="1">
        <v>1309</v>
      </c>
      <c r="B311" s="2">
        <v>44701</v>
      </c>
      <c r="C311" s="1" t="s">
        <v>10</v>
      </c>
      <c r="D311" s="1" t="s">
        <v>61</v>
      </c>
      <c r="E311" s="1" t="s">
        <v>19</v>
      </c>
      <c r="F311" s="1">
        <v>2214.5700000000002</v>
      </c>
      <c r="G311" s="1" t="s">
        <v>237</v>
      </c>
      <c r="H311" s="2">
        <v>27455</v>
      </c>
      <c r="I311" s="2">
        <v>44713</v>
      </c>
      <c r="J311" s="1">
        <v>13.3</v>
      </c>
      <c r="K311" s="1">
        <f t="shared" si="10"/>
        <v>294.53781000000004</v>
      </c>
      <c r="L311" s="1">
        <f t="shared" si="11"/>
        <v>1920.0321900000001</v>
      </c>
    </row>
    <row r="312" spans="1:12" x14ac:dyDescent="0.35">
      <c r="A312" s="1">
        <v>1310</v>
      </c>
      <c r="B312" s="2">
        <v>44991</v>
      </c>
      <c r="C312" s="1" t="s">
        <v>21</v>
      </c>
      <c r="D312" s="1" t="s">
        <v>88</v>
      </c>
      <c r="E312" s="1" t="s">
        <v>16</v>
      </c>
      <c r="F312" s="1">
        <v>2682.47</v>
      </c>
      <c r="G312" s="1" t="s">
        <v>233</v>
      </c>
      <c r="H312" s="2">
        <v>38826</v>
      </c>
      <c r="I312" s="2">
        <v>45003</v>
      </c>
      <c r="J312" s="1">
        <v>26.43</v>
      </c>
      <c r="K312" s="1">
        <f t="shared" si="10"/>
        <v>708.97682099999986</v>
      </c>
      <c r="L312" s="1">
        <f t="shared" si="11"/>
        <v>1973.4931790000001</v>
      </c>
    </row>
    <row r="313" spans="1:12" x14ac:dyDescent="0.35">
      <c r="A313" s="1">
        <v>1311</v>
      </c>
      <c r="B313" s="2">
        <v>45832</v>
      </c>
      <c r="C313" s="1" t="s">
        <v>10</v>
      </c>
      <c r="D313" s="1" t="s">
        <v>36</v>
      </c>
      <c r="E313" s="1" t="s">
        <v>28</v>
      </c>
      <c r="F313" s="1">
        <v>1078.81</v>
      </c>
      <c r="G313" s="1" t="s">
        <v>238</v>
      </c>
      <c r="H313" s="2">
        <v>31880</v>
      </c>
      <c r="I313" s="2">
        <v>45840</v>
      </c>
      <c r="J313" s="1">
        <v>28.29</v>
      </c>
      <c r="K313" s="1">
        <f t="shared" si="10"/>
        <v>305.19534899999996</v>
      </c>
      <c r="L313" s="1">
        <f t="shared" si="11"/>
        <v>773.61465099999998</v>
      </c>
    </row>
    <row r="314" spans="1:12" x14ac:dyDescent="0.35">
      <c r="A314" s="1">
        <v>1312</v>
      </c>
      <c r="B314" s="2">
        <v>45641</v>
      </c>
      <c r="C314" s="1" t="s">
        <v>21</v>
      </c>
      <c r="D314" s="1" t="s">
        <v>61</v>
      </c>
      <c r="E314" s="1" t="s">
        <v>19</v>
      </c>
      <c r="F314" s="1">
        <v>764.47</v>
      </c>
      <c r="G314" s="1" t="s">
        <v>239</v>
      </c>
      <c r="H314" s="2">
        <v>38442</v>
      </c>
      <c r="I314" s="2">
        <v>45643</v>
      </c>
      <c r="J314" s="1">
        <v>30.02</v>
      </c>
      <c r="K314" s="1">
        <f t="shared" si="10"/>
        <v>229.49389400000001</v>
      </c>
      <c r="L314" s="1">
        <f t="shared" si="11"/>
        <v>534.97610600000007</v>
      </c>
    </row>
    <row r="315" spans="1:12" x14ac:dyDescent="0.35">
      <c r="A315" s="1">
        <v>1313</v>
      </c>
      <c r="B315" s="2">
        <v>45745</v>
      </c>
      <c r="C315" s="1" t="s">
        <v>14</v>
      </c>
      <c r="D315" s="1" t="s">
        <v>15</v>
      </c>
      <c r="E315" s="1" t="s">
        <v>16</v>
      </c>
      <c r="F315" s="1">
        <v>725.6</v>
      </c>
      <c r="G315" s="1" t="s">
        <v>240</v>
      </c>
      <c r="H315" s="2">
        <v>38478</v>
      </c>
      <c r="I315" s="2">
        <v>45758</v>
      </c>
      <c r="J315" s="1">
        <v>6.26</v>
      </c>
      <c r="K315" s="1">
        <f t="shared" si="10"/>
        <v>45.422560000000004</v>
      </c>
      <c r="L315" s="1">
        <f t="shared" si="11"/>
        <v>680.17744000000005</v>
      </c>
    </row>
    <row r="316" spans="1:12" x14ac:dyDescent="0.35">
      <c r="A316" s="1">
        <v>1314</v>
      </c>
      <c r="B316" s="2">
        <v>44171</v>
      </c>
      <c r="C316" s="1" t="s">
        <v>26</v>
      </c>
      <c r="D316" s="1" t="s">
        <v>30</v>
      </c>
      <c r="E316" s="1" t="s">
        <v>31</v>
      </c>
      <c r="F316" s="1">
        <v>333.41</v>
      </c>
      <c r="G316" s="1" t="s">
        <v>241</v>
      </c>
      <c r="H316" s="2">
        <v>31880</v>
      </c>
      <c r="I316" s="2">
        <v>44182</v>
      </c>
      <c r="J316" s="1">
        <v>46.12</v>
      </c>
      <c r="K316" s="1">
        <f t="shared" si="10"/>
        <v>153.76869200000002</v>
      </c>
      <c r="L316" s="1">
        <f t="shared" si="11"/>
        <v>179.64130800000001</v>
      </c>
    </row>
    <row r="317" spans="1:12" x14ac:dyDescent="0.35">
      <c r="A317" s="1">
        <v>1315</v>
      </c>
      <c r="B317" s="2">
        <v>44342</v>
      </c>
      <c r="C317" s="1" t="s">
        <v>35</v>
      </c>
      <c r="D317" s="1" t="s">
        <v>49</v>
      </c>
      <c r="E317" s="1" t="s">
        <v>12</v>
      </c>
      <c r="F317" s="1">
        <v>3736.44</v>
      </c>
      <c r="G317" s="1" t="s">
        <v>210</v>
      </c>
      <c r="H317" s="2">
        <v>27550</v>
      </c>
      <c r="I317" s="2">
        <v>44356</v>
      </c>
      <c r="J317" s="1">
        <v>46.46</v>
      </c>
      <c r="K317" s="1">
        <f t="shared" si="10"/>
        <v>1735.950024</v>
      </c>
      <c r="L317" s="1">
        <f t="shared" si="11"/>
        <v>2000.4899760000001</v>
      </c>
    </row>
    <row r="318" spans="1:12" x14ac:dyDescent="0.35">
      <c r="A318" s="1">
        <v>1316</v>
      </c>
      <c r="B318" s="2">
        <v>44804</v>
      </c>
      <c r="C318" s="1" t="s">
        <v>10</v>
      </c>
      <c r="D318" s="1" t="s">
        <v>88</v>
      </c>
      <c r="E318" s="1" t="s">
        <v>16</v>
      </c>
      <c r="F318" s="1">
        <v>130.38</v>
      </c>
      <c r="G318" s="1" t="s">
        <v>215</v>
      </c>
      <c r="H318" s="2">
        <v>31386</v>
      </c>
      <c r="I318" s="2">
        <v>44814</v>
      </c>
      <c r="J318" s="1">
        <v>23.3</v>
      </c>
      <c r="K318" s="1">
        <f t="shared" si="10"/>
        <v>30.378540000000001</v>
      </c>
      <c r="L318" s="1">
        <f t="shared" si="11"/>
        <v>100.00145999999999</v>
      </c>
    </row>
    <row r="319" spans="1:12" x14ac:dyDescent="0.35">
      <c r="A319" s="1">
        <v>1317</v>
      </c>
      <c r="B319" s="2">
        <v>44407</v>
      </c>
      <c r="C319" s="1" t="s">
        <v>26</v>
      </c>
      <c r="D319" s="1" t="s">
        <v>15</v>
      </c>
      <c r="E319" s="1" t="s">
        <v>16</v>
      </c>
      <c r="F319" s="1">
        <v>4105.88</v>
      </c>
      <c r="G319" s="1" t="s">
        <v>118</v>
      </c>
      <c r="H319" s="2">
        <v>22599</v>
      </c>
      <c r="I319" s="2">
        <v>44414</v>
      </c>
      <c r="J319" s="1">
        <v>36.520000000000003</v>
      </c>
      <c r="K319" s="1">
        <f t="shared" si="10"/>
        <v>1499.4673760000001</v>
      </c>
      <c r="L319" s="1">
        <f t="shared" si="11"/>
        <v>2606.4126240000001</v>
      </c>
    </row>
    <row r="320" spans="1:12" x14ac:dyDescent="0.35">
      <c r="A320" s="1">
        <v>1318</v>
      </c>
      <c r="B320" s="2">
        <v>44888</v>
      </c>
      <c r="C320" s="1" t="s">
        <v>10</v>
      </c>
      <c r="D320" s="1" t="s">
        <v>69</v>
      </c>
      <c r="E320" s="1" t="s">
        <v>12</v>
      </c>
      <c r="F320" s="1">
        <v>1085.3800000000001</v>
      </c>
      <c r="G320" s="1" t="s">
        <v>242</v>
      </c>
      <c r="H320" s="2">
        <v>21785</v>
      </c>
      <c r="I320" s="2">
        <v>44891</v>
      </c>
      <c r="J320" s="1">
        <v>47.43</v>
      </c>
      <c r="K320" s="1">
        <f t="shared" si="10"/>
        <v>514.79573400000004</v>
      </c>
      <c r="L320" s="1">
        <f t="shared" si="11"/>
        <v>570.58426600000007</v>
      </c>
    </row>
    <row r="321" spans="1:12" x14ac:dyDescent="0.35">
      <c r="A321" s="1">
        <v>1319</v>
      </c>
      <c r="B321" s="2">
        <v>44922</v>
      </c>
      <c r="C321" s="1" t="s">
        <v>26</v>
      </c>
      <c r="D321" s="1" t="s">
        <v>24</v>
      </c>
      <c r="E321" s="1" t="s">
        <v>19</v>
      </c>
      <c r="F321" s="1">
        <v>3444.87</v>
      </c>
      <c r="G321" s="1" t="s">
        <v>243</v>
      </c>
      <c r="H321" s="2">
        <v>29103</v>
      </c>
      <c r="I321" s="2">
        <v>44930</v>
      </c>
      <c r="J321" s="1">
        <v>19.559999999999999</v>
      </c>
      <c r="K321" s="1">
        <f t="shared" si="10"/>
        <v>673.81657199999995</v>
      </c>
      <c r="L321" s="1">
        <f t="shared" si="11"/>
        <v>2771.0534280000002</v>
      </c>
    </row>
    <row r="322" spans="1:12" x14ac:dyDescent="0.35">
      <c r="A322" s="1">
        <v>1320</v>
      </c>
      <c r="B322" s="2">
        <v>44290</v>
      </c>
      <c r="C322" s="1" t="s">
        <v>21</v>
      </c>
      <c r="D322" s="1" t="s">
        <v>47</v>
      </c>
      <c r="E322" s="1" t="s">
        <v>12</v>
      </c>
      <c r="F322" s="1">
        <v>2972.21</v>
      </c>
      <c r="G322" s="1" t="s">
        <v>23</v>
      </c>
      <c r="H322" s="2">
        <v>38378</v>
      </c>
      <c r="I322" s="2">
        <v>44304</v>
      </c>
      <c r="J322" s="1">
        <v>22.8</v>
      </c>
      <c r="K322" s="1">
        <f t="shared" si="10"/>
        <v>677.66388000000006</v>
      </c>
      <c r="L322" s="1">
        <f t="shared" si="11"/>
        <v>2294.54612</v>
      </c>
    </row>
    <row r="323" spans="1:12" x14ac:dyDescent="0.35">
      <c r="A323" s="1">
        <v>1321</v>
      </c>
      <c r="B323" s="2">
        <v>44915</v>
      </c>
      <c r="C323" s="1" t="s">
        <v>21</v>
      </c>
      <c r="D323" s="1" t="s">
        <v>53</v>
      </c>
      <c r="E323" s="1" t="s">
        <v>28</v>
      </c>
      <c r="F323" s="1">
        <v>4855.2</v>
      </c>
      <c r="G323" s="1" t="s">
        <v>37</v>
      </c>
      <c r="H323" s="2">
        <v>27534</v>
      </c>
      <c r="I323" s="2">
        <v>44921</v>
      </c>
      <c r="J323" s="1">
        <v>48.03</v>
      </c>
      <c r="K323" s="1">
        <f t="shared" ref="K323:K386" si="12">F323*J323%</f>
        <v>2331.9525599999997</v>
      </c>
      <c r="L323" s="1">
        <f t="shared" ref="L323:L386" si="13">F323-K323</f>
        <v>2523.2474400000001</v>
      </c>
    </row>
    <row r="324" spans="1:12" x14ac:dyDescent="0.35">
      <c r="A324" s="1">
        <v>1322</v>
      </c>
      <c r="B324" s="2">
        <v>44138</v>
      </c>
      <c r="C324" s="1" t="s">
        <v>35</v>
      </c>
      <c r="D324" s="1" t="s">
        <v>53</v>
      </c>
      <c r="E324" s="1" t="s">
        <v>28</v>
      </c>
      <c r="F324" s="1">
        <v>4450.13</v>
      </c>
      <c r="G324" s="1" t="s">
        <v>198</v>
      </c>
      <c r="H324" s="2">
        <v>31598</v>
      </c>
      <c r="I324" s="2">
        <v>44151</v>
      </c>
      <c r="J324" s="1">
        <v>5.77</v>
      </c>
      <c r="K324" s="1">
        <f t="shared" si="12"/>
        <v>256.77250099999998</v>
      </c>
      <c r="L324" s="1">
        <f t="shared" si="13"/>
        <v>4193.3574989999997</v>
      </c>
    </row>
    <row r="325" spans="1:12" x14ac:dyDescent="0.35">
      <c r="A325" s="1">
        <v>1323</v>
      </c>
      <c r="B325" s="2">
        <v>45155</v>
      </c>
      <c r="C325" s="1" t="s">
        <v>14</v>
      </c>
      <c r="D325" s="1" t="s">
        <v>69</v>
      </c>
      <c r="E325" s="1" t="s">
        <v>31</v>
      </c>
      <c r="F325" s="1">
        <v>4766.46</v>
      </c>
      <c r="G325" s="1" t="s">
        <v>225</v>
      </c>
      <c r="H325" s="2">
        <v>27641</v>
      </c>
      <c r="I325" s="2">
        <v>45160</v>
      </c>
      <c r="J325" s="1">
        <v>45.05</v>
      </c>
      <c r="K325" s="1">
        <f t="shared" si="12"/>
        <v>2147.2902299999996</v>
      </c>
      <c r="L325" s="1">
        <f t="shared" si="13"/>
        <v>2619.1697700000004</v>
      </c>
    </row>
    <row r="326" spans="1:12" x14ac:dyDescent="0.35">
      <c r="A326" s="1">
        <v>1324</v>
      </c>
      <c r="B326" s="2">
        <v>45150</v>
      </c>
      <c r="C326" s="1" t="s">
        <v>21</v>
      </c>
      <c r="D326" s="1" t="s">
        <v>38</v>
      </c>
      <c r="E326" s="1" t="s">
        <v>28</v>
      </c>
      <c r="F326" s="1">
        <v>4884.1400000000003</v>
      </c>
      <c r="G326" s="1" t="s">
        <v>23</v>
      </c>
      <c r="H326" s="2">
        <v>38378</v>
      </c>
      <c r="I326" s="2">
        <v>45152</v>
      </c>
      <c r="J326" s="1">
        <v>28.02</v>
      </c>
      <c r="K326" s="1">
        <f t="shared" si="12"/>
        <v>1368.5360280000002</v>
      </c>
      <c r="L326" s="1">
        <f t="shared" si="13"/>
        <v>3515.6039719999999</v>
      </c>
    </row>
    <row r="327" spans="1:12" x14ac:dyDescent="0.35">
      <c r="A327" s="1">
        <v>1325</v>
      </c>
      <c r="B327" s="2">
        <v>44396</v>
      </c>
      <c r="C327" s="1" t="s">
        <v>10</v>
      </c>
      <c r="D327" s="1" t="s">
        <v>53</v>
      </c>
      <c r="E327" s="1" t="s">
        <v>28</v>
      </c>
      <c r="F327" s="1">
        <v>3607.16</v>
      </c>
      <c r="G327" s="1" t="s">
        <v>244</v>
      </c>
      <c r="H327" s="2">
        <v>30356</v>
      </c>
      <c r="I327" s="2">
        <v>44405</v>
      </c>
      <c r="J327" s="1">
        <v>3.14</v>
      </c>
      <c r="K327" s="1">
        <f t="shared" si="12"/>
        <v>113.264824</v>
      </c>
      <c r="L327" s="1">
        <f t="shared" si="13"/>
        <v>3493.895176</v>
      </c>
    </row>
    <row r="328" spans="1:12" x14ac:dyDescent="0.35">
      <c r="A328" s="1">
        <v>1326</v>
      </c>
      <c r="B328" s="2">
        <v>45277</v>
      </c>
      <c r="C328" s="1" t="s">
        <v>26</v>
      </c>
      <c r="D328" s="1" t="s">
        <v>65</v>
      </c>
      <c r="E328" s="1" t="s">
        <v>19</v>
      </c>
      <c r="F328" s="1">
        <v>3914.34</v>
      </c>
      <c r="G328" s="1" t="s">
        <v>119</v>
      </c>
      <c r="H328" s="2">
        <v>34954</v>
      </c>
      <c r="I328" s="2">
        <v>45289</v>
      </c>
      <c r="J328" s="1">
        <v>8.6999999999999993</v>
      </c>
      <c r="K328" s="1">
        <f t="shared" si="12"/>
        <v>340.54757999999998</v>
      </c>
      <c r="L328" s="1">
        <f t="shared" si="13"/>
        <v>3573.7924200000002</v>
      </c>
    </row>
    <row r="329" spans="1:12" x14ac:dyDescent="0.35">
      <c r="A329" s="1">
        <v>1327</v>
      </c>
      <c r="B329" s="2">
        <v>45274</v>
      </c>
      <c r="C329" s="1" t="s">
        <v>35</v>
      </c>
      <c r="D329" s="1" t="s">
        <v>38</v>
      </c>
      <c r="E329" s="1" t="s">
        <v>28</v>
      </c>
      <c r="F329" s="1">
        <v>407.98</v>
      </c>
      <c r="G329" s="1" t="s">
        <v>129</v>
      </c>
      <c r="H329" s="2">
        <v>25933</v>
      </c>
      <c r="I329" s="2">
        <v>45279</v>
      </c>
      <c r="J329" s="1">
        <v>31.88</v>
      </c>
      <c r="K329" s="1">
        <f t="shared" si="12"/>
        <v>130.06402399999999</v>
      </c>
      <c r="L329" s="1">
        <f t="shared" si="13"/>
        <v>277.915976</v>
      </c>
    </row>
    <row r="330" spans="1:12" x14ac:dyDescent="0.35">
      <c r="A330" s="1">
        <v>1328</v>
      </c>
      <c r="B330" s="2">
        <v>44336</v>
      </c>
      <c r="C330" s="1" t="s">
        <v>26</v>
      </c>
      <c r="D330" s="1" t="s">
        <v>53</v>
      </c>
      <c r="E330" s="1" t="s">
        <v>28</v>
      </c>
      <c r="F330" s="1">
        <v>2855.49</v>
      </c>
      <c r="G330" s="1" t="s">
        <v>52</v>
      </c>
      <c r="H330" s="2">
        <v>30154</v>
      </c>
      <c r="I330" s="2">
        <v>44344</v>
      </c>
      <c r="J330" s="1">
        <v>38.840000000000003</v>
      </c>
      <c r="K330" s="1">
        <f t="shared" si="12"/>
        <v>1109.072316</v>
      </c>
      <c r="L330" s="1">
        <f t="shared" si="13"/>
        <v>1746.4176839999998</v>
      </c>
    </row>
    <row r="331" spans="1:12" x14ac:dyDescent="0.35">
      <c r="A331" s="1">
        <v>1329</v>
      </c>
      <c r="B331" s="2">
        <v>44234</v>
      </c>
      <c r="C331" s="1" t="s">
        <v>14</v>
      </c>
      <c r="D331" s="1" t="s">
        <v>69</v>
      </c>
      <c r="E331" s="1" t="s">
        <v>12</v>
      </c>
      <c r="F331" s="1">
        <v>2244.02</v>
      </c>
      <c r="G331" s="1" t="s">
        <v>105</v>
      </c>
      <c r="H331" s="2">
        <v>35889</v>
      </c>
      <c r="I331" s="2">
        <v>44237</v>
      </c>
      <c r="J331" s="1">
        <v>47.16</v>
      </c>
      <c r="K331" s="1">
        <f t="shared" si="12"/>
        <v>1058.2798319999999</v>
      </c>
      <c r="L331" s="1">
        <f t="shared" si="13"/>
        <v>1185.740168</v>
      </c>
    </row>
    <row r="332" spans="1:12" x14ac:dyDescent="0.35">
      <c r="A332" s="1">
        <v>1330</v>
      </c>
      <c r="B332" s="2">
        <v>45550</v>
      </c>
      <c r="C332" s="1" t="s">
        <v>26</v>
      </c>
      <c r="D332" s="1" t="s">
        <v>49</v>
      </c>
      <c r="E332" s="1" t="s">
        <v>12</v>
      </c>
      <c r="F332" s="1">
        <v>729.8</v>
      </c>
      <c r="G332" s="1" t="s">
        <v>242</v>
      </c>
      <c r="H332" s="2">
        <v>21785</v>
      </c>
      <c r="I332" s="2">
        <v>45564</v>
      </c>
      <c r="J332" s="1">
        <v>29.73</v>
      </c>
      <c r="K332" s="1">
        <f t="shared" si="12"/>
        <v>216.96953999999999</v>
      </c>
      <c r="L332" s="1">
        <f t="shared" si="13"/>
        <v>512.8304599999999</v>
      </c>
    </row>
    <row r="333" spans="1:12" x14ac:dyDescent="0.35">
      <c r="A333" s="1">
        <v>1331</v>
      </c>
      <c r="B333" s="2">
        <v>44685</v>
      </c>
      <c r="C333" s="1" t="s">
        <v>35</v>
      </c>
      <c r="D333" s="1" t="s">
        <v>73</v>
      </c>
      <c r="E333" s="1" t="s">
        <v>28</v>
      </c>
      <c r="F333" s="1">
        <v>942.65</v>
      </c>
      <c r="G333" s="1" t="s">
        <v>217</v>
      </c>
      <c r="H333" s="2">
        <v>36951</v>
      </c>
      <c r="I333" s="2">
        <v>44699</v>
      </c>
      <c r="J333" s="1">
        <v>6.77</v>
      </c>
      <c r="K333" s="1">
        <f t="shared" si="12"/>
        <v>63.817404999999994</v>
      </c>
      <c r="L333" s="1">
        <f t="shared" si="13"/>
        <v>878.83259499999997</v>
      </c>
    </row>
    <row r="334" spans="1:12" x14ac:dyDescent="0.35">
      <c r="A334" s="1">
        <v>1332</v>
      </c>
      <c r="B334" s="2">
        <v>44895</v>
      </c>
      <c r="C334" s="1" t="s">
        <v>35</v>
      </c>
      <c r="D334" s="1" t="s">
        <v>44</v>
      </c>
      <c r="E334" s="1" t="s">
        <v>16</v>
      </c>
      <c r="F334" s="1">
        <v>424.02</v>
      </c>
      <c r="G334" s="1" t="s">
        <v>231</v>
      </c>
      <c r="H334" s="2">
        <v>32047</v>
      </c>
      <c r="I334" s="2">
        <v>44899</v>
      </c>
      <c r="J334" s="1">
        <v>9.5</v>
      </c>
      <c r="K334" s="1">
        <f t="shared" si="12"/>
        <v>40.2819</v>
      </c>
      <c r="L334" s="1">
        <f t="shared" si="13"/>
        <v>383.73809999999997</v>
      </c>
    </row>
    <row r="335" spans="1:12" x14ac:dyDescent="0.35">
      <c r="A335" s="1">
        <v>1333</v>
      </c>
      <c r="B335" s="2">
        <v>44309</v>
      </c>
      <c r="C335" s="1" t="s">
        <v>10</v>
      </c>
      <c r="D335" s="1" t="s">
        <v>18</v>
      </c>
      <c r="E335" s="1" t="s">
        <v>19</v>
      </c>
      <c r="F335" s="1">
        <v>244.84</v>
      </c>
      <c r="G335" s="1" t="s">
        <v>220</v>
      </c>
      <c r="H335" s="2">
        <v>30755</v>
      </c>
      <c r="I335" s="2">
        <v>44316</v>
      </c>
      <c r="J335" s="1">
        <v>1.56</v>
      </c>
      <c r="K335" s="1">
        <f t="shared" si="12"/>
        <v>3.8195040000000002</v>
      </c>
      <c r="L335" s="1">
        <f t="shared" si="13"/>
        <v>241.02049600000001</v>
      </c>
    </row>
    <row r="336" spans="1:12" x14ac:dyDescent="0.35">
      <c r="A336" s="1">
        <v>1334</v>
      </c>
      <c r="B336" s="2">
        <v>45592</v>
      </c>
      <c r="C336" s="1" t="s">
        <v>35</v>
      </c>
      <c r="D336" s="1" t="s">
        <v>47</v>
      </c>
      <c r="E336" s="1" t="s">
        <v>12</v>
      </c>
      <c r="F336" s="1">
        <v>3700.28</v>
      </c>
      <c r="G336" s="1" t="s">
        <v>34</v>
      </c>
      <c r="H336" s="2">
        <v>25232</v>
      </c>
      <c r="I336" s="2">
        <v>45595</v>
      </c>
      <c r="J336" s="1">
        <v>26.68</v>
      </c>
      <c r="K336" s="1">
        <f t="shared" si="12"/>
        <v>987.23470399999997</v>
      </c>
      <c r="L336" s="1">
        <f t="shared" si="13"/>
        <v>2713.0452960000002</v>
      </c>
    </row>
    <row r="337" spans="1:12" x14ac:dyDescent="0.35">
      <c r="A337" s="1">
        <v>1335</v>
      </c>
      <c r="B337" s="2">
        <v>44847</v>
      </c>
      <c r="C337" s="1" t="s">
        <v>14</v>
      </c>
      <c r="D337" s="1" t="s">
        <v>38</v>
      </c>
      <c r="E337" s="1" t="s">
        <v>28</v>
      </c>
      <c r="F337" s="1">
        <v>1052.02</v>
      </c>
      <c r="G337" s="1" t="s">
        <v>138</v>
      </c>
      <c r="H337" s="2">
        <v>25948</v>
      </c>
      <c r="I337" s="2">
        <v>44853</v>
      </c>
      <c r="J337" s="1">
        <v>14.14</v>
      </c>
      <c r="K337" s="1">
        <f t="shared" si="12"/>
        <v>148.755628</v>
      </c>
      <c r="L337" s="1">
        <f t="shared" si="13"/>
        <v>903.26437199999998</v>
      </c>
    </row>
    <row r="338" spans="1:12" x14ac:dyDescent="0.35">
      <c r="A338" s="1">
        <v>1336</v>
      </c>
      <c r="B338" s="2">
        <v>44315</v>
      </c>
      <c r="C338" s="1" t="s">
        <v>26</v>
      </c>
      <c r="D338" s="1" t="s">
        <v>36</v>
      </c>
      <c r="E338" s="1" t="s">
        <v>28</v>
      </c>
      <c r="F338" s="1">
        <v>1662.88</v>
      </c>
      <c r="G338" s="1" t="s">
        <v>209</v>
      </c>
      <c r="H338" s="2">
        <v>28522</v>
      </c>
      <c r="I338" s="2">
        <v>44317</v>
      </c>
      <c r="J338" s="1">
        <v>21.09</v>
      </c>
      <c r="K338" s="1">
        <f t="shared" si="12"/>
        <v>350.70139200000006</v>
      </c>
      <c r="L338" s="1">
        <f t="shared" si="13"/>
        <v>1312.1786080000002</v>
      </c>
    </row>
    <row r="339" spans="1:12" x14ac:dyDescent="0.35">
      <c r="A339" s="1">
        <v>1337</v>
      </c>
      <c r="B339" s="2">
        <v>44275</v>
      </c>
      <c r="C339" s="1" t="s">
        <v>21</v>
      </c>
      <c r="D339" s="1" t="s">
        <v>49</v>
      </c>
      <c r="E339" s="1" t="s">
        <v>12</v>
      </c>
      <c r="F339" s="1">
        <v>1024.96</v>
      </c>
      <c r="G339" s="1" t="s">
        <v>105</v>
      </c>
      <c r="H339" s="2">
        <v>35889</v>
      </c>
      <c r="I339" s="2">
        <v>44288</v>
      </c>
      <c r="J339" s="1">
        <v>49.68</v>
      </c>
      <c r="K339" s="1">
        <f t="shared" si="12"/>
        <v>509.20012800000006</v>
      </c>
      <c r="L339" s="1">
        <f t="shared" si="13"/>
        <v>515.75987199999997</v>
      </c>
    </row>
    <row r="340" spans="1:12" x14ac:dyDescent="0.35">
      <c r="A340" s="1">
        <v>1338</v>
      </c>
      <c r="B340" s="2">
        <v>45729</v>
      </c>
      <c r="C340" s="1" t="s">
        <v>10</v>
      </c>
      <c r="D340" s="1" t="s">
        <v>22</v>
      </c>
      <c r="E340" s="1" t="s">
        <v>19</v>
      </c>
      <c r="F340" s="1">
        <v>2900.29</v>
      </c>
      <c r="G340" s="1" t="s">
        <v>234</v>
      </c>
      <c r="H340" s="2">
        <v>24368</v>
      </c>
      <c r="I340" s="2">
        <v>45739</v>
      </c>
      <c r="J340" s="1">
        <v>39.72</v>
      </c>
      <c r="K340" s="1">
        <f t="shared" si="12"/>
        <v>1151.9951879999999</v>
      </c>
      <c r="L340" s="1">
        <f t="shared" si="13"/>
        <v>1748.2948120000001</v>
      </c>
    </row>
    <row r="341" spans="1:12" x14ac:dyDescent="0.35">
      <c r="A341" s="1">
        <v>1339</v>
      </c>
      <c r="B341" s="2">
        <v>45567</v>
      </c>
      <c r="C341" s="1" t="s">
        <v>10</v>
      </c>
      <c r="D341" s="1" t="s">
        <v>73</v>
      </c>
      <c r="E341" s="1" t="s">
        <v>28</v>
      </c>
      <c r="F341" s="1">
        <v>3000.01</v>
      </c>
      <c r="G341" s="1" t="s">
        <v>244</v>
      </c>
      <c r="H341" s="2">
        <v>30356</v>
      </c>
      <c r="I341" s="2">
        <v>45578</v>
      </c>
      <c r="J341" s="1">
        <v>41.02</v>
      </c>
      <c r="K341" s="1">
        <f t="shared" si="12"/>
        <v>1230.604102</v>
      </c>
      <c r="L341" s="1">
        <f t="shared" si="13"/>
        <v>1769.4058980000002</v>
      </c>
    </row>
    <row r="342" spans="1:12" x14ac:dyDescent="0.35">
      <c r="A342" s="1">
        <v>1340</v>
      </c>
      <c r="B342" s="2">
        <v>44612</v>
      </c>
      <c r="C342" s="1" t="s">
        <v>14</v>
      </c>
      <c r="D342" s="1" t="s">
        <v>33</v>
      </c>
      <c r="E342" s="1" t="s">
        <v>16</v>
      </c>
      <c r="F342" s="1">
        <v>3840.17</v>
      </c>
      <c r="G342" s="1" t="s">
        <v>245</v>
      </c>
      <c r="H342" s="2">
        <v>32205</v>
      </c>
      <c r="I342" s="2">
        <v>44622</v>
      </c>
      <c r="J342" s="1">
        <v>29.9</v>
      </c>
      <c r="K342" s="1">
        <f t="shared" si="12"/>
        <v>1148.21083</v>
      </c>
      <c r="L342" s="1">
        <f t="shared" si="13"/>
        <v>2691.9591700000001</v>
      </c>
    </row>
    <row r="343" spans="1:12" x14ac:dyDescent="0.35">
      <c r="A343" s="1">
        <v>1341</v>
      </c>
      <c r="B343" s="2">
        <v>45522</v>
      </c>
      <c r="C343" s="1" t="s">
        <v>26</v>
      </c>
      <c r="D343" s="1" t="s">
        <v>38</v>
      </c>
      <c r="E343" s="1" t="s">
        <v>28</v>
      </c>
      <c r="F343" s="1">
        <v>1977.54</v>
      </c>
      <c r="G343" s="1" t="s">
        <v>111</v>
      </c>
      <c r="H343" s="2">
        <v>34704</v>
      </c>
      <c r="I343" s="2">
        <v>45535</v>
      </c>
      <c r="J343" s="1">
        <v>36.68</v>
      </c>
      <c r="K343" s="1">
        <f t="shared" si="12"/>
        <v>725.361672</v>
      </c>
      <c r="L343" s="1">
        <f t="shared" si="13"/>
        <v>1252.178328</v>
      </c>
    </row>
    <row r="344" spans="1:12" x14ac:dyDescent="0.35">
      <c r="A344" s="1">
        <v>1342</v>
      </c>
      <c r="B344" s="2">
        <v>45804</v>
      </c>
      <c r="C344" s="1" t="s">
        <v>35</v>
      </c>
      <c r="D344" s="1" t="s">
        <v>58</v>
      </c>
      <c r="E344" s="1" t="s">
        <v>31</v>
      </c>
      <c r="F344" s="1">
        <v>1543.72</v>
      </c>
      <c r="G344" s="1" t="s">
        <v>246</v>
      </c>
      <c r="H344" s="2">
        <v>25815</v>
      </c>
      <c r="I344" s="2">
        <v>45812</v>
      </c>
      <c r="J344" s="1">
        <v>38.58</v>
      </c>
      <c r="K344" s="1">
        <f t="shared" si="12"/>
        <v>595.56717600000002</v>
      </c>
      <c r="L344" s="1">
        <f t="shared" si="13"/>
        <v>948.15282400000001</v>
      </c>
    </row>
    <row r="345" spans="1:12" x14ac:dyDescent="0.35">
      <c r="A345" s="1">
        <v>1343</v>
      </c>
      <c r="B345" s="2">
        <v>44168</v>
      </c>
      <c r="C345" s="1" t="s">
        <v>14</v>
      </c>
      <c r="D345" s="1" t="s">
        <v>65</v>
      </c>
      <c r="E345" s="1" t="s">
        <v>19</v>
      </c>
      <c r="F345" s="1">
        <v>252.14</v>
      </c>
      <c r="G345" s="1" t="s">
        <v>199</v>
      </c>
      <c r="H345" s="2">
        <v>25341</v>
      </c>
      <c r="I345" s="2">
        <v>44173</v>
      </c>
      <c r="J345" s="1">
        <v>27.23</v>
      </c>
      <c r="K345" s="1">
        <f t="shared" si="12"/>
        <v>68.657721999999993</v>
      </c>
      <c r="L345" s="1">
        <f t="shared" si="13"/>
        <v>183.48227800000001</v>
      </c>
    </row>
    <row r="346" spans="1:12" x14ac:dyDescent="0.35">
      <c r="A346" s="1">
        <v>1344</v>
      </c>
      <c r="B346" s="2">
        <v>44979</v>
      </c>
      <c r="C346" s="1" t="s">
        <v>26</v>
      </c>
      <c r="D346" s="1" t="s">
        <v>73</v>
      </c>
      <c r="E346" s="1" t="s">
        <v>28</v>
      </c>
      <c r="F346" s="1">
        <v>628.79</v>
      </c>
      <c r="G346" s="1" t="s">
        <v>75</v>
      </c>
      <c r="H346" s="2">
        <v>25853</v>
      </c>
      <c r="I346" s="2">
        <v>44985</v>
      </c>
      <c r="J346" s="1">
        <v>0.26</v>
      </c>
      <c r="K346" s="1">
        <f t="shared" si="12"/>
        <v>1.6348539999999998</v>
      </c>
      <c r="L346" s="1">
        <f t="shared" si="13"/>
        <v>627.15514599999995</v>
      </c>
    </row>
    <row r="347" spans="1:12" x14ac:dyDescent="0.35">
      <c r="A347" s="1">
        <v>1345</v>
      </c>
      <c r="B347" s="2">
        <v>44608</v>
      </c>
      <c r="C347" s="1" t="s">
        <v>21</v>
      </c>
      <c r="D347" s="1" t="s">
        <v>102</v>
      </c>
      <c r="E347" s="1" t="s">
        <v>12</v>
      </c>
      <c r="F347" s="1">
        <v>3013.18</v>
      </c>
      <c r="G347" s="1" t="s">
        <v>170</v>
      </c>
      <c r="H347" s="2">
        <v>34205</v>
      </c>
      <c r="I347" s="2">
        <v>44616</v>
      </c>
      <c r="J347" s="1">
        <v>30.1</v>
      </c>
      <c r="K347" s="1">
        <f t="shared" si="12"/>
        <v>906.96717999999987</v>
      </c>
      <c r="L347" s="1">
        <f t="shared" si="13"/>
        <v>2106.2128199999997</v>
      </c>
    </row>
    <row r="348" spans="1:12" x14ac:dyDescent="0.35">
      <c r="A348" s="1">
        <v>1346</v>
      </c>
      <c r="B348" s="2">
        <v>44107</v>
      </c>
      <c r="C348" s="1" t="s">
        <v>26</v>
      </c>
      <c r="D348" s="1" t="s">
        <v>47</v>
      </c>
      <c r="E348" s="1" t="s">
        <v>12</v>
      </c>
      <c r="F348" s="1">
        <v>2617.19</v>
      </c>
      <c r="G348" s="1" t="s">
        <v>94</v>
      </c>
      <c r="H348" s="2">
        <v>25516</v>
      </c>
      <c r="I348" s="2">
        <v>44110</v>
      </c>
      <c r="J348" s="1">
        <v>16.489999999999998</v>
      </c>
      <c r="K348" s="1">
        <f t="shared" si="12"/>
        <v>431.57463100000001</v>
      </c>
      <c r="L348" s="1">
        <f t="shared" si="13"/>
        <v>2185.6153690000001</v>
      </c>
    </row>
    <row r="349" spans="1:12" x14ac:dyDescent="0.35">
      <c r="A349" s="1">
        <v>1347</v>
      </c>
      <c r="B349" s="2">
        <v>45525</v>
      </c>
      <c r="C349" s="1" t="s">
        <v>26</v>
      </c>
      <c r="D349" s="1" t="s">
        <v>24</v>
      </c>
      <c r="E349" s="1" t="s">
        <v>19</v>
      </c>
      <c r="F349" s="1">
        <v>4991.8599999999997</v>
      </c>
      <c r="G349" s="1" t="s">
        <v>153</v>
      </c>
      <c r="H349" s="2">
        <v>36216</v>
      </c>
      <c r="I349" s="2">
        <v>45527</v>
      </c>
      <c r="J349" s="1">
        <v>21.77</v>
      </c>
      <c r="K349" s="1">
        <f t="shared" si="12"/>
        <v>1086.727922</v>
      </c>
      <c r="L349" s="1">
        <f t="shared" si="13"/>
        <v>3905.1320779999996</v>
      </c>
    </row>
    <row r="350" spans="1:12" x14ac:dyDescent="0.35">
      <c r="A350" s="1">
        <v>1348</v>
      </c>
      <c r="B350" s="2">
        <v>45264</v>
      </c>
      <c r="C350" s="1" t="s">
        <v>10</v>
      </c>
      <c r="D350" s="1" t="s">
        <v>55</v>
      </c>
      <c r="E350" s="1" t="s">
        <v>31</v>
      </c>
      <c r="F350" s="1">
        <v>2795.27</v>
      </c>
      <c r="G350" s="1" t="s">
        <v>238</v>
      </c>
      <c r="H350" s="2">
        <v>31880</v>
      </c>
      <c r="I350" s="2">
        <v>45278</v>
      </c>
      <c r="J350" s="1">
        <v>43.19</v>
      </c>
      <c r="K350" s="1">
        <f t="shared" si="12"/>
        <v>1207.2771129999999</v>
      </c>
      <c r="L350" s="1">
        <f t="shared" si="13"/>
        <v>1587.9928870000001</v>
      </c>
    </row>
    <row r="351" spans="1:12" x14ac:dyDescent="0.35">
      <c r="A351" s="1">
        <v>1349</v>
      </c>
      <c r="B351" s="2">
        <v>44754</v>
      </c>
      <c r="C351" s="1" t="s">
        <v>21</v>
      </c>
      <c r="D351" s="1" t="s">
        <v>49</v>
      </c>
      <c r="E351" s="1" t="s">
        <v>12</v>
      </c>
      <c r="F351" s="1">
        <v>488.93</v>
      </c>
      <c r="G351" s="1" t="s">
        <v>56</v>
      </c>
      <c r="H351" s="2">
        <v>25712</v>
      </c>
      <c r="I351" s="2">
        <v>44764</v>
      </c>
      <c r="J351" s="1">
        <v>42.37</v>
      </c>
      <c r="K351" s="1">
        <f t="shared" si="12"/>
        <v>207.15964099999999</v>
      </c>
      <c r="L351" s="1">
        <f t="shared" si="13"/>
        <v>281.77035899999998</v>
      </c>
    </row>
    <row r="352" spans="1:12" x14ac:dyDescent="0.35">
      <c r="A352" s="1">
        <v>1350</v>
      </c>
      <c r="B352" s="2">
        <v>45834</v>
      </c>
      <c r="C352" s="1" t="s">
        <v>14</v>
      </c>
      <c r="D352" s="1" t="s">
        <v>69</v>
      </c>
      <c r="E352" s="1" t="s">
        <v>12</v>
      </c>
      <c r="F352" s="1">
        <v>1668.13</v>
      </c>
      <c r="G352" s="1" t="s">
        <v>234</v>
      </c>
      <c r="H352" s="2">
        <v>24368</v>
      </c>
      <c r="I352" s="2">
        <v>45845</v>
      </c>
      <c r="J352" s="1">
        <v>2.87</v>
      </c>
      <c r="K352" s="1">
        <f t="shared" si="12"/>
        <v>47.875331000000003</v>
      </c>
      <c r="L352" s="1">
        <f t="shared" si="13"/>
        <v>1620.2546690000001</v>
      </c>
    </row>
    <row r="353" spans="1:12" x14ac:dyDescent="0.35">
      <c r="A353" s="1">
        <v>1351</v>
      </c>
      <c r="B353" s="2">
        <v>45729</v>
      </c>
      <c r="C353" s="1" t="s">
        <v>14</v>
      </c>
      <c r="D353" s="1" t="s">
        <v>33</v>
      </c>
      <c r="E353" s="1" t="s">
        <v>16</v>
      </c>
      <c r="F353" s="1">
        <v>4136.7</v>
      </c>
      <c r="G353" s="1" t="s">
        <v>247</v>
      </c>
      <c r="H353" s="2">
        <v>23735</v>
      </c>
      <c r="I353" s="2">
        <v>45732</v>
      </c>
      <c r="J353" s="1">
        <v>23.42</v>
      </c>
      <c r="K353" s="1">
        <f t="shared" si="12"/>
        <v>968.81514000000004</v>
      </c>
      <c r="L353" s="1">
        <f t="shared" si="13"/>
        <v>3167.8848599999997</v>
      </c>
    </row>
    <row r="354" spans="1:12" x14ac:dyDescent="0.35">
      <c r="A354" s="1">
        <v>1352</v>
      </c>
      <c r="B354" s="2">
        <v>45140</v>
      </c>
      <c r="C354" s="1" t="s">
        <v>10</v>
      </c>
      <c r="D354" s="1" t="s">
        <v>58</v>
      </c>
      <c r="E354" s="1" t="s">
        <v>31</v>
      </c>
      <c r="F354" s="1">
        <v>4005.07</v>
      </c>
      <c r="G354" s="1" t="s">
        <v>248</v>
      </c>
      <c r="H354" s="2">
        <v>32685</v>
      </c>
      <c r="I354" s="2">
        <v>45143</v>
      </c>
      <c r="J354" s="1">
        <v>41.83</v>
      </c>
      <c r="K354" s="1">
        <f t="shared" si="12"/>
        <v>1675.3207810000001</v>
      </c>
      <c r="L354" s="1">
        <f t="shared" si="13"/>
        <v>2329.7492190000003</v>
      </c>
    </row>
    <row r="355" spans="1:12" x14ac:dyDescent="0.35">
      <c r="A355" s="1">
        <v>1353</v>
      </c>
      <c r="B355" s="2">
        <v>44589</v>
      </c>
      <c r="C355" s="1" t="s">
        <v>21</v>
      </c>
      <c r="D355" s="1" t="s">
        <v>30</v>
      </c>
      <c r="E355" s="1" t="s">
        <v>31</v>
      </c>
      <c r="F355" s="1">
        <v>350.39</v>
      </c>
      <c r="G355" s="1" t="s">
        <v>37</v>
      </c>
      <c r="H355" s="2">
        <v>27534</v>
      </c>
      <c r="I355" s="2">
        <v>44591</v>
      </c>
      <c r="J355" s="1">
        <v>33.08</v>
      </c>
      <c r="K355" s="1">
        <f t="shared" si="12"/>
        <v>115.90901199999999</v>
      </c>
      <c r="L355" s="1">
        <f t="shared" si="13"/>
        <v>234.480988</v>
      </c>
    </row>
    <row r="356" spans="1:12" x14ac:dyDescent="0.35">
      <c r="A356" s="1">
        <v>1354</v>
      </c>
      <c r="B356" s="2">
        <v>44391</v>
      </c>
      <c r="C356" s="1" t="s">
        <v>14</v>
      </c>
      <c r="D356" s="1" t="s">
        <v>55</v>
      </c>
      <c r="E356" s="1" t="s">
        <v>31</v>
      </c>
      <c r="F356" s="1">
        <v>4025.33</v>
      </c>
      <c r="G356" s="1" t="s">
        <v>161</v>
      </c>
      <c r="H356" s="2">
        <v>29386</v>
      </c>
      <c r="I356" s="2">
        <v>44403</v>
      </c>
      <c r="J356" s="1">
        <v>18.64</v>
      </c>
      <c r="K356" s="1">
        <f t="shared" si="12"/>
        <v>750.32151199999998</v>
      </c>
      <c r="L356" s="1">
        <f t="shared" si="13"/>
        <v>3275.0084879999999</v>
      </c>
    </row>
    <row r="357" spans="1:12" x14ac:dyDescent="0.35">
      <c r="A357" s="1">
        <v>1355</v>
      </c>
      <c r="B357" s="2">
        <v>44701</v>
      </c>
      <c r="C357" s="1" t="s">
        <v>26</v>
      </c>
      <c r="D357" s="1" t="s">
        <v>49</v>
      </c>
      <c r="E357" s="1" t="s">
        <v>12</v>
      </c>
      <c r="F357" s="1">
        <v>1665.27</v>
      </c>
      <c r="G357" s="1" t="s">
        <v>229</v>
      </c>
      <c r="H357" s="2">
        <v>37783</v>
      </c>
      <c r="I357" s="2">
        <v>44713</v>
      </c>
      <c r="J357" s="1">
        <v>34.700000000000003</v>
      </c>
      <c r="K357" s="1">
        <f t="shared" si="12"/>
        <v>577.84869000000003</v>
      </c>
      <c r="L357" s="1">
        <f t="shared" si="13"/>
        <v>1087.4213099999999</v>
      </c>
    </row>
    <row r="358" spans="1:12" x14ac:dyDescent="0.35">
      <c r="A358" s="1">
        <v>1356</v>
      </c>
      <c r="B358" s="2">
        <v>44231</v>
      </c>
      <c r="C358" s="1" t="s">
        <v>14</v>
      </c>
      <c r="D358" s="1" t="s">
        <v>15</v>
      </c>
      <c r="E358" s="1" t="s">
        <v>16</v>
      </c>
      <c r="F358" s="1">
        <v>3294.52</v>
      </c>
      <c r="G358" s="1" t="s">
        <v>249</v>
      </c>
      <c r="H358" s="2">
        <v>28555</v>
      </c>
      <c r="I358" s="2">
        <v>44243</v>
      </c>
      <c r="J358" s="1">
        <v>5.31</v>
      </c>
      <c r="K358" s="1">
        <f t="shared" si="12"/>
        <v>174.93901199999999</v>
      </c>
      <c r="L358" s="1">
        <f t="shared" si="13"/>
        <v>3119.5809880000002</v>
      </c>
    </row>
    <row r="359" spans="1:12" x14ac:dyDescent="0.35">
      <c r="A359" s="1">
        <v>1357</v>
      </c>
      <c r="B359" s="2">
        <v>44525</v>
      </c>
      <c r="C359" s="1" t="s">
        <v>10</v>
      </c>
      <c r="D359" s="1" t="s">
        <v>15</v>
      </c>
      <c r="E359" s="1" t="s">
        <v>16</v>
      </c>
      <c r="F359" s="1">
        <v>3300.32</v>
      </c>
      <c r="G359" s="1" t="s">
        <v>54</v>
      </c>
      <c r="H359" s="2">
        <v>31082</v>
      </c>
      <c r="I359" s="2">
        <v>44534</v>
      </c>
      <c r="J359" s="1">
        <v>29.45</v>
      </c>
      <c r="K359" s="1">
        <f t="shared" si="12"/>
        <v>971.94424000000004</v>
      </c>
      <c r="L359" s="1">
        <f t="shared" si="13"/>
        <v>2328.3757599999999</v>
      </c>
    </row>
    <row r="360" spans="1:12" x14ac:dyDescent="0.35">
      <c r="A360" s="1">
        <v>1358</v>
      </c>
      <c r="B360" s="2">
        <v>44747</v>
      </c>
      <c r="C360" s="1" t="s">
        <v>21</v>
      </c>
      <c r="D360" s="1" t="s">
        <v>44</v>
      </c>
      <c r="E360" s="1" t="s">
        <v>16</v>
      </c>
      <c r="F360" s="1">
        <v>958.82</v>
      </c>
      <c r="G360" s="1" t="s">
        <v>92</v>
      </c>
      <c r="H360" s="2">
        <v>24544</v>
      </c>
      <c r="I360" s="2">
        <v>44754</v>
      </c>
      <c r="J360" s="1">
        <v>17.29</v>
      </c>
      <c r="K360" s="1">
        <f t="shared" si="12"/>
        <v>165.779978</v>
      </c>
      <c r="L360" s="1">
        <f t="shared" si="13"/>
        <v>793.04002200000002</v>
      </c>
    </row>
    <row r="361" spans="1:12" x14ac:dyDescent="0.35">
      <c r="A361" s="1">
        <v>1359</v>
      </c>
      <c r="B361" s="2">
        <v>45276</v>
      </c>
      <c r="C361" s="1" t="s">
        <v>35</v>
      </c>
      <c r="D361" s="1" t="s">
        <v>58</v>
      </c>
      <c r="E361" s="1" t="s">
        <v>31</v>
      </c>
      <c r="F361" s="1">
        <v>3637.29</v>
      </c>
      <c r="G361" s="1" t="s">
        <v>250</v>
      </c>
      <c r="H361" s="2">
        <v>33892</v>
      </c>
      <c r="I361" s="2">
        <v>45282</v>
      </c>
      <c r="J361" s="1">
        <v>41.8</v>
      </c>
      <c r="K361" s="1">
        <f t="shared" si="12"/>
        <v>1520.3872199999998</v>
      </c>
      <c r="L361" s="1">
        <f t="shared" si="13"/>
        <v>2116.9027800000003</v>
      </c>
    </row>
    <row r="362" spans="1:12" x14ac:dyDescent="0.35">
      <c r="A362" s="1">
        <v>1360</v>
      </c>
      <c r="B362" s="2">
        <v>44443</v>
      </c>
      <c r="C362" s="1" t="s">
        <v>21</v>
      </c>
      <c r="D362" s="1" t="s">
        <v>22</v>
      </c>
      <c r="E362" s="1" t="s">
        <v>19</v>
      </c>
      <c r="F362" s="1">
        <v>3902.12</v>
      </c>
      <c r="G362" s="1" t="s">
        <v>45</v>
      </c>
      <c r="H362" s="2">
        <v>34367</v>
      </c>
      <c r="I362" s="2">
        <v>44455</v>
      </c>
      <c r="J362" s="1">
        <v>24.06</v>
      </c>
      <c r="K362" s="1">
        <f t="shared" si="12"/>
        <v>938.85007199999995</v>
      </c>
      <c r="L362" s="1">
        <f t="shared" si="13"/>
        <v>2963.2699279999997</v>
      </c>
    </row>
    <row r="363" spans="1:12" x14ac:dyDescent="0.35">
      <c r="A363" s="1">
        <v>1361</v>
      </c>
      <c r="B363" s="2">
        <v>44141</v>
      </c>
      <c r="C363" s="1" t="s">
        <v>21</v>
      </c>
      <c r="D363" s="1" t="s">
        <v>30</v>
      </c>
      <c r="E363" s="1" t="s">
        <v>31</v>
      </c>
      <c r="F363" s="1">
        <v>140.26</v>
      </c>
      <c r="G363" s="1" t="s">
        <v>145</v>
      </c>
      <c r="H363" s="2">
        <v>23470</v>
      </c>
      <c r="I363" s="2">
        <v>44149</v>
      </c>
      <c r="J363" s="1">
        <v>41.53</v>
      </c>
      <c r="K363" s="1">
        <f t="shared" si="12"/>
        <v>58.249977999999999</v>
      </c>
      <c r="L363" s="1">
        <f t="shared" si="13"/>
        <v>82.010021999999992</v>
      </c>
    </row>
    <row r="364" spans="1:12" x14ac:dyDescent="0.35">
      <c r="A364" s="1">
        <v>1362</v>
      </c>
      <c r="B364" s="2">
        <v>44105</v>
      </c>
      <c r="C364" s="1" t="s">
        <v>35</v>
      </c>
      <c r="D364" s="1" t="s">
        <v>65</v>
      </c>
      <c r="E364" s="1" t="s">
        <v>19</v>
      </c>
      <c r="F364" s="1">
        <v>3442.22</v>
      </c>
      <c r="G364" s="1" t="s">
        <v>206</v>
      </c>
      <c r="H364" s="2">
        <v>34011</v>
      </c>
      <c r="I364" s="2">
        <v>44107</v>
      </c>
      <c r="J364" s="1">
        <v>18.84</v>
      </c>
      <c r="K364" s="1">
        <f t="shared" si="12"/>
        <v>648.51424799999995</v>
      </c>
      <c r="L364" s="1">
        <f t="shared" si="13"/>
        <v>2793.7057519999998</v>
      </c>
    </row>
    <row r="365" spans="1:12" x14ac:dyDescent="0.35">
      <c r="A365" s="1">
        <v>1363</v>
      </c>
      <c r="B365" s="2">
        <v>45148</v>
      </c>
      <c r="C365" s="1" t="s">
        <v>21</v>
      </c>
      <c r="D365" s="1" t="s">
        <v>102</v>
      </c>
      <c r="E365" s="1" t="s">
        <v>12</v>
      </c>
      <c r="F365" s="1">
        <v>688.58</v>
      </c>
      <c r="G365" s="1" t="s">
        <v>117</v>
      </c>
      <c r="H365" s="2">
        <v>23513</v>
      </c>
      <c r="I365" s="2">
        <v>45159</v>
      </c>
      <c r="J365" s="1">
        <v>24.61</v>
      </c>
      <c r="K365" s="1">
        <f t="shared" si="12"/>
        <v>169.45953800000001</v>
      </c>
      <c r="L365" s="1">
        <f t="shared" si="13"/>
        <v>519.12046200000009</v>
      </c>
    </row>
    <row r="366" spans="1:12" x14ac:dyDescent="0.35">
      <c r="A366" s="1">
        <v>1364</v>
      </c>
      <c r="B366" s="2">
        <v>45666</v>
      </c>
      <c r="C366" s="1" t="s">
        <v>26</v>
      </c>
      <c r="D366" s="1" t="s">
        <v>27</v>
      </c>
      <c r="E366" s="1" t="s">
        <v>28</v>
      </c>
      <c r="F366" s="1">
        <v>178.24</v>
      </c>
      <c r="G366" s="1" t="s">
        <v>32</v>
      </c>
      <c r="H366" s="2">
        <v>27166</v>
      </c>
      <c r="I366" s="2">
        <v>45676</v>
      </c>
      <c r="J366" s="1">
        <v>40.270000000000003</v>
      </c>
      <c r="K366" s="1">
        <f t="shared" si="12"/>
        <v>71.777248000000014</v>
      </c>
      <c r="L366" s="1">
        <f t="shared" si="13"/>
        <v>106.46275199999999</v>
      </c>
    </row>
    <row r="367" spans="1:12" x14ac:dyDescent="0.35">
      <c r="A367" s="1">
        <v>1365</v>
      </c>
      <c r="B367" s="2">
        <v>44557</v>
      </c>
      <c r="C367" s="1" t="s">
        <v>14</v>
      </c>
      <c r="D367" s="1" t="s">
        <v>30</v>
      </c>
      <c r="E367" s="1" t="s">
        <v>31</v>
      </c>
      <c r="F367" s="1">
        <v>3989.42</v>
      </c>
      <c r="G367" s="1" t="s">
        <v>56</v>
      </c>
      <c r="H367" s="2">
        <v>25712</v>
      </c>
      <c r="I367" s="2">
        <v>44563</v>
      </c>
      <c r="J367" s="1">
        <v>4.76</v>
      </c>
      <c r="K367" s="1">
        <f t="shared" si="12"/>
        <v>189.89639199999999</v>
      </c>
      <c r="L367" s="1">
        <f t="shared" si="13"/>
        <v>3799.523608</v>
      </c>
    </row>
    <row r="368" spans="1:12" x14ac:dyDescent="0.35">
      <c r="A368" s="1">
        <v>1366</v>
      </c>
      <c r="B368" s="2">
        <v>44384</v>
      </c>
      <c r="C368" s="1" t="s">
        <v>10</v>
      </c>
      <c r="D368" s="1" t="s">
        <v>38</v>
      </c>
      <c r="E368" s="1" t="s">
        <v>28</v>
      </c>
      <c r="F368" s="1">
        <v>3857.76</v>
      </c>
      <c r="G368" s="1" t="s">
        <v>243</v>
      </c>
      <c r="H368" s="2">
        <v>29103</v>
      </c>
      <c r="I368" s="2">
        <v>44392</v>
      </c>
      <c r="J368" s="1">
        <v>14.13</v>
      </c>
      <c r="K368" s="1">
        <f t="shared" si="12"/>
        <v>545.10148800000002</v>
      </c>
      <c r="L368" s="1">
        <f t="shared" si="13"/>
        <v>3312.658512</v>
      </c>
    </row>
    <row r="369" spans="1:12" x14ac:dyDescent="0.35">
      <c r="A369" s="1">
        <v>1367</v>
      </c>
      <c r="B369" s="2">
        <v>44141</v>
      </c>
      <c r="C369" s="1" t="s">
        <v>14</v>
      </c>
      <c r="D369" s="1" t="s">
        <v>24</v>
      </c>
      <c r="E369" s="1" t="s">
        <v>19</v>
      </c>
      <c r="F369" s="1">
        <v>1160.47</v>
      </c>
      <c r="G369" s="1" t="s">
        <v>82</v>
      </c>
      <c r="H369" s="2">
        <v>38879</v>
      </c>
      <c r="I369" s="2">
        <v>44142</v>
      </c>
      <c r="J369" s="1">
        <v>31.35</v>
      </c>
      <c r="K369" s="1">
        <f t="shared" si="12"/>
        <v>363.807345</v>
      </c>
      <c r="L369" s="1">
        <f t="shared" si="13"/>
        <v>796.66265500000009</v>
      </c>
    </row>
    <row r="370" spans="1:12" x14ac:dyDescent="0.35">
      <c r="A370" s="1">
        <v>1368</v>
      </c>
      <c r="B370" s="2">
        <v>44920</v>
      </c>
      <c r="C370" s="1" t="s">
        <v>14</v>
      </c>
      <c r="D370" s="1" t="s">
        <v>18</v>
      </c>
      <c r="E370" s="1" t="s">
        <v>19</v>
      </c>
      <c r="F370" s="1">
        <v>631.92999999999995</v>
      </c>
      <c r="G370" s="1" t="s">
        <v>251</v>
      </c>
      <c r="H370" s="2">
        <v>25440</v>
      </c>
      <c r="I370" s="2">
        <v>44932</v>
      </c>
      <c r="J370" s="1">
        <v>11.71</v>
      </c>
      <c r="K370" s="1">
        <f t="shared" si="12"/>
        <v>73.999003000000002</v>
      </c>
      <c r="L370" s="1">
        <f t="shared" si="13"/>
        <v>557.93099699999993</v>
      </c>
    </row>
    <row r="371" spans="1:12" x14ac:dyDescent="0.35">
      <c r="A371" s="1">
        <v>1369</v>
      </c>
      <c r="B371" s="2">
        <v>45674</v>
      </c>
      <c r="C371" s="1" t="s">
        <v>10</v>
      </c>
      <c r="D371" s="1" t="s">
        <v>53</v>
      </c>
      <c r="E371" s="1" t="s">
        <v>28</v>
      </c>
      <c r="F371" s="1">
        <v>3121.09</v>
      </c>
      <c r="G371" s="1" t="s">
        <v>163</v>
      </c>
      <c r="H371" s="2">
        <v>30364</v>
      </c>
      <c r="I371" s="2">
        <v>45687</v>
      </c>
      <c r="J371" s="1">
        <v>38.82</v>
      </c>
      <c r="K371" s="1">
        <f t="shared" si="12"/>
        <v>1211.6071380000001</v>
      </c>
      <c r="L371" s="1">
        <f t="shared" si="13"/>
        <v>1909.4828620000001</v>
      </c>
    </row>
    <row r="372" spans="1:12" x14ac:dyDescent="0.35">
      <c r="A372" s="1">
        <v>1370</v>
      </c>
      <c r="B372" s="2">
        <v>45702</v>
      </c>
      <c r="C372" s="1" t="s">
        <v>10</v>
      </c>
      <c r="D372" s="1" t="s">
        <v>102</v>
      </c>
      <c r="E372" s="1" t="s">
        <v>12</v>
      </c>
      <c r="F372" s="1">
        <v>2623.27</v>
      </c>
      <c r="G372" s="1" t="s">
        <v>202</v>
      </c>
      <c r="H372" s="2">
        <v>24802</v>
      </c>
      <c r="I372" s="2">
        <v>45707</v>
      </c>
      <c r="J372" s="1">
        <v>29.54</v>
      </c>
      <c r="K372" s="1">
        <f t="shared" si="12"/>
        <v>774.91395799999998</v>
      </c>
      <c r="L372" s="1">
        <f t="shared" si="13"/>
        <v>1848.3560419999999</v>
      </c>
    </row>
    <row r="373" spans="1:12" x14ac:dyDescent="0.35">
      <c r="A373" s="1">
        <v>1371</v>
      </c>
      <c r="B373" s="2">
        <v>45028</v>
      </c>
      <c r="C373" s="1" t="s">
        <v>26</v>
      </c>
      <c r="D373" s="1" t="s">
        <v>55</v>
      </c>
      <c r="E373" s="1" t="s">
        <v>31</v>
      </c>
      <c r="F373" s="1">
        <v>3304.37</v>
      </c>
      <c r="G373" s="1" t="s">
        <v>240</v>
      </c>
      <c r="H373" s="2">
        <v>38478</v>
      </c>
      <c r="I373" s="2">
        <v>45034</v>
      </c>
      <c r="J373" s="1">
        <v>47.9</v>
      </c>
      <c r="K373" s="1">
        <f t="shared" si="12"/>
        <v>1582.79323</v>
      </c>
      <c r="L373" s="1">
        <f t="shared" si="13"/>
        <v>1721.5767699999999</v>
      </c>
    </row>
    <row r="374" spans="1:12" x14ac:dyDescent="0.35">
      <c r="A374" s="1">
        <v>1372</v>
      </c>
      <c r="B374" s="2">
        <v>44691</v>
      </c>
      <c r="C374" s="1" t="s">
        <v>26</v>
      </c>
      <c r="D374" s="1" t="s">
        <v>33</v>
      </c>
      <c r="E374" s="1" t="s">
        <v>16</v>
      </c>
      <c r="F374" s="1">
        <v>4505.3599999999997</v>
      </c>
      <c r="G374" s="1" t="s">
        <v>252</v>
      </c>
      <c r="H374" s="2">
        <v>34209</v>
      </c>
      <c r="I374" s="2">
        <v>44700</v>
      </c>
      <c r="J374" s="1">
        <v>34.29</v>
      </c>
      <c r="K374" s="1">
        <f t="shared" si="12"/>
        <v>1544.8879439999998</v>
      </c>
      <c r="L374" s="1">
        <f t="shared" si="13"/>
        <v>2960.4720559999996</v>
      </c>
    </row>
    <row r="375" spans="1:12" x14ac:dyDescent="0.35">
      <c r="A375" s="1">
        <v>1373</v>
      </c>
      <c r="B375" s="2">
        <v>45007</v>
      </c>
      <c r="C375" s="1" t="s">
        <v>26</v>
      </c>
      <c r="D375" s="1" t="s">
        <v>61</v>
      </c>
      <c r="E375" s="1" t="s">
        <v>19</v>
      </c>
      <c r="F375" s="1">
        <v>3528.12</v>
      </c>
      <c r="G375" s="1" t="s">
        <v>146</v>
      </c>
      <c r="H375" s="2">
        <v>24961</v>
      </c>
      <c r="I375" s="2">
        <v>45008</v>
      </c>
      <c r="J375" s="1">
        <v>5.15</v>
      </c>
      <c r="K375" s="1">
        <f t="shared" si="12"/>
        <v>181.69818000000001</v>
      </c>
      <c r="L375" s="1">
        <f t="shared" si="13"/>
        <v>3346.42182</v>
      </c>
    </row>
    <row r="376" spans="1:12" x14ac:dyDescent="0.35">
      <c r="A376" s="1">
        <v>1374</v>
      </c>
      <c r="B376" s="2">
        <v>45791</v>
      </c>
      <c r="C376" s="1" t="s">
        <v>35</v>
      </c>
      <c r="D376" s="1" t="s">
        <v>55</v>
      </c>
      <c r="E376" s="1" t="s">
        <v>31</v>
      </c>
      <c r="F376" s="1">
        <v>3418.14</v>
      </c>
      <c r="G376" s="1" t="s">
        <v>253</v>
      </c>
      <c r="H376" s="2">
        <v>27131</v>
      </c>
      <c r="I376" s="2">
        <v>45795</v>
      </c>
      <c r="J376" s="1">
        <v>14.35</v>
      </c>
      <c r="K376" s="1">
        <f t="shared" si="12"/>
        <v>490.50308999999993</v>
      </c>
      <c r="L376" s="1">
        <f t="shared" si="13"/>
        <v>2927.6369100000002</v>
      </c>
    </row>
    <row r="377" spans="1:12" x14ac:dyDescent="0.35">
      <c r="A377" s="1">
        <v>1375</v>
      </c>
      <c r="B377" s="2">
        <v>44394</v>
      </c>
      <c r="C377" s="1" t="s">
        <v>35</v>
      </c>
      <c r="D377" s="1" t="s">
        <v>44</v>
      </c>
      <c r="E377" s="1" t="s">
        <v>16</v>
      </c>
      <c r="F377" s="1">
        <v>4990.92</v>
      </c>
      <c r="G377" s="1" t="s">
        <v>179</v>
      </c>
      <c r="H377" s="2">
        <v>30356</v>
      </c>
      <c r="I377" s="2">
        <v>44395</v>
      </c>
      <c r="J377" s="1">
        <v>38.31</v>
      </c>
      <c r="K377" s="1">
        <f t="shared" si="12"/>
        <v>1912.021452</v>
      </c>
      <c r="L377" s="1">
        <f t="shared" si="13"/>
        <v>3078.8985480000001</v>
      </c>
    </row>
    <row r="378" spans="1:12" x14ac:dyDescent="0.35">
      <c r="A378" s="1">
        <v>1376</v>
      </c>
      <c r="B378" s="2">
        <v>45705</v>
      </c>
      <c r="C378" s="1" t="s">
        <v>10</v>
      </c>
      <c r="D378" s="1" t="s">
        <v>30</v>
      </c>
      <c r="E378" s="1" t="s">
        <v>31</v>
      </c>
      <c r="F378" s="1">
        <v>102.8</v>
      </c>
      <c r="G378" s="1" t="s">
        <v>99</v>
      </c>
      <c r="H378" s="2">
        <v>26397</v>
      </c>
      <c r="I378" s="2">
        <v>45716</v>
      </c>
      <c r="J378" s="1">
        <v>43.1</v>
      </c>
      <c r="K378" s="1">
        <f t="shared" si="12"/>
        <v>44.306799999999996</v>
      </c>
      <c r="L378" s="1">
        <f t="shared" si="13"/>
        <v>58.493200000000002</v>
      </c>
    </row>
    <row r="379" spans="1:12" x14ac:dyDescent="0.35">
      <c r="A379" s="1">
        <v>1377</v>
      </c>
      <c r="B379" s="2">
        <v>44797</v>
      </c>
      <c r="C379" s="1" t="s">
        <v>21</v>
      </c>
      <c r="D379" s="1" t="s">
        <v>71</v>
      </c>
      <c r="E379" s="1" t="s">
        <v>31</v>
      </c>
      <c r="F379" s="1">
        <v>791.47</v>
      </c>
      <c r="G379" s="1" t="s">
        <v>220</v>
      </c>
      <c r="H379" s="2">
        <v>30755</v>
      </c>
      <c r="I379" s="2">
        <v>44800</v>
      </c>
      <c r="J379" s="1">
        <v>32.590000000000003</v>
      </c>
      <c r="K379" s="1">
        <f t="shared" si="12"/>
        <v>257.94007300000004</v>
      </c>
      <c r="L379" s="1">
        <f t="shared" si="13"/>
        <v>533.52992700000004</v>
      </c>
    </row>
    <row r="380" spans="1:12" x14ac:dyDescent="0.35">
      <c r="A380" s="1">
        <v>1378</v>
      </c>
      <c r="B380" s="2">
        <v>44166</v>
      </c>
      <c r="C380" s="1" t="s">
        <v>26</v>
      </c>
      <c r="D380" s="1" t="s">
        <v>47</v>
      </c>
      <c r="E380" s="1" t="s">
        <v>12</v>
      </c>
      <c r="F380" s="1">
        <v>2713.64</v>
      </c>
      <c r="G380" s="1" t="s">
        <v>254</v>
      </c>
      <c r="H380" s="2">
        <v>29366</v>
      </c>
      <c r="I380" s="2">
        <v>44179</v>
      </c>
      <c r="J380" s="1">
        <v>30.32</v>
      </c>
      <c r="K380" s="1">
        <f t="shared" si="12"/>
        <v>822.77564800000005</v>
      </c>
      <c r="L380" s="1">
        <f t="shared" si="13"/>
        <v>1890.8643519999998</v>
      </c>
    </row>
    <row r="381" spans="1:12" x14ac:dyDescent="0.35">
      <c r="A381" s="1">
        <v>1379</v>
      </c>
      <c r="B381" s="2">
        <v>44358</v>
      </c>
      <c r="C381" s="1" t="s">
        <v>26</v>
      </c>
      <c r="D381" s="1" t="s">
        <v>69</v>
      </c>
      <c r="E381" s="1" t="s">
        <v>31</v>
      </c>
      <c r="F381" s="1">
        <v>3215.09</v>
      </c>
      <c r="G381" s="1" t="s">
        <v>255</v>
      </c>
      <c r="H381" s="2">
        <v>22646</v>
      </c>
      <c r="I381" s="2">
        <v>44368</v>
      </c>
      <c r="J381" s="1">
        <v>1.58</v>
      </c>
      <c r="K381" s="1">
        <f t="shared" si="12"/>
        <v>50.798422000000009</v>
      </c>
      <c r="L381" s="1">
        <f t="shared" si="13"/>
        <v>3164.2915780000003</v>
      </c>
    </row>
    <row r="382" spans="1:12" x14ac:dyDescent="0.35">
      <c r="A382" s="1">
        <v>1380</v>
      </c>
      <c r="B382" s="2">
        <v>44767</v>
      </c>
      <c r="C382" s="1" t="s">
        <v>26</v>
      </c>
      <c r="D382" s="1" t="s">
        <v>65</v>
      </c>
      <c r="E382" s="1" t="s">
        <v>19</v>
      </c>
      <c r="F382" s="1">
        <v>2690.03</v>
      </c>
      <c r="G382" s="1" t="s">
        <v>199</v>
      </c>
      <c r="H382" s="2">
        <v>25341</v>
      </c>
      <c r="I382" s="2">
        <v>44776</v>
      </c>
      <c r="J382" s="1">
        <v>33.44</v>
      </c>
      <c r="K382" s="1">
        <f t="shared" si="12"/>
        <v>899.54603199999997</v>
      </c>
      <c r="L382" s="1">
        <f t="shared" si="13"/>
        <v>1790.4839680000002</v>
      </c>
    </row>
    <row r="383" spans="1:12" x14ac:dyDescent="0.35">
      <c r="A383" s="1">
        <v>1381</v>
      </c>
      <c r="B383" s="2">
        <v>45262</v>
      </c>
      <c r="C383" s="1" t="s">
        <v>21</v>
      </c>
      <c r="D383" s="1" t="s">
        <v>44</v>
      </c>
      <c r="E383" s="1" t="s">
        <v>16</v>
      </c>
      <c r="F383" s="1">
        <v>673.16</v>
      </c>
      <c r="G383" s="1" t="s">
        <v>159</v>
      </c>
      <c r="H383" s="2">
        <v>38194</v>
      </c>
      <c r="I383" s="2">
        <v>45268</v>
      </c>
      <c r="J383" s="1">
        <v>42.27</v>
      </c>
      <c r="K383" s="1">
        <f t="shared" si="12"/>
        <v>284.54473200000001</v>
      </c>
      <c r="L383" s="1">
        <f t="shared" si="13"/>
        <v>388.61526799999996</v>
      </c>
    </row>
    <row r="384" spans="1:12" x14ac:dyDescent="0.35">
      <c r="A384" s="1">
        <v>1382</v>
      </c>
      <c r="B384" s="2">
        <v>45737</v>
      </c>
      <c r="C384" s="1" t="s">
        <v>35</v>
      </c>
      <c r="D384" s="1" t="s">
        <v>58</v>
      </c>
      <c r="E384" s="1" t="s">
        <v>31</v>
      </c>
      <c r="F384" s="1">
        <v>889.97</v>
      </c>
      <c r="G384" s="1" t="s">
        <v>245</v>
      </c>
      <c r="H384" s="2">
        <v>32205</v>
      </c>
      <c r="I384" s="2">
        <v>45749</v>
      </c>
      <c r="J384" s="1">
        <v>3.54</v>
      </c>
      <c r="K384" s="1">
        <f t="shared" si="12"/>
        <v>31.504938000000003</v>
      </c>
      <c r="L384" s="1">
        <f t="shared" si="13"/>
        <v>858.46506199999999</v>
      </c>
    </row>
    <row r="385" spans="1:12" x14ac:dyDescent="0.35">
      <c r="A385" s="1">
        <v>1383</v>
      </c>
      <c r="B385" s="2">
        <v>44672</v>
      </c>
      <c r="C385" s="1" t="s">
        <v>21</v>
      </c>
      <c r="D385" s="1" t="s">
        <v>65</v>
      </c>
      <c r="E385" s="1" t="s">
        <v>19</v>
      </c>
      <c r="F385" s="1">
        <v>1416.62</v>
      </c>
      <c r="G385" s="1" t="s">
        <v>56</v>
      </c>
      <c r="H385" s="2">
        <v>25712</v>
      </c>
      <c r="I385" s="2">
        <v>44673</v>
      </c>
      <c r="J385" s="1">
        <v>33.68</v>
      </c>
      <c r="K385" s="1">
        <f t="shared" si="12"/>
        <v>477.11761599999994</v>
      </c>
      <c r="L385" s="1">
        <f t="shared" si="13"/>
        <v>939.50238399999989</v>
      </c>
    </row>
    <row r="386" spans="1:12" x14ac:dyDescent="0.35">
      <c r="A386" s="1">
        <v>1384</v>
      </c>
      <c r="B386" s="2">
        <v>45185</v>
      </c>
      <c r="C386" s="1" t="s">
        <v>35</v>
      </c>
      <c r="D386" s="1" t="s">
        <v>38</v>
      </c>
      <c r="E386" s="1" t="s">
        <v>28</v>
      </c>
      <c r="F386" s="1">
        <v>699.51</v>
      </c>
      <c r="G386" s="1" t="s">
        <v>74</v>
      </c>
      <c r="H386" s="2">
        <v>31224</v>
      </c>
      <c r="I386" s="2">
        <v>45198</v>
      </c>
      <c r="J386" s="1">
        <v>6.44</v>
      </c>
      <c r="K386" s="1">
        <f t="shared" si="12"/>
        <v>45.048443999999996</v>
      </c>
      <c r="L386" s="1">
        <f t="shared" si="13"/>
        <v>654.46155599999997</v>
      </c>
    </row>
    <row r="387" spans="1:12" x14ac:dyDescent="0.35">
      <c r="A387" s="1">
        <v>1385</v>
      </c>
      <c r="B387" s="2">
        <v>44680</v>
      </c>
      <c r="C387" s="1" t="s">
        <v>26</v>
      </c>
      <c r="D387" s="1" t="s">
        <v>22</v>
      </c>
      <c r="E387" s="1" t="s">
        <v>19</v>
      </c>
      <c r="F387" s="1">
        <v>720.99</v>
      </c>
      <c r="G387" s="1" t="s">
        <v>96</v>
      </c>
      <c r="H387" s="2">
        <v>36236</v>
      </c>
      <c r="I387" s="2">
        <v>44694</v>
      </c>
      <c r="J387" s="1">
        <v>24</v>
      </c>
      <c r="K387" s="1">
        <f t="shared" ref="K387:K450" si="14">F387*J387%</f>
        <v>173.0376</v>
      </c>
      <c r="L387" s="1">
        <f t="shared" ref="L387:L450" si="15">F387-K387</f>
        <v>547.95240000000001</v>
      </c>
    </row>
    <row r="388" spans="1:12" x14ac:dyDescent="0.35">
      <c r="A388" s="1">
        <v>1386</v>
      </c>
      <c r="B388" s="2">
        <v>44786</v>
      </c>
      <c r="C388" s="1" t="s">
        <v>21</v>
      </c>
      <c r="D388" s="1" t="s">
        <v>61</v>
      </c>
      <c r="E388" s="1" t="s">
        <v>19</v>
      </c>
      <c r="F388" s="1">
        <v>1559.47</v>
      </c>
      <c r="G388" s="1" t="s">
        <v>32</v>
      </c>
      <c r="H388" s="2">
        <v>27166</v>
      </c>
      <c r="I388" s="2">
        <v>44787</v>
      </c>
      <c r="J388" s="1">
        <v>21.2</v>
      </c>
      <c r="K388" s="1">
        <f t="shared" si="14"/>
        <v>330.60764</v>
      </c>
      <c r="L388" s="1">
        <f t="shared" si="15"/>
        <v>1228.8623600000001</v>
      </c>
    </row>
    <row r="389" spans="1:12" x14ac:dyDescent="0.35">
      <c r="A389" s="1">
        <v>1387</v>
      </c>
      <c r="B389" s="2">
        <v>45862</v>
      </c>
      <c r="C389" s="1" t="s">
        <v>35</v>
      </c>
      <c r="D389" s="1" t="s">
        <v>22</v>
      </c>
      <c r="E389" s="1" t="s">
        <v>19</v>
      </c>
      <c r="F389" s="1">
        <v>3501.39</v>
      </c>
      <c r="G389" s="1" t="s">
        <v>70</v>
      </c>
      <c r="H389" s="2">
        <v>30887</v>
      </c>
      <c r="I389" s="2">
        <v>45867</v>
      </c>
      <c r="J389" s="1">
        <v>45.42</v>
      </c>
      <c r="K389" s="1">
        <f t="shared" si="14"/>
        <v>1590.331338</v>
      </c>
      <c r="L389" s="1">
        <f t="shared" si="15"/>
        <v>1911.0586619999999</v>
      </c>
    </row>
    <row r="390" spans="1:12" x14ac:dyDescent="0.35">
      <c r="A390" s="1">
        <v>1388</v>
      </c>
      <c r="B390" s="2">
        <v>45395</v>
      </c>
      <c r="C390" s="1" t="s">
        <v>21</v>
      </c>
      <c r="D390" s="1" t="s">
        <v>27</v>
      </c>
      <c r="E390" s="1" t="s">
        <v>28</v>
      </c>
      <c r="F390" s="1">
        <v>3118.17</v>
      </c>
      <c r="G390" s="1" t="s">
        <v>130</v>
      </c>
      <c r="H390" s="2">
        <v>38750</v>
      </c>
      <c r="I390" s="2">
        <v>45404</v>
      </c>
      <c r="J390" s="1">
        <v>8.19</v>
      </c>
      <c r="K390" s="1">
        <f t="shared" si="14"/>
        <v>255.37812300000002</v>
      </c>
      <c r="L390" s="1">
        <f t="shared" si="15"/>
        <v>2862.7918770000001</v>
      </c>
    </row>
    <row r="391" spans="1:12" x14ac:dyDescent="0.35">
      <c r="A391" s="1">
        <v>1389</v>
      </c>
      <c r="B391" s="2">
        <v>45137</v>
      </c>
      <c r="C391" s="1" t="s">
        <v>10</v>
      </c>
      <c r="D391" s="1" t="s">
        <v>73</v>
      </c>
      <c r="E391" s="1" t="s">
        <v>28</v>
      </c>
      <c r="F391" s="1">
        <v>2753.34</v>
      </c>
      <c r="G391" s="1" t="s">
        <v>234</v>
      </c>
      <c r="H391" s="2">
        <v>24368</v>
      </c>
      <c r="I391" s="2">
        <v>45151</v>
      </c>
      <c r="J391" s="1">
        <v>11.08</v>
      </c>
      <c r="K391" s="1">
        <f t="shared" si="14"/>
        <v>305.07007199999998</v>
      </c>
      <c r="L391" s="1">
        <f t="shared" si="15"/>
        <v>2448.2699280000002</v>
      </c>
    </row>
    <row r="392" spans="1:12" x14ac:dyDescent="0.35">
      <c r="A392" s="1">
        <v>1390</v>
      </c>
      <c r="B392" s="2">
        <v>44750</v>
      </c>
      <c r="C392" s="1" t="s">
        <v>14</v>
      </c>
      <c r="D392" s="1" t="s">
        <v>44</v>
      </c>
      <c r="E392" s="1" t="s">
        <v>16</v>
      </c>
      <c r="F392" s="1">
        <v>3871.08</v>
      </c>
      <c r="G392" s="1" t="s">
        <v>119</v>
      </c>
      <c r="H392" s="2">
        <v>34954</v>
      </c>
      <c r="I392" s="2">
        <v>44755</v>
      </c>
      <c r="J392" s="1">
        <v>24.54</v>
      </c>
      <c r="K392" s="1">
        <f t="shared" si="14"/>
        <v>949.96303199999988</v>
      </c>
      <c r="L392" s="1">
        <f t="shared" si="15"/>
        <v>2921.1169680000003</v>
      </c>
    </row>
    <row r="393" spans="1:12" x14ac:dyDescent="0.35">
      <c r="A393" s="1">
        <v>1391</v>
      </c>
      <c r="B393" s="2">
        <v>45826</v>
      </c>
      <c r="C393" s="1" t="s">
        <v>21</v>
      </c>
      <c r="D393" s="1" t="s">
        <v>24</v>
      </c>
      <c r="E393" s="1" t="s">
        <v>19</v>
      </c>
      <c r="F393" s="1">
        <v>2487.0300000000002</v>
      </c>
      <c r="G393" s="1" t="s">
        <v>77</v>
      </c>
      <c r="H393" s="2">
        <v>38696</v>
      </c>
      <c r="I393" s="2">
        <v>45830</v>
      </c>
      <c r="J393" s="1">
        <v>16.79</v>
      </c>
      <c r="K393" s="1">
        <f t="shared" si="14"/>
        <v>417.572337</v>
      </c>
      <c r="L393" s="1">
        <f t="shared" si="15"/>
        <v>2069.4576630000001</v>
      </c>
    </row>
    <row r="394" spans="1:12" x14ac:dyDescent="0.35">
      <c r="A394" s="1">
        <v>1392</v>
      </c>
      <c r="B394" s="2">
        <v>44843</v>
      </c>
      <c r="C394" s="1" t="s">
        <v>21</v>
      </c>
      <c r="D394" s="1" t="s">
        <v>27</v>
      </c>
      <c r="E394" s="1" t="s">
        <v>28</v>
      </c>
      <c r="F394" s="1">
        <v>1105.26</v>
      </c>
      <c r="G394" s="1" t="s">
        <v>148</v>
      </c>
      <c r="H394" s="2">
        <v>22007</v>
      </c>
      <c r="I394" s="2">
        <v>44849</v>
      </c>
      <c r="J394" s="1">
        <v>43.12</v>
      </c>
      <c r="K394" s="1">
        <f t="shared" si="14"/>
        <v>476.58811199999997</v>
      </c>
      <c r="L394" s="1">
        <f t="shared" si="15"/>
        <v>628.67188800000008</v>
      </c>
    </row>
    <row r="395" spans="1:12" x14ac:dyDescent="0.35">
      <c r="A395" s="1">
        <v>1393</v>
      </c>
      <c r="B395" s="2">
        <v>45564</v>
      </c>
      <c r="C395" s="1" t="s">
        <v>14</v>
      </c>
      <c r="D395" s="1" t="s">
        <v>30</v>
      </c>
      <c r="E395" s="1" t="s">
        <v>31</v>
      </c>
      <c r="F395" s="1">
        <v>4793.3599999999997</v>
      </c>
      <c r="G395" s="1" t="s">
        <v>85</v>
      </c>
      <c r="H395" s="2">
        <v>37236</v>
      </c>
      <c r="I395" s="2">
        <v>45573</v>
      </c>
      <c r="J395" s="1">
        <v>12.75</v>
      </c>
      <c r="K395" s="1">
        <f t="shared" si="14"/>
        <v>611.15339999999992</v>
      </c>
      <c r="L395" s="1">
        <f t="shared" si="15"/>
        <v>4182.2065999999995</v>
      </c>
    </row>
    <row r="396" spans="1:12" x14ac:dyDescent="0.35">
      <c r="A396" s="1">
        <v>1394</v>
      </c>
      <c r="B396" s="2">
        <v>45042</v>
      </c>
      <c r="C396" s="1" t="s">
        <v>35</v>
      </c>
      <c r="D396" s="1" t="s">
        <v>49</v>
      </c>
      <c r="E396" s="1" t="s">
        <v>12</v>
      </c>
      <c r="F396" s="1">
        <v>356.79</v>
      </c>
      <c r="G396" s="1" t="s">
        <v>107</v>
      </c>
      <c r="H396" s="2">
        <v>26671</v>
      </c>
      <c r="I396" s="2">
        <v>45055</v>
      </c>
      <c r="J396" s="1">
        <v>14.06</v>
      </c>
      <c r="K396" s="1">
        <f t="shared" si="14"/>
        <v>50.164674000000005</v>
      </c>
      <c r="L396" s="1">
        <f t="shared" si="15"/>
        <v>306.62532600000003</v>
      </c>
    </row>
    <row r="397" spans="1:12" x14ac:dyDescent="0.35">
      <c r="A397" s="1">
        <v>1395</v>
      </c>
      <c r="B397" s="2">
        <v>45651</v>
      </c>
      <c r="C397" s="1" t="s">
        <v>26</v>
      </c>
      <c r="D397" s="1" t="s">
        <v>69</v>
      </c>
      <c r="E397" s="1" t="s">
        <v>31</v>
      </c>
      <c r="F397" s="1">
        <v>2324.31</v>
      </c>
      <c r="G397" s="1" t="s">
        <v>256</v>
      </c>
      <c r="H397" s="2">
        <v>34537</v>
      </c>
      <c r="I397" s="2">
        <v>45660</v>
      </c>
      <c r="J397" s="1">
        <v>49.72</v>
      </c>
      <c r="K397" s="1">
        <f t="shared" si="14"/>
        <v>1155.6469319999999</v>
      </c>
      <c r="L397" s="1">
        <f t="shared" si="15"/>
        <v>1168.6630680000001</v>
      </c>
    </row>
    <row r="398" spans="1:12" x14ac:dyDescent="0.35">
      <c r="A398" s="1">
        <v>1396</v>
      </c>
      <c r="B398" s="2">
        <v>44563</v>
      </c>
      <c r="C398" s="1" t="s">
        <v>21</v>
      </c>
      <c r="D398" s="1" t="s">
        <v>24</v>
      </c>
      <c r="E398" s="1" t="s">
        <v>19</v>
      </c>
      <c r="F398" s="1">
        <v>290.12</v>
      </c>
      <c r="G398" s="1" t="s">
        <v>162</v>
      </c>
      <c r="H398" s="2">
        <v>32712</v>
      </c>
      <c r="I398" s="2">
        <v>44567</v>
      </c>
      <c r="J398" s="1">
        <v>29.2</v>
      </c>
      <c r="K398" s="1">
        <f t="shared" si="14"/>
        <v>84.715040000000002</v>
      </c>
      <c r="L398" s="1">
        <f t="shared" si="15"/>
        <v>205.40496000000002</v>
      </c>
    </row>
    <row r="399" spans="1:12" x14ac:dyDescent="0.35">
      <c r="A399" s="1">
        <v>1397</v>
      </c>
      <c r="B399" s="2">
        <v>45467</v>
      </c>
      <c r="C399" s="1" t="s">
        <v>21</v>
      </c>
      <c r="D399" s="1" t="s">
        <v>33</v>
      </c>
      <c r="E399" s="1" t="s">
        <v>16</v>
      </c>
      <c r="F399" s="1">
        <v>2922.55</v>
      </c>
      <c r="G399" s="1" t="s">
        <v>170</v>
      </c>
      <c r="H399" s="2">
        <v>34205</v>
      </c>
      <c r="I399" s="2">
        <v>45481</v>
      </c>
      <c r="J399" s="1">
        <v>25.17</v>
      </c>
      <c r="K399" s="1">
        <f t="shared" si="14"/>
        <v>735.60583500000018</v>
      </c>
      <c r="L399" s="1">
        <f t="shared" si="15"/>
        <v>2186.9441649999999</v>
      </c>
    </row>
    <row r="400" spans="1:12" x14ac:dyDescent="0.35">
      <c r="A400" s="1">
        <v>1398</v>
      </c>
      <c r="B400" s="2">
        <v>44212</v>
      </c>
      <c r="C400" s="1" t="s">
        <v>35</v>
      </c>
      <c r="D400" s="1" t="s">
        <v>88</v>
      </c>
      <c r="E400" s="1" t="s">
        <v>16</v>
      </c>
      <c r="F400" s="1">
        <v>3671.09</v>
      </c>
      <c r="G400" s="1" t="s">
        <v>112</v>
      </c>
      <c r="H400" s="2">
        <v>38171</v>
      </c>
      <c r="I400" s="2">
        <v>44225</v>
      </c>
      <c r="J400" s="1">
        <v>45.75</v>
      </c>
      <c r="K400" s="1">
        <f t="shared" si="14"/>
        <v>1679.5236750000001</v>
      </c>
      <c r="L400" s="1">
        <f t="shared" si="15"/>
        <v>1991.566325</v>
      </c>
    </row>
    <row r="401" spans="1:12" x14ac:dyDescent="0.35">
      <c r="A401" s="1">
        <v>1399</v>
      </c>
      <c r="B401" s="2">
        <v>44519</v>
      </c>
      <c r="C401" s="1" t="s">
        <v>21</v>
      </c>
      <c r="D401" s="1" t="s">
        <v>73</v>
      </c>
      <c r="E401" s="1" t="s">
        <v>28</v>
      </c>
      <c r="F401" s="1">
        <v>2050.44</v>
      </c>
      <c r="G401" s="1" t="s">
        <v>257</v>
      </c>
      <c r="H401" s="2">
        <v>31685</v>
      </c>
      <c r="I401" s="2">
        <v>44524</v>
      </c>
      <c r="J401" s="1">
        <v>25.46</v>
      </c>
      <c r="K401" s="1">
        <f t="shared" si="14"/>
        <v>522.04202399999997</v>
      </c>
      <c r="L401" s="1">
        <f t="shared" si="15"/>
        <v>1528.3979760000002</v>
      </c>
    </row>
    <row r="402" spans="1:12" x14ac:dyDescent="0.35">
      <c r="A402" s="1">
        <v>1400</v>
      </c>
      <c r="B402" s="2">
        <v>44865</v>
      </c>
      <c r="C402" s="1" t="s">
        <v>10</v>
      </c>
      <c r="D402" s="1" t="s">
        <v>88</v>
      </c>
      <c r="E402" s="1" t="s">
        <v>16</v>
      </c>
      <c r="F402" s="1">
        <v>3393.17</v>
      </c>
      <c r="G402" s="1" t="s">
        <v>258</v>
      </c>
      <c r="H402" s="2">
        <v>37946</v>
      </c>
      <c r="I402" s="2">
        <v>44873</v>
      </c>
      <c r="J402" s="1">
        <v>49.78</v>
      </c>
      <c r="K402" s="1">
        <f t="shared" si="14"/>
        <v>1689.1200260000001</v>
      </c>
      <c r="L402" s="1">
        <f t="shared" si="15"/>
        <v>1704.049974</v>
      </c>
    </row>
    <row r="403" spans="1:12" x14ac:dyDescent="0.35">
      <c r="A403" s="1">
        <v>1401</v>
      </c>
      <c r="B403" s="2">
        <v>44345</v>
      </c>
      <c r="C403" s="1" t="s">
        <v>10</v>
      </c>
      <c r="D403" s="1" t="s">
        <v>38</v>
      </c>
      <c r="E403" s="1" t="s">
        <v>28</v>
      </c>
      <c r="F403" s="1">
        <v>3686.7</v>
      </c>
      <c r="G403" s="1" t="s">
        <v>140</v>
      </c>
      <c r="H403" s="2">
        <v>24579</v>
      </c>
      <c r="I403" s="2">
        <v>44355</v>
      </c>
      <c r="J403" s="1">
        <v>4.78</v>
      </c>
      <c r="K403" s="1">
        <f t="shared" si="14"/>
        <v>176.22425999999999</v>
      </c>
      <c r="L403" s="1">
        <f t="shared" si="15"/>
        <v>3510.4757399999999</v>
      </c>
    </row>
    <row r="404" spans="1:12" x14ac:dyDescent="0.35">
      <c r="A404" s="1">
        <v>1402</v>
      </c>
      <c r="B404" s="2">
        <v>45145</v>
      </c>
      <c r="C404" s="1" t="s">
        <v>10</v>
      </c>
      <c r="D404" s="1" t="s">
        <v>102</v>
      </c>
      <c r="E404" s="1" t="s">
        <v>12</v>
      </c>
      <c r="F404" s="1">
        <v>1537.76</v>
      </c>
      <c r="G404" s="1" t="s">
        <v>169</v>
      </c>
      <c r="H404" s="2">
        <v>37894</v>
      </c>
      <c r="I404" s="2">
        <v>45147</v>
      </c>
      <c r="J404" s="1">
        <v>32.08</v>
      </c>
      <c r="K404" s="1">
        <f t="shared" si="14"/>
        <v>493.31340799999998</v>
      </c>
      <c r="L404" s="1">
        <f t="shared" si="15"/>
        <v>1044.446592</v>
      </c>
    </row>
    <row r="405" spans="1:12" x14ac:dyDescent="0.35">
      <c r="A405" s="1">
        <v>1403</v>
      </c>
      <c r="B405" s="2">
        <v>44270</v>
      </c>
      <c r="C405" s="1" t="s">
        <v>26</v>
      </c>
      <c r="D405" s="1" t="s">
        <v>36</v>
      </c>
      <c r="E405" s="1" t="s">
        <v>28</v>
      </c>
      <c r="F405" s="1">
        <v>2977.52</v>
      </c>
      <c r="G405" s="1" t="s">
        <v>249</v>
      </c>
      <c r="H405" s="2">
        <v>28555</v>
      </c>
      <c r="I405" s="2">
        <v>44284</v>
      </c>
      <c r="J405" s="1">
        <v>44.42</v>
      </c>
      <c r="K405" s="1">
        <f t="shared" si="14"/>
        <v>1322.6143840000002</v>
      </c>
      <c r="L405" s="1">
        <f t="shared" si="15"/>
        <v>1654.9056159999998</v>
      </c>
    </row>
    <row r="406" spans="1:12" x14ac:dyDescent="0.35">
      <c r="A406" s="1">
        <v>1404</v>
      </c>
      <c r="B406" s="2">
        <v>44971</v>
      </c>
      <c r="C406" s="1" t="s">
        <v>10</v>
      </c>
      <c r="D406" s="1" t="s">
        <v>11</v>
      </c>
      <c r="E406" s="1" t="s">
        <v>12</v>
      </c>
      <c r="F406" s="1">
        <v>4251.04</v>
      </c>
      <c r="G406" s="1" t="s">
        <v>122</v>
      </c>
      <c r="H406" s="2">
        <v>29720</v>
      </c>
      <c r="I406" s="2">
        <v>44977</v>
      </c>
      <c r="J406" s="1">
        <v>32.68</v>
      </c>
      <c r="K406" s="1">
        <f t="shared" si="14"/>
        <v>1389.2398719999999</v>
      </c>
      <c r="L406" s="1">
        <f t="shared" si="15"/>
        <v>2861.8001279999999</v>
      </c>
    </row>
    <row r="407" spans="1:12" x14ac:dyDescent="0.35">
      <c r="A407" s="1">
        <v>1405</v>
      </c>
      <c r="B407" s="2">
        <v>45710</v>
      </c>
      <c r="C407" s="1" t="s">
        <v>21</v>
      </c>
      <c r="D407" s="1" t="s">
        <v>55</v>
      </c>
      <c r="E407" s="1" t="s">
        <v>31</v>
      </c>
      <c r="F407" s="1">
        <v>2107.34</v>
      </c>
      <c r="G407" s="1" t="s">
        <v>254</v>
      </c>
      <c r="H407" s="2">
        <v>29366</v>
      </c>
      <c r="I407" s="2">
        <v>45720</v>
      </c>
      <c r="J407" s="1">
        <v>49.22</v>
      </c>
      <c r="K407" s="1">
        <f t="shared" si="14"/>
        <v>1037.2327479999999</v>
      </c>
      <c r="L407" s="1">
        <f t="shared" si="15"/>
        <v>1070.1072520000002</v>
      </c>
    </row>
    <row r="408" spans="1:12" x14ac:dyDescent="0.35">
      <c r="A408" s="1">
        <v>1406</v>
      </c>
      <c r="B408" s="2">
        <v>45428</v>
      </c>
      <c r="C408" s="1" t="s">
        <v>21</v>
      </c>
      <c r="D408" s="1" t="s">
        <v>69</v>
      </c>
      <c r="E408" s="1" t="s">
        <v>31</v>
      </c>
      <c r="F408" s="1">
        <v>644.87</v>
      </c>
      <c r="G408" s="1" t="s">
        <v>259</v>
      </c>
      <c r="H408" s="2">
        <v>29938</v>
      </c>
      <c r="I408" s="2">
        <v>45437</v>
      </c>
      <c r="J408" s="1">
        <v>43.54</v>
      </c>
      <c r="K408" s="1">
        <f t="shared" si="14"/>
        <v>280.77639800000003</v>
      </c>
      <c r="L408" s="1">
        <f t="shared" si="15"/>
        <v>364.09360199999998</v>
      </c>
    </row>
    <row r="409" spans="1:12" x14ac:dyDescent="0.35">
      <c r="A409" s="1">
        <v>1407</v>
      </c>
      <c r="B409" s="2">
        <v>45775</v>
      </c>
      <c r="C409" s="1" t="s">
        <v>10</v>
      </c>
      <c r="D409" s="1" t="s">
        <v>44</v>
      </c>
      <c r="E409" s="1" t="s">
        <v>16</v>
      </c>
      <c r="F409" s="1">
        <v>4875.7700000000004</v>
      </c>
      <c r="G409" s="1" t="s">
        <v>25</v>
      </c>
      <c r="H409" s="2">
        <v>33386</v>
      </c>
      <c r="I409" s="2">
        <v>45786</v>
      </c>
      <c r="J409" s="1">
        <v>7.58</v>
      </c>
      <c r="K409" s="1">
        <f t="shared" si="14"/>
        <v>369.58336600000007</v>
      </c>
      <c r="L409" s="1">
        <f t="shared" si="15"/>
        <v>4506.1866340000006</v>
      </c>
    </row>
    <row r="410" spans="1:12" x14ac:dyDescent="0.35">
      <c r="A410" s="1">
        <v>1408</v>
      </c>
      <c r="B410" s="2">
        <v>44816</v>
      </c>
      <c r="C410" s="1" t="s">
        <v>21</v>
      </c>
      <c r="D410" s="1" t="s">
        <v>38</v>
      </c>
      <c r="E410" s="1" t="s">
        <v>28</v>
      </c>
      <c r="F410" s="1">
        <v>571.20000000000005</v>
      </c>
      <c r="G410" s="1" t="s">
        <v>231</v>
      </c>
      <c r="H410" s="2">
        <v>32047</v>
      </c>
      <c r="I410" s="2">
        <v>44825</v>
      </c>
      <c r="J410" s="1">
        <v>37.200000000000003</v>
      </c>
      <c r="K410" s="1">
        <f t="shared" si="14"/>
        <v>212.48640000000006</v>
      </c>
      <c r="L410" s="1">
        <f t="shared" si="15"/>
        <v>358.71359999999999</v>
      </c>
    </row>
    <row r="411" spans="1:12" x14ac:dyDescent="0.35">
      <c r="A411" s="1">
        <v>1409</v>
      </c>
      <c r="B411" s="2">
        <v>45235</v>
      </c>
      <c r="C411" s="1" t="s">
        <v>21</v>
      </c>
      <c r="D411" s="1" t="s">
        <v>61</v>
      </c>
      <c r="E411" s="1" t="s">
        <v>19</v>
      </c>
      <c r="F411" s="1">
        <v>2000.28</v>
      </c>
      <c r="G411" s="1" t="s">
        <v>260</v>
      </c>
      <c r="H411" s="2">
        <v>38628</v>
      </c>
      <c r="I411" s="2">
        <v>45237</v>
      </c>
      <c r="J411" s="1">
        <v>37.200000000000003</v>
      </c>
      <c r="K411" s="1">
        <f t="shared" si="14"/>
        <v>744.10416000000009</v>
      </c>
      <c r="L411" s="1">
        <f t="shared" si="15"/>
        <v>1256.1758399999999</v>
      </c>
    </row>
    <row r="412" spans="1:12" x14ac:dyDescent="0.35">
      <c r="A412" s="1">
        <v>1410</v>
      </c>
      <c r="B412" s="2">
        <v>44170</v>
      </c>
      <c r="C412" s="1" t="s">
        <v>26</v>
      </c>
      <c r="D412" s="1" t="s">
        <v>102</v>
      </c>
      <c r="E412" s="1" t="s">
        <v>12</v>
      </c>
      <c r="F412" s="1">
        <v>3107.81</v>
      </c>
      <c r="G412" s="1" t="s">
        <v>108</v>
      </c>
      <c r="H412" s="2">
        <v>33413</v>
      </c>
      <c r="I412" s="2">
        <v>44184</v>
      </c>
      <c r="J412" s="1">
        <v>27.37</v>
      </c>
      <c r="K412" s="1">
        <f t="shared" si="14"/>
        <v>850.60759699999994</v>
      </c>
      <c r="L412" s="1">
        <f t="shared" si="15"/>
        <v>2257.2024030000002</v>
      </c>
    </row>
    <row r="413" spans="1:12" x14ac:dyDescent="0.35">
      <c r="A413" s="1">
        <v>1411</v>
      </c>
      <c r="B413" s="2">
        <v>45077</v>
      </c>
      <c r="C413" s="1" t="s">
        <v>21</v>
      </c>
      <c r="D413" s="1" t="s">
        <v>69</v>
      </c>
      <c r="E413" s="1" t="s">
        <v>12</v>
      </c>
      <c r="F413" s="1">
        <v>3792.39</v>
      </c>
      <c r="G413" s="1" t="s">
        <v>194</v>
      </c>
      <c r="H413" s="2">
        <v>22210</v>
      </c>
      <c r="I413" s="2">
        <v>45080</v>
      </c>
      <c r="J413" s="1">
        <v>10.57</v>
      </c>
      <c r="K413" s="1">
        <f t="shared" si="14"/>
        <v>400.85562299999998</v>
      </c>
      <c r="L413" s="1">
        <f t="shared" si="15"/>
        <v>3391.5343769999999</v>
      </c>
    </row>
    <row r="414" spans="1:12" x14ac:dyDescent="0.35">
      <c r="A414" s="1">
        <v>1412</v>
      </c>
      <c r="B414" s="2">
        <v>45075</v>
      </c>
      <c r="C414" s="1" t="s">
        <v>21</v>
      </c>
      <c r="D414" s="1" t="s">
        <v>88</v>
      </c>
      <c r="E414" s="1" t="s">
        <v>16</v>
      </c>
      <c r="F414" s="1">
        <v>4759.97</v>
      </c>
      <c r="G414" s="1" t="s">
        <v>261</v>
      </c>
      <c r="H414" s="2">
        <v>23920</v>
      </c>
      <c r="I414" s="2">
        <v>45084</v>
      </c>
      <c r="J414" s="1">
        <v>15.69</v>
      </c>
      <c r="K414" s="1">
        <f t="shared" si="14"/>
        <v>746.839293</v>
      </c>
      <c r="L414" s="1">
        <f t="shared" si="15"/>
        <v>4013.1307070000003</v>
      </c>
    </row>
    <row r="415" spans="1:12" x14ac:dyDescent="0.35">
      <c r="A415" s="1">
        <v>1413</v>
      </c>
      <c r="B415" s="2">
        <v>45701</v>
      </c>
      <c r="C415" s="1" t="s">
        <v>14</v>
      </c>
      <c r="D415" s="1" t="s">
        <v>102</v>
      </c>
      <c r="E415" s="1" t="s">
        <v>12</v>
      </c>
      <c r="F415" s="1">
        <v>981.46</v>
      </c>
      <c r="G415" s="1" t="s">
        <v>42</v>
      </c>
      <c r="H415" s="2">
        <v>26027</v>
      </c>
      <c r="I415" s="2">
        <v>45707</v>
      </c>
      <c r="J415" s="1">
        <v>36.18</v>
      </c>
      <c r="K415" s="1">
        <f t="shared" si="14"/>
        <v>355.09222800000003</v>
      </c>
      <c r="L415" s="1">
        <f t="shared" si="15"/>
        <v>626.36777200000006</v>
      </c>
    </row>
    <row r="416" spans="1:12" x14ac:dyDescent="0.35">
      <c r="A416" s="1">
        <v>1414</v>
      </c>
      <c r="B416" s="2">
        <v>44253</v>
      </c>
      <c r="C416" s="1" t="s">
        <v>14</v>
      </c>
      <c r="D416" s="1" t="s">
        <v>27</v>
      </c>
      <c r="E416" s="1" t="s">
        <v>28</v>
      </c>
      <c r="F416" s="1">
        <v>2570.37</v>
      </c>
      <c r="G416" s="1" t="s">
        <v>262</v>
      </c>
      <c r="H416" s="2">
        <v>36590</v>
      </c>
      <c r="I416" s="2">
        <v>44256</v>
      </c>
      <c r="J416" s="1">
        <v>12.84</v>
      </c>
      <c r="K416" s="1">
        <f t="shared" si="14"/>
        <v>330.03550799999994</v>
      </c>
      <c r="L416" s="1">
        <f t="shared" si="15"/>
        <v>2240.334492</v>
      </c>
    </row>
    <row r="417" spans="1:12" x14ac:dyDescent="0.35">
      <c r="A417" s="1">
        <v>1415</v>
      </c>
      <c r="B417" s="2">
        <v>44729</v>
      </c>
      <c r="C417" s="1" t="s">
        <v>10</v>
      </c>
      <c r="D417" s="1" t="s">
        <v>11</v>
      </c>
      <c r="E417" s="1" t="s">
        <v>12</v>
      </c>
      <c r="F417" s="1">
        <v>2414.83</v>
      </c>
      <c r="G417" s="1" t="s">
        <v>142</v>
      </c>
      <c r="H417" s="2">
        <v>29541</v>
      </c>
      <c r="I417" s="2">
        <v>44736</v>
      </c>
      <c r="J417" s="1">
        <v>5</v>
      </c>
      <c r="K417" s="1">
        <f t="shared" si="14"/>
        <v>120.7415</v>
      </c>
      <c r="L417" s="1">
        <f t="shared" si="15"/>
        <v>2294.0884999999998</v>
      </c>
    </row>
    <row r="418" spans="1:12" x14ac:dyDescent="0.35">
      <c r="A418" s="1">
        <v>1416</v>
      </c>
      <c r="B418" s="2">
        <v>44685</v>
      </c>
      <c r="C418" s="1" t="s">
        <v>10</v>
      </c>
      <c r="D418" s="1" t="s">
        <v>33</v>
      </c>
      <c r="E418" s="1" t="s">
        <v>16</v>
      </c>
      <c r="F418" s="1">
        <v>1422.31</v>
      </c>
      <c r="G418" s="1" t="s">
        <v>74</v>
      </c>
      <c r="H418" s="2">
        <v>31224</v>
      </c>
      <c r="I418" s="2">
        <v>44694</v>
      </c>
      <c r="J418" s="1">
        <v>24.91</v>
      </c>
      <c r="K418" s="1">
        <f t="shared" si="14"/>
        <v>354.29742099999999</v>
      </c>
      <c r="L418" s="1">
        <f t="shared" si="15"/>
        <v>1068.012579</v>
      </c>
    </row>
    <row r="419" spans="1:12" x14ac:dyDescent="0.35">
      <c r="A419" s="1">
        <v>1417</v>
      </c>
      <c r="B419" s="2">
        <v>45723</v>
      </c>
      <c r="C419" s="1" t="s">
        <v>26</v>
      </c>
      <c r="D419" s="1" t="s">
        <v>71</v>
      </c>
      <c r="E419" s="1" t="s">
        <v>31</v>
      </c>
      <c r="F419" s="1">
        <v>4028.63</v>
      </c>
      <c r="G419" s="1" t="s">
        <v>257</v>
      </c>
      <c r="H419" s="2">
        <v>31685</v>
      </c>
      <c r="I419" s="2">
        <v>45728</v>
      </c>
      <c r="J419" s="1">
        <v>12.49</v>
      </c>
      <c r="K419" s="1">
        <f t="shared" si="14"/>
        <v>503.17588699999999</v>
      </c>
      <c r="L419" s="1">
        <f t="shared" si="15"/>
        <v>3525.4541130000002</v>
      </c>
    </row>
    <row r="420" spans="1:12" x14ac:dyDescent="0.35">
      <c r="A420" s="1">
        <v>1418</v>
      </c>
      <c r="B420" s="2">
        <v>44703</v>
      </c>
      <c r="C420" s="1" t="s">
        <v>26</v>
      </c>
      <c r="D420" s="1" t="s">
        <v>38</v>
      </c>
      <c r="E420" s="1" t="s">
        <v>28</v>
      </c>
      <c r="F420" s="1">
        <v>2352.2399999999998</v>
      </c>
      <c r="G420" s="1" t="s">
        <v>149</v>
      </c>
      <c r="H420" s="2">
        <v>26155</v>
      </c>
      <c r="I420" s="2">
        <v>44712</v>
      </c>
      <c r="J420" s="1">
        <v>34.43</v>
      </c>
      <c r="K420" s="1">
        <f t="shared" si="14"/>
        <v>809.87623199999996</v>
      </c>
      <c r="L420" s="1">
        <f t="shared" si="15"/>
        <v>1542.3637679999997</v>
      </c>
    </row>
    <row r="421" spans="1:12" x14ac:dyDescent="0.35">
      <c r="A421" s="1">
        <v>1419</v>
      </c>
      <c r="B421" s="2">
        <v>44665</v>
      </c>
      <c r="C421" s="1" t="s">
        <v>10</v>
      </c>
      <c r="D421" s="1" t="s">
        <v>102</v>
      </c>
      <c r="E421" s="1" t="s">
        <v>12</v>
      </c>
      <c r="F421" s="1">
        <v>3084.03</v>
      </c>
      <c r="G421" s="1" t="s">
        <v>56</v>
      </c>
      <c r="H421" s="2">
        <v>25712</v>
      </c>
      <c r="I421" s="2">
        <v>44678</v>
      </c>
      <c r="J421" s="1">
        <v>21.74</v>
      </c>
      <c r="K421" s="1">
        <f t="shared" si="14"/>
        <v>670.46812199999999</v>
      </c>
      <c r="L421" s="1">
        <f t="shared" si="15"/>
        <v>2413.5618780000004</v>
      </c>
    </row>
    <row r="422" spans="1:12" x14ac:dyDescent="0.35">
      <c r="A422" s="1">
        <v>1420</v>
      </c>
      <c r="B422" s="2">
        <v>44202</v>
      </c>
      <c r="C422" s="1" t="s">
        <v>26</v>
      </c>
      <c r="D422" s="1" t="s">
        <v>71</v>
      </c>
      <c r="E422" s="1" t="s">
        <v>31</v>
      </c>
      <c r="F422" s="1">
        <v>4802.88</v>
      </c>
      <c r="G422" s="1" t="s">
        <v>263</v>
      </c>
      <c r="H422" s="2">
        <v>35629</v>
      </c>
      <c r="I422" s="2">
        <v>44212</v>
      </c>
      <c r="J422" s="1">
        <v>16.18</v>
      </c>
      <c r="K422" s="1">
        <f t="shared" si="14"/>
        <v>777.10598400000003</v>
      </c>
      <c r="L422" s="1">
        <f t="shared" si="15"/>
        <v>4025.7740160000003</v>
      </c>
    </row>
    <row r="423" spans="1:12" x14ac:dyDescent="0.35">
      <c r="A423" s="1">
        <v>1421</v>
      </c>
      <c r="B423" s="2">
        <v>44184</v>
      </c>
      <c r="C423" s="1" t="s">
        <v>26</v>
      </c>
      <c r="D423" s="1" t="s">
        <v>58</v>
      </c>
      <c r="E423" s="1" t="s">
        <v>31</v>
      </c>
      <c r="F423" s="1">
        <v>301.72000000000003</v>
      </c>
      <c r="G423" s="1" t="s">
        <v>192</v>
      </c>
      <c r="H423" s="2">
        <v>33626</v>
      </c>
      <c r="I423" s="2">
        <v>44192</v>
      </c>
      <c r="J423" s="1">
        <v>35.22</v>
      </c>
      <c r="K423" s="1">
        <f t="shared" si="14"/>
        <v>106.26578400000001</v>
      </c>
      <c r="L423" s="1">
        <f t="shared" si="15"/>
        <v>195.45421600000003</v>
      </c>
    </row>
    <row r="424" spans="1:12" x14ac:dyDescent="0.35">
      <c r="A424" s="1">
        <v>1422</v>
      </c>
      <c r="B424" s="2">
        <v>45535</v>
      </c>
      <c r="C424" s="1" t="s">
        <v>35</v>
      </c>
      <c r="D424" s="1" t="s">
        <v>73</v>
      </c>
      <c r="E424" s="1" t="s">
        <v>28</v>
      </c>
      <c r="F424" s="1">
        <v>3938.25</v>
      </c>
      <c r="G424" s="1" t="s">
        <v>101</v>
      </c>
      <c r="H424" s="2">
        <v>31331</v>
      </c>
      <c r="I424" s="2">
        <v>45542</v>
      </c>
      <c r="J424" s="1">
        <v>13.5</v>
      </c>
      <c r="K424" s="1">
        <f t="shared" si="14"/>
        <v>531.66375000000005</v>
      </c>
      <c r="L424" s="1">
        <f t="shared" si="15"/>
        <v>3406.5862499999998</v>
      </c>
    </row>
    <row r="425" spans="1:12" x14ac:dyDescent="0.35">
      <c r="A425" s="1">
        <v>1423</v>
      </c>
      <c r="B425" s="2">
        <v>44794</v>
      </c>
      <c r="C425" s="1" t="s">
        <v>21</v>
      </c>
      <c r="D425" s="1" t="s">
        <v>11</v>
      </c>
      <c r="E425" s="1" t="s">
        <v>12</v>
      </c>
      <c r="F425" s="1">
        <v>3839.42</v>
      </c>
      <c r="G425" s="1" t="s">
        <v>264</v>
      </c>
      <c r="H425" s="2">
        <v>30232</v>
      </c>
      <c r="I425" s="2">
        <v>44795</v>
      </c>
      <c r="J425" s="1">
        <v>15.27</v>
      </c>
      <c r="K425" s="1">
        <f t="shared" si="14"/>
        <v>586.27943400000004</v>
      </c>
      <c r="L425" s="1">
        <f t="shared" si="15"/>
        <v>3253.140566</v>
      </c>
    </row>
    <row r="426" spans="1:12" x14ac:dyDescent="0.35">
      <c r="A426" s="1">
        <v>1424</v>
      </c>
      <c r="B426" s="2">
        <v>45879</v>
      </c>
      <c r="C426" s="1" t="s">
        <v>10</v>
      </c>
      <c r="D426" s="1" t="s">
        <v>22</v>
      </c>
      <c r="E426" s="1" t="s">
        <v>19</v>
      </c>
      <c r="F426" s="1">
        <v>1786.83</v>
      </c>
      <c r="G426" s="1" t="s">
        <v>237</v>
      </c>
      <c r="H426" s="2">
        <v>27455</v>
      </c>
      <c r="I426" s="2">
        <v>45891</v>
      </c>
      <c r="J426" s="1">
        <v>9.4</v>
      </c>
      <c r="K426" s="1">
        <f t="shared" si="14"/>
        <v>167.96202</v>
      </c>
      <c r="L426" s="1">
        <f t="shared" si="15"/>
        <v>1618.86798</v>
      </c>
    </row>
    <row r="427" spans="1:12" x14ac:dyDescent="0.35">
      <c r="A427" s="1">
        <v>1425</v>
      </c>
      <c r="B427" s="2">
        <v>45191</v>
      </c>
      <c r="C427" s="1" t="s">
        <v>14</v>
      </c>
      <c r="D427" s="1" t="s">
        <v>69</v>
      </c>
      <c r="E427" s="1" t="s">
        <v>12</v>
      </c>
      <c r="F427" s="1">
        <v>1466.2</v>
      </c>
      <c r="G427" s="1" t="s">
        <v>176</v>
      </c>
      <c r="H427" s="2">
        <v>33282</v>
      </c>
      <c r="I427" s="2">
        <v>45199</v>
      </c>
      <c r="J427" s="1">
        <v>47.85</v>
      </c>
      <c r="K427" s="1">
        <f t="shared" si="14"/>
        <v>701.57670000000007</v>
      </c>
      <c r="L427" s="1">
        <f t="shared" si="15"/>
        <v>764.62329999999997</v>
      </c>
    </row>
    <row r="428" spans="1:12" x14ac:dyDescent="0.35">
      <c r="A428" s="1">
        <v>1426</v>
      </c>
      <c r="B428" s="2">
        <v>45399</v>
      </c>
      <c r="C428" s="1" t="s">
        <v>10</v>
      </c>
      <c r="D428" s="1" t="s">
        <v>38</v>
      </c>
      <c r="E428" s="1" t="s">
        <v>28</v>
      </c>
      <c r="F428" s="1">
        <v>4168.8999999999996</v>
      </c>
      <c r="G428" s="1" t="s">
        <v>265</v>
      </c>
      <c r="H428" s="2">
        <v>38899</v>
      </c>
      <c r="I428" s="2">
        <v>45402</v>
      </c>
      <c r="J428" s="1">
        <v>10.38</v>
      </c>
      <c r="K428" s="1">
        <f t="shared" si="14"/>
        <v>432.73181999999997</v>
      </c>
      <c r="L428" s="1">
        <f t="shared" si="15"/>
        <v>3736.1681799999997</v>
      </c>
    </row>
    <row r="429" spans="1:12" x14ac:dyDescent="0.35">
      <c r="A429" s="1">
        <v>1427</v>
      </c>
      <c r="B429" s="2">
        <v>45010</v>
      </c>
      <c r="C429" s="1" t="s">
        <v>21</v>
      </c>
      <c r="D429" s="1" t="s">
        <v>15</v>
      </c>
      <c r="E429" s="1" t="s">
        <v>16</v>
      </c>
      <c r="F429" s="1">
        <v>4059.43</v>
      </c>
      <c r="G429" s="1" t="s">
        <v>233</v>
      </c>
      <c r="H429" s="2">
        <v>38826</v>
      </c>
      <c r="I429" s="2">
        <v>45014</v>
      </c>
      <c r="J429" s="1">
        <v>30.89</v>
      </c>
      <c r="K429" s="1">
        <f t="shared" si="14"/>
        <v>1253.9579269999999</v>
      </c>
      <c r="L429" s="1">
        <f t="shared" si="15"/>
        <v>2805.4720729999999</v>
      </c>
    </row>
    <row r="430" spans="1:12" x14ac:dyDescent="0.35">
      <c r="A430" s="1">
        <v>1428</v>
      </c>
      <c r="B430" s="2">
        <v>44404</v>
      </c>
      <c r="C430" s="1" t="s">
        <v>21</v>
      </c>
      <c r="D430" s="1" t="s">
        <v>38</v>
      </c>
      <c r="E430" s="1" t="s">
        <v>28</v>
      </c>
      <c r="F430" s="1">
        <v>463.95</v>
      </c>
      <c r="G430" s="1" t="s">
        <v>242</v>
      </c>
      <c r="H430" s="2">
        <v>21785</v>
      </c>
      <c r="I430" s="2">
        <v>44413</v>
      </c>
      <c r="J430" s="1">
        <v>49.28</v>
      </c>
      <c r="K430" s="1">
        <f t="shared" si="14"/>
        <v>228.63455999999999</v>
      </c>
      <c r="L430" s="1">
        <f t="shared" si="15"/>
        <v>235.31544</v>
      </c>
    </row>
    <row r="431" spans="1:12" x14ac:dyDescent="0.35">
      <c r="A431" s="1">
        <v>1429</v>
      </c>
      <c r="B431" s="2">
        <v>44536</v>
      </c>
      <c r="C431" s="1" t="s">
        <v>10</v>
      </c>
      <c r="D431" s="1" t="s">
        <v>24</v>
      </c>
      <c r="E431" s="1" t="s">
        <v>19</v>
      </c>
      <c r="F431" s="1">
        <v>4025.44</v>
      </c>
      <c r="G431" s="1" t="s">
        <v>266</v>
      </c>
      <c r="H431" s="2">
        <v>32604</v>
      </c>
      <c r="I431" s="2">
        <v>44543</v>
      </c>
      <c r="J431" s="1">
        <v>4.45</v>
      </c>
      <c r="K431" s="1">
        <f t="shared" si="14"/>
        <v>179.13208000000003</v>
      </c>
      <c r="L431" s="1">
        <f t="shared" si="15"/>
        <v>3846.3079200000002</v>
      </c>
    </row>
    <row r="432" spans="1:12" x14ac:dyDescent="0.35">
      <c r="A432" s="1">
        <v>1430</v>
      </c>
      <c r="B432" s="2">
        <v>44099</v>
      </c>
      <c r="C432" s="1" t="s">
        <v>26</v>
      </c>
      <c r="D432" s="1" t="s">
        <v>30</v>
      </c>
      <c r="E432" s="1" t="s">
        <v>31</v>
      </c>
      <c r="F432" s="1">
        <v>2610.56</v>
      </c>
      <c r="G432" s="1" t="s">
        <v>112</v>
      </c>
      <c r="H432" s="2">
        <v>38171</v>
      </c>
      <c r="I432" s="2">
        <v>44113</v>
      </c>
      <c r="J432" s="1">
        <v>40.700000000000003</v>
      </c>
      <c r="K432" s="1">
        <f t="shared" si="14"/>
        <v>1062.49792</v>
      </c>
      <c r="L432" s="1">
        <f t="shared" si="15"/>
        <v>1548.0620799999999</v>
      </c>
    </row>
    <row r="433" spans="1:12" x14ac:dyDescent="0.35">
      <c r="A433" s="1">
        <v>1431</v>
      </c>
      <c r="B433" s="2">
        <v>44784</v>
      </c>
      <c r="C433" s="1" t="s">
        <v>10</v>
      </c>
      <c r="D433" s="1" t="s">
        <v>33</v>
      </c>
      <c r="E433" s="1" t="s">
        <v>16</v>
      </c>
      <c r="F433" s="1">
        <v>1991.8</v>
      </c>
      <c r="G433" s="1" t="s">
        <v>80</v>
      </c>
      <c r="H433" s="2">
        <v>31578</v>
      </c>
      <c r="I433" s="2">
        <v>44787</v>
      </c>
      <c r="J433" s="1">
        <v>41.42</v>
      </c>
      <c r="K433" s="1">
        <f t="shared" si="14"/>
        <v>825.00355999999999</v>
      </c>
      <c r="L433" s="1">
        <f t="shared" si="15"/>
        <v>1166.7964400000001</v>
      </c>
    </row>
    <row r="434" spans="1:12" x14ac:dyDescent="0.35">
      <c r="A434" s="1">
        <v>1432</v>
      </c>
      <c r="B434" s="2">
        <v>45165</v>
      </c>
      <c r="C434" s="1" t="s">
        <v>21</v>
      </c>
      <c r="D434" s="1" t="s">
        <v>44</v>
      </c>
      <c r="E434" s="1" t="s">
        <v>16</v>
      </c>
      <c r="F434" s="1">
        <v>2141.4499999999998</v>
      </c>
      <c r="G434" s="1" t="s">
        <v>180</v>
      </c>
      <c r="H434" s="2">
        <v>25163</v>
      </c>
      <c r="I434" s="2">
        <v>45172</v>
      </c>
      <c r="J434" s="1">
        <v>24.38</v>
      </c>
      <c r="K434" s="1">
        <f t="shared" si="14"/>
        <v>522.08550999999989</v>
      </c>
      <c r="L434" s="1">
        <f t="shared" si="15"/>
        <v>1619.3644899999999</v>
      </c>
    </row>
    <row r="435" spans="1:12" x14ac:dyDescent="0.35">
      <c r="A435" s="1">
        <v>1433</v>
      </c>
      <c r="B435" s="2">
        <v>45420</v>
      </c>
      <c r="C435" s="1" t="s">
        <v>10</v>
      </c>
      <c r="D435" s="1" t="s">
        <v>102</v>
      </c>
      <c r="E435" s="1" t="s">
        <v>12</v>
      </c>
      <c r="F435" s="1">
        <v>4125.3100000000004</v>
      </c>
      <c r="G435" s="1" t="s">
        <v>23</v>
      </c>
      <c r="H435" s="2">
        <v>38378</v>
      </c>
      <c r="I435" s="2">
        <v>45427</v>
      </c>
      <c r="J435" s="1">
        <v>30.7</v>
      </c>
      <c r="K435" s="1">
        <f t="shared" si="14"/>
        <v>1266.4701700000001</v>
      </c>
      <c r="L435" s="1">
        <f t="shared" si="15"/>
        <v>2858.8398300000003</v>
      </c>
    </row>
    <row r="436" spans="1:12" x14ac:dyDescent="0.35">
      <c r="A436" s="1">
        <v>1434</v>
      </c>
      <c r="B436" s="2">
        <v>44065</v>
      </c>
      <c r="C436" s="1" t="s">
        <v>14</v>
      </c>
      <c r="D436" s="1" t="s">
        <v>18</v>
      </c>
      <c r="E436" s="1" t="s">
        <v>19</v>
      </c>
      <c r="F436" s="1">
        <v>3630.47</v>
      </c>
      <c r="G436" s="1" t="s">
        <v>229</v>
      </c>
      <c r="H436" s="2">
        <v>37783</v>
      </c>
      <c r="I436" s="2">
        <v>44074</v>
      </c>
      <c r="J436" s="1">
        <v>46.55</v>
      </c>
      <c r="K436" s="1">
        <f t="shared" si="14"/>
        <v>1689.9837849999999</v>
      </c>
      <c r="L436" s="1">
        <f t="shared" si="15"/>
        <v>1940.4862149999999</v>
      </c>
    </row>
    <row r="437" spans="1:12" x14ac:dyDescent="0.35">
      <c r="A437" s="1">
        <v>1435</v>
      </c>
      <c r="B437" s="2">
        <v>45366</v>
      </c>
      <c r="C437" s="1" t="s">
        <v>10</v>
      </c>
      <c r="D437" s="1" t="s">
        <v>38</v>
      </c>
      <c r="E437" s="1" t="s">
        <v>28</v>
      </c>
      <c r="F437" s="1">
        <v>3093.12</v>
      </c>
      <c r="G437" s="1" t="s">
        <v>89</v>
      </c>
      <c r="H437" s="2">
        <v>37141</v>
      </c>
      <c r="I437" s="2">
        <v>45369</v>
      </c>
      <c r="J437" s="1">
        <v>20.13</v>
      </c>
      <c r="K437" s="1">
        <f t="shared" si="14"/>
        <v>622.64505599999995</v>
      </c>
      <c r="L437" s="1">
        <f t="shared" si="15"/>
        <v>2470.4749440000001</v>
      </c>
    </row>
    <row r="438" spans="1:12" x14ac:dyDescent="0.35">
      <c r="A438" s="1">
        <v>1436</v>
      </c>
      <c r="B438" s="2">
        <v>45341</v>
      </c>
      <c r="C438" s="1" t="s">
        <v>21</v>
      </c>
      <c r="D438" s="1" t="s">
        <v>11</v>
      </c>
      <c r="E438" s="1" t="s">
        <v>12</v>
      </c>
      <c r="F438" s="1">
        <v>2804.68</v>
      </c>
      <c r="G438" s="1" t="s">
        <v>231</v>
      </c>
      <c r="H438" s="2">
        <v>32047</v>
      </c>
      <c r="I438" s="2">
        <v>45353</v>
      </c>
      <c r="J438" s="1">
        <v>27.26</v>
      </c>
      <c r="K438" s="1">
        <f t="shared" si="14"/>
        <v>764.55576799999994</v>
      </c>
      <c r="L438" s="1">
        <f t="shared" si="15"/>
        <v>2040.1242319999999</v>
      </c>
    </row>
    <row r="439" spans="1:12" x14ac:dyDescent="0.35">
      <c r="A439" s="1">
        <v>1437</v>
      </c>
      <c r="B439" s="2">
        <v>44115</v>
      </c>
      <c r="C439" s="1" t="s">
        <v>10</v>
      </c>
      <c r="D439" s="1" t="s">
        <v>40</v>
      </c>
      <c r="E439" s="1" t="s">
        <v>16</v>
      </c>
      <c r="F439" s="1">
        <v>2362.4699999999998</v>
      </c>
      <c r="G439" s="1" t="s">
        <v>172</v>
      </c>
      <c r="H439" s="2">
        <v>36571</v>
      </c>
      <c r="I439" s="2">
        <v>44123</v>
      </c>
      <c r="J439" s="1">
        <v>47.44</v>
      </c>
      <c r="K439" s="1">
        <f t="shared" si="14"/>
        <v>1120.755768</v>
      </c>
      <c r="L439" s="1">
        <f t="shared" si="15"/>
        <v>1241.7142319999998</v>
      </c>
    </row>
    <row r="440" spans="1:12" x14ac:dyDescent="0.35">
      <c r="A440" s="1">
        <v>1438</v>
      </c>
      <c r="B440" s="2">
        <v>45469</v>
      </c>
      <c r="C440" s="1" t="s">
        <v>10</v>
      </c>
      <c r="D440" s="1" t="s">
        <v>24</v>
      </c>
      <c r="E440" s="1" t="s">
        <v>19</v>
      </c>
      <c r="F440" s="1">
        <v>278.02999999999997</v>
      </c>
      <c r="G440" s="1" t="s">
        <v>66</v>
      </c>
      <c r="H440" s="2">
        <v>33192</v>
      </c>
      <c r="I440" s="2">
        <v>45478</v>
      </c>
      <c r="J440" s="1">
        <v>26.87</v>
      </c>
      <c r="K440" s="1">
        <f t="shared" si="14"/>
        <v>74.706660999999997</v>
      </c>
      <c r="L440" s="1">
        <f t="shared" si="15"/>
        <v>203.32333899999998</v>
      </c>
    </row>
    <row r="441" spans="1:12" x14ac:dyDescent="0.35">
      <c r="A441" s="1">
        <v>1439</v>
      </c>
      <c r="B441" s="2">
        <v>45590</v>
      </c>
      <c r="C441" s="1" t="s">
        <v>26</v>
      </c>
      <c r="D441" s="1" t="s">
        <v>33</v>
      </c>
      <c r="E441" s="1" t="s">
        <v>16</v>
      </c>
      <c r="F441" s="1">
        <v>288.8</v>
      </c>
      <c r="G441" s="1" t="s">
        <v>221</v>
      </c>
      <c r="H441" s="2">
        <v>35658</v>
      </c>
      <c r="I441" s="2">
        <v>45593</v>
      </c>
      <c r="J441" s="1">
        <v>45.82</v>
      </c>
      <c r="K441" s="1">
        <f t="shared" si="14"/>
        <v>132.32816</v>
      </c>
      <c r="L441" s="1">
        <f t="shared" si="15"/>
        <v>156.47184000000001</v>
      </c>
    </row>
    <row r="442" spans="1:12" x14ac:dyDescent="0.35">
      <c r="A442" s="1">
        <v>1440</v>
      </c>
      <c r="B442" s="2">
        <v>44758</v>
      </c>
      <c r="C442" s="1" t="s">
        <v>21</v>
      </c>
      <c r="D442" s="1" t="s">
        <v>38</v>
      </c>
      <c r="E442" s="1" t="s">
        <v>28</v>
      </c>
      <c r="F442" s="1">
        <v>494.59</v>
      </c>
      <c r="G442" s="1" t="s">
        <v>128</v>
      </c>
      <c r="H442" s="2">
        <v>37961</v>
      </c>
      <c r="I442" s="2">
        <v>44772</v>
      </c>
      <c r="J442" s="1">
        <v>29.68</v>
      </c>
      <c r="K442" s="1">
        <f t="shared" si="14"/>
        <v>146.79431199999999</v>
      </c>
      <c r="L442" s="1">
        <f t="shared" si="15"/>
        <v>347.79568799999998</v>
      </c>
    </row>
    <row r="443" spans="1:12" x14ac:dyDescent="0.35">
      <c r="A443" s="1">
        <v>1441</v>
      </c>
      <c r="B443" s="2">
        <v>45796</v>
      </c>
      <c r="C443" s="1" t="s">
        <v>21</v>
      </c>
      <c r="D443" s="1" t="s">
        <v>69</v>
      </c>
      <c r="E443" s="1" t="s">
        <v>12</v>
      </c>
      <c r="F443" s="1">
        <v>2525.13</v>
      </c>
      <c r="G443" s="1" t="s">
        <v>227</v>
      </c>
      <c r="H443" s="2">
        <v>34932</v>
      </c>
      <c r="I443" s="2">
        <v>45798</v>
      </c>
      <c r="J443" s="1">
        <v>35.049999999999997</v>
      </c>
      <c r="K443" s="1">
        <f t="shared" si="14"/>
        <v>885.05806499999994</v>
      </c>
      <c r="L443" s="1">
        <f t="shared" si="15"/>
        <v>1640.0719350000002</v>
      </c>
    </row>
    <row r="444" spans="1:12" x14ac:dyDescent="0.35">
      <c r="A444" s="1">
        <v>1442</v>
      </c>
      <c r="B444" s="2">
        <v>45467</v>
      </c>
      <c r="C444" s="1" t="s">
        <v>35</v>
      </c>
      <c r="D444" s="1" t="s">
        <v>18</v>
      </c>
      <c r="E444" s="1" t="s">
        <v>19</v>
      </c>
      <c r="F444" s="1">
        <v>3350.42</v>
      </c>
      <c r="G444" s="1" t="s">
        <v>267</v>
      </c>
      <c r="H444" s="2">
        <v>38039</v>
      </c>
      <c r="I444" s="2">
        <v>45478</v>
      </c>
      <c r="J444" s="1">
        <v>31.35</v>
      </c>
      <c r="K444" s="1">
        <f t="shared" si="14"/>
        <v>1050.3566700000001</v>
      </c>
      <c r="L444" s="1">
        <f t="shared" si="15"/>
        <v>2300.06333</v>
      </c>
    </row>
    <row r="445" spans="1:12" x14ac:dyDescent="0.35">
      <c r="A445" s="1">
        <v>1443</v>
      </c>
      <c r="B445" s="2">
        <v>44400</v>
      </c>
      <c r="C445" s="1" t="s">
        <v>35</v>
      </c>
      <c r="D445" s="1" t="s">
        <v>11</v>
      </c>
      <c r="E445" s="1" t="s">
        <v>12</v>
      </c>
      <c r="F445" s="1">
        <v>3643.84</v>
      </c>
      <c r="G445" s="1" t="s">
        <v>238</v>
      </c>
      <c r="H445" s="2">
        <v>31880</v>
      </c>
      <c r="I445" s="2">
        <v>44401</v>
      </c>
      <c r="J445" s="1">
        <v>18.11</v>
      </c>
      <c r="K445" s="1">
        <f t="shared" si="14"/>
        <v>659.89942399999995</v>
      </c>
      <c r="L445" s="1">
        <f t="shared" si="15"/>
        <v>2983.940576</v>
      </c>
    </row>
    <row r="446" spans="1:12" x14ac:dyDescent="0.35">
      <c r="A446" s="1">
        <v>1444</v>
      </c>
      <c r="B446" s="2">
        <v>45724</v>
      </c>
      <c r="C446" s="1" t="s">
        <v>10</v>
      </c>
      <c r="D446" s="1" t="s">
        <v>38</v>
      </c>
      <c r="E446" s="1" t="s">
        <v>28</v>
      </c>
      <c r="F446" s="1">
        <v>1247.1500000000001</v>
      </c>
      <c r="G446" s="1" t="s">
        <v>268</v>
      </c>
      <c r="H446" s="2">
        <v>25103</v>
      </c>
      <c r="I446" s="2">
        <v>45727</v>
      </c>
      <c r="J446" s="1">
        <v>6.45</v>
      </c>
      <c r="K446" s="1">
        <f t="shared" si="14"/>
        <v>80.441175000000001</v>
      </c>
      <c r="L446" s="1">
        <f t="shared" si="15"/>
        <v>1166.7088250000002</v>
      </c>
    </row>
    <row r="447" spans="1:12" x14ac:dyDescent="0.35">
      <c r="A447" s="1">
        <v>1445</v>
      </c>
      <c r="B447" s="2">
        <v>45577</v>
      </c>
      <c r="C447" s="1" t="s">
        <v>35</v>
      </c>
      <c r="D447" s="1" t="s">
        <v>44</v>
      </c>
      <c r="E447" s="1" t="s">
        <v>16</v>
      </c>
      <c r="F447" s="1">
        <v>1813.32</v>
      </c>
      <c r="G447" s="1" t="s">
        <v>269</v>
      </c>
      <c r="H447" s="2">
        <v>30976</v>
      </c>
      <c r="I447" s="2">
        <v>45585</v>
      </c>
      <c r="J447" s="1">
        <v>22.45</v>
      </c>
      <c r="K447" s="1">
        <f t="shared" si="14"/>
        <v>407.09033999999997</v>
      </c>
      <c r="L447" s="1">
        <f t="shared" si="15"/>
        <v>1406.22966</v>
      </c>
    </row>
    <row r="448" spans="1:12" x14ac:dyDescent="0.35">
      <c r="A448" s="1">
        <v>1446</v>
      </c>
      <c r="B448" s="2">
        <v>45785</v>
      </c>
      <c r="C448" s="1" t="s">
        <v>14</v>
      </c>
      <c r="D448" s="1" t="s">
        <v>30</v>
      </c>
      <c r="E448" s="1" t="s">
        <v>31</v>
      </c>
      <c r="F448" s="1">
        <v>3713.98</v>
      </c>
      <c r="G448" s="1" t="s">
        <v>130</v>
      </c>
      <c r="H448" s="2">
        <v>38750</v>
      </c>
      <c r="I448" s="2">
        <v>45798</v>
      </c>
      <c r="J448" s="1">
        <v>43.09</v>
      </c>
      <c r="K448" s="1">
        <f t="shared" si="14"/>
        <v>1600.3539820000003</v>
      </c>
      <c r="L448" s="1">
        <f t="shared" si="15"/>
        <v>2113.6260179999999</v>
      </c>
    </row>
    <row r="449" spans="1:12" x14ac:dyDescent="0.35">
      <c r="A449" s="1">
        <v>1447</v>
      </c>
      <c r="B449" s="2">
        <v>45287</v>
      </c>
      <c r="C449" s="1" t="s">
        <v>35</v>
      </c>
      <c r="D449" s="1" t="s">
        <v>88</v>
      </c>
      <c r="E449" s="1" t="s">
        <v>16</v>
      </c>
      <c r="F449" s="1">
        <v>432.26</v>
      </c>
      <c r="G449" s="1" t="s">
        <v>270</v>
      </c>
      <c r="H449" s="2">
        <v>23245</v>
      </c>
      <c r="I449" s="2">
        <v>45288</v>
      </c>
      <c r="J449" s="1">
        <v>8.39</v>
      </c>
      <c r="K449" s="1">
        <f t="shared" si="14"/>
        <v>36.266613999999997</v>
      </c>
      <c r="L449" s="1">
        <f t="shared" si="15"/>
        <v>395.99338599999999</v>
      </c>
    </row>
    <row r="450" spans="1:12" x14ac:dyDescent="0.35">
      <c r="A450" s="1">
        <v>1448</v>
      </c>
      <c r="B450" s="2">
        <v>44839</v>
      </c>
      <c r="C450" s="1" t="s">
        <v>21</v>
      </c>
      <c r="D450" s="1" t="s">
        <v>53</v>
      </c>
      <c r="E450" s="1" t="s">
        <v>28</v>
      </c>
      <c r="F450" s="1">
        <v>1693.45</v>
      </c>
      <c r="G450" s="1" t="s">
        <v>205</v>
      </c>
      <c r="H450" s="2">
        <v>27526</v>
      </c>
      <c r="I450" s="2">
        <v>44844</v>
      </c>
      <c r="J450" s="1">
        <v>23.61</v>
      </c>
      <c r="K450" s="1">
        <f t="shared" si="14"/>
        <v>399.82354500000002</v>
      </c>
      <c r="L450" s="1">
        <f t="shared" si="15"/>
        <v>1293.6264550000001</v>
      </c>
    </row>
    <row r="451" spans="1:12" x14ac:dyDescent="0.35">
      <c r="A451" s="1">
        <v>1449</v>
      </c>
      <c r="B451" s="2">
        <v>44700</v>
      </c>
      <c r="C451" s="1" t="s">
        <v>21</v>
      </c>
      <c r="D451" s="1" t="s">
        <v>15</v>
      </c>
      <c r="E451" s="1" t="s">
        <v>16</v>
      </c>
      <c r="F451" s="1">
        <v>1889.02</v>
      </c>
      <c r="G451" s="1" t="s">
        <v>271</v>
      </c>
      <c r="H451" s="2">
        <v>22796</v>
      </c>
      <c r="I451" s="2">
        <v>44709</v>
      </c>
      <c r="J451" s="1">
        <v>2.15</v>
      </c>
      <c r="K451" s="1">
        <f t="shared" ref="K451:K514" si="16">F451*J451%</f>
        <v>40.613929999999996</v>
      </c>
      <c r="L451" s="1">
        <f t="shared" ref="L451:L514" si="17">F451-K451</f>
        <v>1848.40607</v>
      </c>
    </row>
    <row r="452" spans="1:12" x14ac:dyDescent="0.35">
      <c r="A452" s="1">
        <v>1450</v>
      </c>
      <c r="B452" s="2">
        <v>44831</v>
      </c>
      <c r="C452" s="1" t="s">
        <v>21</v>
      </c>
      <c r="D452" s="1" t="s">
        <v>71</v>
      </c>
      <c r="E452" s="1" t="s">
        <v>31</v>
      </c>
      <c r="F452" s="1">
        <v>2427.5100000000002</v>
      </c>
      <c r="G452" s="1" t="s">
        <v>101</v>
      </c>
      <c r="H452" s="2">
        <v>31331</v>
      </c>
      <c r="I452" s="2">
        <v>44842</v>
      </c>
      <c r="J452" s="1">
        <v>21.39</v>
      </c>
      <c r="K452" s="1">
        <f t="shared" si="16"/>
        <v>519.24438900000007</v>
      </c>
      <c r="L452" s="1">
        <f t="shared" si="17"/>
        <v>1908.2656110000003</v>
      </c>
    </row>
    <row r="453" spans="1:12" x14ac:dyDescent="0.35">
      <c r="A453" s="1">
        <v>1451</v>
      </c>
      <c r="B453" s="2">
        <v>44962</v>
      </c>
      <c r="C453" s="1" t="s">
        <v>26</v>
      </c>
      <c r="D453" s="1" t="s">
        <v>18</v>
      </c>
      <c r="E453" s="1" t="s">
        <v>19</v>
      </c>
      <c r="F453" s="1">
        <v>1645.22</v>
      </c>
      <c r="G453" s="1" t="s">
        <v>272</v>
      </c>
      <c r="H453" s="2">
        <v>27832</v>
      </c>
      <c r="I453" s="2">
        <v>44972</v>
      </c>
      <c r="J453" s="1">
        <v>7.75</v>
      </c>
      <c r="K453" s="1">
        <f t="shared" si="16"/>
        <v>127.50454999999999</v>
      </c>
      <c r="L453" s="1">
        <f t="shared" si="17"/>
        <v>1517.7154500000001</v>
      </c>
    </row>
    <row r="454" spans="1:12" x14ac:dyDescent="0.35">
      <c r="A454" s="1">
        <v>1452</v>
      </c>
      <c r="B454" s="2">
        <v>45342</v>
      </c>
      <c r="C454" s="1" t="s">
        <v>26</v>
      </c>
      <c r="D454" s="1" t="s">
        <v>61</v>
      </c>
      <c r="E454" s="1" t="s">
        <v>19</v>
      </c>
      <c r="F454" s="1">
        <v>2271.75</v>
      </c>
      <c r="G454" s="1" t="s">
        <v>96</v>
      </c>
      <c r="H454" s="2">
        <v>36236</v>
      </c>
      <c r="I454" s="2">
        <v>45348</v>
      </c>
      <c r="J454" s="1">
        <v>15.35</v>
      </c>
      <c r="K454" s="1">
        <f t="shared" si="16"/>
        <v>348.71362499999998</v>
      </c>
      <c r="L454" s="1">
        <f t="shared" si="17"/>
        <v>1923.0363750000001</v>
      </c>
    </row>
    <row r="455" spans="1:12" x14ac:dyDescent="0.35">
      <c r="A455" s="1">
        <v>1453</v>
      </c>
      <c r="B455" s="2">
        <v>45834</v>
      </c>
      <c r="C455" s="1" t="s">
        <v>35</v>
      </c>
      <c r="D455" s="1" t="s">
        <v>33</v>
      </c>
      <c r="E455" s="1" t="s">
        <v>16</v>
      </c>
      <c r="F455" s="1">
        <v>2430.6999999999998</v>
      </c>
      <c r="G455" s="1" t="s">
        <v>273</v>
      </c>
      <c r="H455" s="2">
        <v>30822</v>
      </c>
      <c r="I455" s="2">
        <v>45840</v>
      </c>
      <c r="J455" s="1">
        <v>45.83</v>
      </c>
      <c r="K455" s="1">
        <f t="shared" si="16"/>
        <v>1113.9898099999998</v>
      </c>
      <c r="L455" s="1">
        <f t="shared" si="17"/>
        <v>1316.71019</v>
      </c>
    </row>
    <row r="456" spans="1:12" x14ac:dyDescent="0.35">
      <c r="A456" s="1">
        <v>1454</v>
      </c>
      <c r="B456" s="2">
        <v>45380</v>
      </c>
      <c r="C456" s="1" t="s">
        <v>35</v>
      </c>
      <c r="D456" s="1" t="s">
        <v>18</v>
      </c>
      <c r="E456" s="1" t="s">
        <v>19</v>
      </c>
      <c r="F456" s="1">
        <v>4543.08</v>
      </c>
      <c r="G456" s="1" t="s">
        <v>166</v>
      </c>
      <c r="H456" s="2">
        <v>27879</v>
      </c>
      <c r="I456" s="2">
        <v>45381</v>
      </c>
      <c r="J456" s="1">
        <v>41.7</v>
      </c>
      <c r="K456" s="1">
        <f t="shared" si="16"/>
        <v>1894.4643600000002</v>
      </c>
      <c r="L456" s="1">
        <f t="shared" si="17"/>
        <v>2648.61564</v>
      </c>
    </row>
    <row r="457" spans="1:12" x14ac:dyDescent="0.35">
      <c r="A457" s="1">
        <v>1455</v>
      </c>
      <c r="B457" s="2">
        <v>45583</v>
      </c>
      <c r="C457" s="1" t="s">
        <v>35</v>
      </c>
      <c r="D457" s="1" t="s">
        <v>53</v>
      </c>
      <c r="E457" s="1" t="s">
        <v>28</v>
      </c>
      <c r="F457" s="1">
        <v>4094.7</v>
      </c>
      <c r="G457" s="1" t="s">
        <v>274</v>
      </c>
      <c r="H457" s="2">
        <v>34557</v>
      </c>
      <c r="I457" s="2">
        <v>45595</v>
      </c>
      <c r="J457" s="1">
        <v>11.99</v>
      </c>
      <c r="K457" s="1">
        <f t="shared" si="16"/>
        <v>490.95452999999998</v>
      </c>
      <c r="L457" s="1">
        <f t="shared" si="17"/>
        <v>3603.7454699999998</v>
      </c>
    </row>
    <row r="458" spans="1:12" x14ac:dyDescent="0.35">
      <c r="A458" s="1">
        <v>1456</v>
      </c>
      <c r="B458" s="2">
        <v>44685</v>
      </c>
      <c r="C458" s="1" t="s">
        <v>35</v>
      </c>
      <c r="D458" s="1" t="s">
        <v>44</v>
      </c>
      <c r="E458" s="1" t="s">
        <v>16</v>
      </c>
      <c r="F458" s="1">
        <v>598.49</v>
      </c>
      <c r="G458" s="1" t="s">
        <v>138</v>
      </c>
      <c r="H458" s="2">
        <v>25948</v>
      </c>
      <c r="I458" s="2">
        <v>44688</v>
      </c>
      <c r="J458" s="1">
        <v>39.99</v>
      </c>
      <c r="K458" s="1">
        <f t="shared" si="16"/>
        <v>239.33615100000003</v>
      </c>
      <c r="L458" s="1">
        <f t="shared" si="17"/>
        <v>359.15384899999998</v>
      </c>
    </row>
    <row r="459" spans="1:12" x14ac:dyDescent="0.35">
      <c r="A459" s="1">
        <v>1457</v>
      </c>
      <c r="B459" s="2">
        <v>44901</v>
      </c>
      <c r="C459" s="1" t="s">
        <v>14</v>
      </c>
      <c r="D459" s="1" t="s">
        <v>49</v>
      </c>
      <c r="E459" s="1" t="s">
        <v>12</v>
      </c>
      <c r="F459" s="1">
        <v>4913.41</v>
      </c>
      <c r="G459" s="1" t="s">
        <v>70</v>
      </c>
      <c r="H459" s="2">
        <v>30887</v>
      </c>
      <c r="I459" s="2">
        <v>44903</v>
      </c>
      <c r="J459" s="1">
        <v>20.73</v>
      </c>
      <c r="K459" s="1">
        <f t="shared" si="16"/>
        <v>1018.549893</v>
      </c>
      <c r="L459" s="1">
        <f t="shared" si="17"/>
        <v>3894.860107</v>
      </c>
    </row>
    <row r="460" spans="1:12" x14ac:dyDescent="0.35">
      <c r="A460" s="1">
        <v>1458</v>
      </c>
      <c r="B460" s="2">
        <v>45343</v>
      </c>
      <c r="C460" s="1" t="s">
        <v>14</v>
      </c>
      <c r="D460" s="1" t="s">
        <v>55</v>
      </c>
      <c r="E460" s="1" t="s">
        <v>31</v>
      </c>
      <c r="F460" s="1">
        <v>4584.32</v>
      </c>
      <c r="G460" s="1" t="s">
        <v>275</v>
      </c>
      <c r="H460" s="2">
        <v>38510</v>
      </c>
      <c r="I460" s="2">
        <v>45349</v>
      </c>
      <c r="J460" s="1">
        <v>4.4800000000000004</v>
      </c>
      <c r="K460" s="1">
        <f t="shared" si="16"/>
        <v>205.37753600000002</v>
      </c>
      <c r="L460" s="1">
        <f t="shared" si="17"/>
        <v>4378.9424639999997</v>
      </c>
    </row>
    <row r="461" spans="1:12" x14ac:dyDescent="0.35">
      <c r="A461" s="1">
        <v>1459</v>
      </c>
      <c r="B461" s="2">
        <v>45180</v>
      </c>
      <c r="C461" s="1" t="s">
        <v>10</v>
      </c>
      <c r="D461" s="1" t="s">
        <v>58</v>
      </c>
      <c r="E461" s="1" t="s">
        <v>31</v>
      </c>
      <c r="F461" s="1">
        <v>846.48</v>
      </c>
      <c r="G461" s="1" t="s">
        <v>276</v>
      </c>
      <c r="H461" s="2">
        <v>33394</v>
      </c>
      <c r="I461" s="2">
        <v>45184</v>
      </c>
      <c r="J461" s="1">
        <v>11.6</v>
      </c>
      <c r="K461" s="1">
        <f t="shared" si="16"/>
        <v>98.191679999999991</v>
      </c>
      <c r="L461" s="1">
        <f t="shared" si="17"/>
        <v>748.28832</v>
      </c>
    </row>
    <row r="462" spans="1:12" x14ac:dyDescent="0.35">
      <c r="A462" s="1">
        <v>1460</v>
      </c>
      <c r="B462" s="2">
        <v>45646</v>
      </c>
      <c r="C462" s="1" t="s">
        <v>21</v>
      </c>
      <c r="D462" s="1" t="s">
        <v>11</v>
      </c>
      <c r="E462" s="1" t="s">
        <v>12</v>
      </c>
      <c r="F462" s="1">
        <v>1781.6</v>
      </c>
      <c r="G462" s="1" t="s">
        <v>48</v>
      </c>
      <c r="H462" s="2">
        <v>22315</v>
      </c>
      <c r="I462" s="2">
        <v>45652</v>
      </c>
      <c r="J462" s="1">
        <v>25.14</v>
      </c>
      <c r="K462" s="1">
        <f t="shared" si="16"/>
        <v>447.89424000000002</v>
      </c>
      <c r="L462" s="1">
        <f t="shared" si="17"/>
        <v>1333.7057599999998</v>
      </c>
    </row>
    <row r="463" spans="1:12" x14ac:dyDescent="0.35">
      <c r="A463" s="1">
        <v>1461</v>
      </c>
      <c r="B463" s="2">
        <v>44214</v>
      </c>
      <c r="C463" s="1" t="s">
        <v>21</v>
      </c>
      <c r="D463" s="1" t="s">
        <v>33</v>
      </c>
      <c r="E463" s="1" t="s">
        <v>16</v>
      </c>
      <c r="F463" s="1">
        <v>2176.2399999999998</v>
      </c>
      <c r="G463" s="1" t="s">
        <v>86</v>
      </c>
      <c r="H463" s="2">
        <v>37858</v>
      </c>
      <c r="I463" s="2">
        <v>44215</v>
      </c>
      <c r="J463" s="1">
        <v>21.69</v>
      </c>
      <c r="K463" s="1">
        <f t="shared" si="16"/>
        <v>472.026456</v>
      </c>
      <c r="L463" s="1">
        <f t="shared" si="17"/>
        <v>1704.2135439999997</v>
      </c>
    </row>
    <row r="464" spans="1:12" x14ac:dyDescent="0.35">
      <c r="A464" s="1">
        <v>1462</v>
      </c>
      <c r="B464" s="2">
        <v>45270</v>
      </c>
      <c r="C464" s="1" t="s">
        <v>21</v>
      </c>
      <c r="D464" s="1" t="s">
        <v>40</v>
      </c>
      <c r="E464" s="1" t="s">
        <v>16</v>
      </c>
      <c r="F464" s="1">
        <v>2972.65</v>
      </c>
      <c r="G464" s="1" t="s">
        <v>120</v>
      </c>
      <c r="H464" s="2">
        <v>30820</v>
      </c>
      <c r="I464" s="2">
        <v>45283</v>
      </c>
      <c r="J464" s="1">
        <v>44.56</v>
      </c>
      <c r="K464" s="1">
        <f t="shared" si="16"/>
        <v>1324.61284</v>
      </c>
      <c r="L464" s="1">
        <f t="shared" si="17"/>
        <v>1648.0371600000001</v>
      </c>
    </row>
    <row r="465" spans="1:12" x14ac:dyDescent="0.35">
      <c r="A465" s="1">
        <v>1463</v>
      </c>
      <c r="B465" s="2">
        <v>45786</v>
      </c>
      <c r="C465" s="1" t="s">
        <v>35</v>
      </c>
      <c r="D465" s="1" t="s">
        <v>69</v>
      </c>
      <c r="E465" s="1" t="s">
        <v>31</v>
      </c>
      <c r="F465" s="1">
        <v>4085.17</v>
      </c>
      <c r="G465" s="1" t="s">
        <v>277</v>
      </c>
      <c r="H465" s="2">
        <v>35224</v>
      </c>
      <c r="I465" s="2">
        <v>45797</v>
      </c>
      <c r="J465" s="1">
        <v>9.56</v>
      </c>
      <c r="K465" s="1">
        <f t="shared" si="16"/>
        <v>390.54225200000002</v>
      </c>
      <c r="L465" s="1">
        <f t="shared" si="17"/>
        <v>3694.6277479999999</v>
      </c>
    </row>
    <row r="466" spans="1:12" x14ac:dyDescent="0.35">
      <c r="A466" s="1">
        <v>1464</v>
      </c>
      <c r="B466" s="2">
        <v>44365</v>
      </c>
      <c r="C466" s="1" t="s">
        <v>35</v>
      </c>
      <c r="D466" s="1" t="s">
        <v>102</v>
      </c>
      <c r="E466" s="1" t="s">
        <v>12</v>
      </c>
      <c r="F466" s="1">
        <v>189.34</v>
      </c>
      <c r="G466" s="1" t="s">
        <v>139</v>
      </c>
      <c r="H466" s="2">
        <v>29381</v>
      </c>
      <c r="I466" s="2">
        <v>44367</v>
      </c>
      <c r="J466" s="1">
        <v>36.89</v>
      </c>
      <c r="K466" s="1">
        <f t="shared" si="16"/>
        <v>69.847526000000002</v>
      </c>
      <c r="L466" s="1">
        <f t="shared" si="17"/>
        <v>119.492474</v>
      </c>
    </row>
    <row r="467" spans="1:12" x14ac:dyDescent="0.35">
      <c r="A467" s="1">
        <v>1465</v>
      </c>
      <c r="B467" s="2">
        <v>44609</v>
      </c>
      <c r="C467" s="1" t="s">
        <v>21</v>
      </c>
      <c r="D467" s="1" t="s">
        <v>102</v>
      </c>
      <c r="E467" s="1" t="s">
        <v>12</v>
      </c>
      <c r="F467" s="1">
        <v>2924.35</v>
      </c>
      <c r="G467" s="1" t="s">
        <v>156</v>
      </c>
      <c r="H467" s="2">
        <v>38693</v>
      </c>
      <c r="I467" s="2">
        <v>44610</v>
      </c>
      <c r="J467" s="1">
        <v>27.69</v>
      </c>
      <c r="K467" s="1">
        <f t="shared" si="16"/>
        <v>809.75251500000013</v>
      </c>
      <c r="L467" s="1">
        <f t="shared" si="17"/>
        <v>2114.5974849999998</v>
      </c>
    </row>
    <row r="468" spans="1:12" x14ac:dyDescent="0.35">
      <c r="A468" s="1">
        <v>1466</v>
      </c>
      <c r="B468" s="2">
        <v>45195</v>
      </c>
      <c r="C468" s="1" t="s">
        <v>21</v>
      </c>
      <c r="D468" s="1" t="s">
        <v>53</v>
      </c>
      <c r="E468" s="1" t="s">
        <v>28</v>
      </c>
      <c r="F468" s="1">
        <v>599.16</v>
      </c>
      <c r="G468" s="1" t="s">
        <v>278</v>
      </c>
      <c r="H468" s="2">
        <v>36036</v>
      </c>
      <c r="I468" s="2">
        <v>45209</v>
      </c>
      <c r="J468" s="1">
        <v>7.16</v>
      </c>
      <c r="K468" s="1">
        <f t="shared" si="16"/>
        <v>42.899855999999993</v>
      </c>
      <c r="L468" s="1">
        <f t="shared" si="17"/>
        <v>556.26014399999997</v>
      </c>
    </row>
    <row r="469" spans="1:12" x14ac:dyDescent="0.35">
      <c r="A469" s="1">
        <v>1467</v>
      </c>
      <c r="B469" s="2">
        <v>44414</v>
      </c>
      <c r="C469" s="1" t="s">
        <v>26</v>
      </c>
      <c r="D469" s="1" t="s">
        <v>55</v>
      </c>
      <c r="E469" s="1" t="s">
        <v>31</v>
      </c>
      <c r="F469" s="1">
        <v>3973.82</v>
      </c>
      <c r="G469" s="1" t="s">
        <v>107</v>
      </c>
      <c r="H469" s="2">
        <v>26671</v>
      </c>
      <c r="I469" s="2">
        <v>44423</v>
      </c>
      <c r="J469" s="1">
        <v>32.340000000000003</v>
      </c>
      <c r="K469" s="1">
        <f t="shared" si="16"/>
        <v>1285.1333880000002</v>
      </c>
      <c r="L469" s="1">
        <f t="shared" si="17"/>
        <v>2688.686612</v>
      </c>
    </row>
    <row r="470" spans="1:12" x14ac:dyDescent="0.35">
      <c r="A470" s="1">
        <v>1468</v>
      </c>
      <c r="B470" s="2">
        <v>45292</v>
      </c>
      <c r="C470" s="1" t="s">
        <v>10</v>
      </c>
      <c r="D470" s="1" t="s">
        <v>65</v>
      </c>
      <c r="E470" s="1" t="s">
        <v>19</v>
      </c>
      <c r="F470" s="1">
        <v>3282.15</v>
      </c>
      <c r="G470" s="1" t="s">
        <v>59</v>
      </c>
      <c r="H470" s="2">
        <v>25166</v>
      </c>
      <c r="I470" s="2">
        <v>45294</v>
      </c>
      <c r="J470" s="1">
        <v>46.01</v>
      </c>
      <c r="K470" s="1">
        <f t="shared" si="16"/>
        <v>1510.117215</v>
      </c>
      <c r="L470" s="1">
        <f t="shared" si="17"/>
        <v>1772.0327850000001</v>
      </c>
    </row>
    <row r="471" spans="1:12" x14ac:dyDescent="0.35">
      <c r="A471" s="1">
        <v>1469</v>
      </c>
      <c r="B471" s="2">
        <v>45516</v>
      </c>
      <c r="C471" s="1" t="s">
        <v>35</v>
      </c>
      <c r="D471" s="1" t="s">
        <v>44</v>
      </c>
      <c r="E471" s="1" t="s">
        <v>16</v>
      </c>
      <c r="F471" s="1">
        <v>542.1</v>
      </c>
      <c r="G471" s="1" t="s">
        <v>104</v>
      </c>
      <c r="H471" s="2">
        <v>24852</v>
      </c>
      <c r="I471" s="2">
        <v>45527</v>
      </c>
      <c r="J471" s="1">
        <v>0.99</v>
      </c>
      <c r="K471" s="1">
        <f t="shared" si="16"/>
        <v>5.3667899999999999</v>
      </c>
      <c r="L471" s="1">
        <f t="shared" si="17"/>
        <v>536.73320999999999</v>
      </c>
    </row>
    <row r="472" spans="1:12" x14ac:dyDescent="0.35">
      <c r="A472" s="1">
        <v>1470</v>
      </c>
      <c r="B472" s="2">
        <v>45209</v>
      </c>
      <c r="C472" s="1" t="s">
        <v>14</v>
      </c>
      <c r="D472" s="1" t="s">
        <v>36</v>
      </c>
      <c r="E472" s="1" t="s">
        <v>28</v>
      </c>
      <c r="F472" s="1">
        <v>1541</v>
      </c>
      <c r="G472" s="1" t="s">
        <v>111</v>
      </c>
      <c r="H472" s="2">
        <v>34704</v>
      </c>
      <c r="I472" s="2">
        <v>45222</v>
      </c>
      <c r="J472" s="1">
        <v>33.85</v>
      </c>
      <c r="K472" s="1">
        <f t="shared" si="16"/>
        <v>521.62850000000003</v>
      </c>
      <c r="L472" s="1">
        <f t="shared" si="17"/>
        <v>1019.3715</v>
      </c>
    </row>
    <row r="473" spans="1:12" x14ac:dyDescent="0.35">
      <c r="A473" s="1">
        <v>1471</v>
      </c>
      <c r="B473" s="2">
        <v>45744</v>
      </c>
      <c r="C473" s="1" t="s">
        <v>10</v>
      </c>
      <c r="D473" s="1" t="s">
        <v>22</v>
      </c>
      <c r="E473" s="1" t="s">
        <v>19</v>
      </c>
      <c r="F473" s="1">
        <v>2582.08</v>
      </c>
      <c r="G473" s="1" t="s">
        <v>150</v>
      </c>
      <c r="H473" s="2">
        <v>31231</v>
      </c>
      <c r="I473" s="2">
        <v>45752</v>
      </c>
      <c r="J473" s="1">
        <v>38.43</v>
      </c>
      <c r="K473" s="1">
        <f t="shared" si="16"/>
        <v>992.29334399999993</v>
      </c>
      <c r="L473" s="1">
        <f t="shared" si="17"/>
        <v>1589.786656</v>
      </c>
    </row>
    <row r="474" spans="1:12" x14ac:dyDescent="0.35">
      <c r="A474" s="1">
        <v>1472</v>
      </c>
      <c r="B474" s="2">
        <v>45397</v>
      </c>
      <c r="C474" s="1" t="s">
        <v>35</v>
      </c>
      <c r="D474" s="1" t="s">
        <v>11</v>
      </c>
      <c r="E474" s="1" t="s">
        <v>12</v>
      </c>
      <c r="F474" s="1">
        <v>4856.3100000000004</v>
      </c>
      <c r="G474" s="1" t="s">
        <v>279</v>
      </c>
      <c r="H474" s="2">
        <v>38934</v>
      </c>
      <c r="I474" s="2">
        <v>45405</v>
      </c>
      <c r="J474" s="1">
        <v>11.87</v>
      </c>
      <c r="K474" s="1">
        <f t="shared" si="16"/>
        <v>576.44399699999997</v>
      </c>
      <c r="L474" s="1">
        <f t="shared" si="17"/>
        <v>4279.8660030000001</v>
      </c>
    </row>
    <row r="475" spans="1:12" x14ac:dyDescent="0.35">
      <c r="A475" s="1">
        <v>1473</v>
      </c>
      <c r="B475" s="2">
        <v>44625</v>
      </c>
      <c r="C475" s="1" t="s">
        <v>26</v>
      </c>
      <c r="D475" s="1" t="s">
        <v>47</v>
      </c>
      <c r="E475" s="1" t="s">
        <v>12</v>
      </c>
      <c r="F475" s="1">
        <v>3734</v>
      </c>
      <c r="G475" s="1" t="s">
        <v>279</v>
      </c>
      <c r="H475" s="2">
        <v>38934</v>
      </c>
      <c r="I475" s="2">
        <v>44634</v>
      </c>
      <c r="J475" s="1">
        <v>37.909999999999997</v>
      </c>
      <c r="K475" s="1">
        <f t="shared" si="16"/>
        <v>1415.5593999999999</v>
      </c>
      <c r="L475" s="1">
        <f t="shared" si="17"/>
        <v>2318.4405999999999</v>
      </c>
    </row>
    <row r="476" spans="1:12" x14ac:dyDescent="0.35">
      <c r="A476" s="1">
        <v>1474</v>
      </c>
      <c r="B476" s="2">
        <v>45823</v>
      </c>
      <c r="C476" s="1" t="s">
        <v>10</v>
      </c>
      <c r="D476" s="1" t="s">
        <v>22</v>
      </c>
      <c r="E476" s="1" t="s">
        <v>19</v>
      </c>
      <c r="F476" s="1">
        <v>366.94</v>
      </c>
      <c r="G476" s="1" t="s">
        <v>191</v>
      </c>
      <c r="H476" s="2">
        <v>37495</v>
      </c>
      <c r="I476" s="2">
        <v>45829</v>
      </c>
      <c r="J476" s="1">
        <v>48.35</v>
      </c>
      <c r="K476" s="1">
        <f t="shared" si="16"/>
        <v>177.41549000000001</v>
      </c>
      <c r="L476" s="1">
        <f t="shared" si="17"/>
        <v>189.52450999999999</v>
      </c>
    </row>
    <row r="477" spans="1:12" x14ac:dyDescent="0.35">
      <c r="A477" s="1">
        <v>1475</v>
      </c>
      <c r="B477" s="2">
        <v>45168</v>
      </c>
      <c r="C477" s="1" t="s">
        <v>14</v>
      </c>
      <c r="D477" s="1" t="s">
        <v>33</v>
      </c>
      <c r="E477" s="1" t="s">
        <v>16</v>
      </c>
      <c r="F477" s="1">
        <v>4233.49</v>
      </c>
      <c r="G477" s="1" t="s">
        <v>190</v>
      </c>
      <c r="H477" s="2">
        <v>33354</v>
      </c>
      <c r="I477" s="2">
        <v>45172</v>
      </c>
      <c r="J477" s="1">
        <v>48.48</v>
      </c>
      <c r="K477" s="1">
        <f t="shared" si="16"/>
        <v>2052.3959519999999</v>
      </c>
      <c r="L477" s="1">
        <f t="shared" si="17"/>
        <v>2181.0940479999999</v>
      </c>
    </row>
    <row r="478" spans="1:12" x14ac:dyDescent="0.35">
      <c r="A478" s="1">
        <v>1476</v>
      </c>
      <c r="B478" s="2">
        <v>44568</v>
      </c>
      <c r="C478" s="1" t="s">
        <v>35</v>
      </c>
      <c r="D478" s="1" t="s">
        <v>69</v>
      </c>
      <c r="E478" s="1" t="s">
        <v>12</v>
      </c>
      <c r="F478" s="1">
        <v>644.57000000000005</v>
      </c>
      <c r="G478" s="1" t="s">
        <v>194</v>
      </c>
      <c r="H478" s="2">
        <v>22210</v>
      </c>
      <c r="I478" s="2">
        <v>44576</v>
      </c>
      <c r="J478" s="1">
        <v>26.36</v>
      </c>
      <c r="K478" s="1">
        <f t="shared" si="16"/>
        <v>169.90865200000002</v>
      </c>
      <c r="L478" s="1">
        <f t="shared" si="17"/>
        <v>474.66134800000003</v>
      </c>
    </row>
    <row r="479" spans="1:12" x14ac:dyDescent="0.35">
      <c r="A479" s="1">
        <v>1477</v>
      </c>
      <c r="B479" s="2">
        <v>44919</v>
      </c>
      <c r="C479" s="1" t="s">
        <v>35</v>
      </c>
      <c r="D479" s="1" t="s">
        <v>22</v>
      </c>
      <c r="E479" s="1" t="s">
        <v>19</v>
      </c>
      <c r="F479" s="1">
        <v>4592.13</v>
      </c>
      <c r="G479" s="1" t="s">
        <v>213</v>
      </c>
      <c r="H479" s="2">
        <v>34345</v>
      </c>
      <c r="I479" s="2">
        <v>44925</v>
      </c>
      <c r="J479" s="1">
        <v>11.9</v>
      </c>
      <c r="K479" s="1">
        <f t="shared" si="16"/>
        <v>546.46347000000003</v>
      </c>
      <c r="L479" s="1">
        <f t="shared" si="17"/>
        <v>4045.66653</v>
      </c>
    </row>
    <row r="480" spans="1:12" x14ac:dyDescent="0.35">
      <c r="A480" s="1">
        <v>1478</v>
      </c>
      <c r="B480" s="2">
        <v>44951</v>
      </c>
      <c r="C480" s="1" t="s">
        <v>35</v>
      </c>
      <c r="D480" s="1" t="s">
        <v>33</v>
      </c>
      <c r="E480" s="1" t="s">
        <v>16</v>
      </c>
      <c r="F480" s="1">
        <v>3161.42</v>
      </c>
      <c r="G480" s="1" t="s">
        <v>124</v>
      </c>
      <c r="H480" s="2">
        <v>30786</v>
      </c>
      <c r="I480" s="2">
        <v>44952</v>
      </c>
      <c r="J480" s="1">
        <v>47.23</v>
      </c>
      <c r="K480" s="1">
        <f t="shared" si="16"/>
        <v>1493.1386659999998</v>
      </c>
      <c r="L480" s="1">
        <f t="shared" si="17"/>
        <v>1668.2813340000002</v>
      </c>
    </row>
    <row r="481" spans="1:12" x14ac:dyDescent="0.35">
      <c r="A481" s="1">
        <v>1479</v>
      </c>
      <c r="B481" s="2">
        <v>45434</v>
      </c>
      <c r="C481" s="1" t="s">
        <v>14</v>
      </c>
      <c r="D481" s="1" t="s">
        <v>30</v>
      </c>
      <c r="E481" s="1" t="s">
        <v>31</v>
      </c>
      <c r="F481" s="1">
        <v>1196.3599999999999</v>
      </c>
      <c r="G481" s="1" t="s">
        <v>179</v>
      </c>
      <c r="H481" s="2">
        <v>30356</v>
      </c>
      <c r="I481" s="2">
        <v>45447</v>
      </c>
      <c r="J481" s="1">
        <v>23.7</v>
      </c>
      <c r="K481" s="1">
        <f t="shared" si="16"/>
        <v>283.53731999999997</v>
      </c>
      <c r="L481" s="1">
        <f t="shared" si="17"/>
        <v>912.82267999999999</v>
      </c>
    </row>
    <row r="482" spans="1:12" x14ac:dyDescent="0.35">
      <c r="A482" s="1">
        <v>1480</v>
      </c>
      <c r="B482" s="2">
        <v>45117</v>
      </c>
      <c r="C482" s="1" t="s">
        <v>14</v>
      </c>
      <c r="D482" s="1" t="s">
        <v>102</v>
      </c>
      <c r="E482" s="1" t="s">
        <v>12</v>
      </c>
      <c r="F482" s="1">
        <v>4459.7700000000004</v>
      </c>
      <c r="G482" s="1" t="s">
        <v>223</v>
      </c>
      <c r="H482" s="2">
        <v>35407</v>
      </c>
      <c r="I482" s="2">
        <v>45127</v>
      </c>
      <c r="J482" s="1">
        <v>48.71</v>
      </c>
      <c r="K482" s="1">
        <f t="shared" si="16"/>
        <v>2172.3539670000005</v>
      </c>
      <c r="L482" s="1">
        <f t="shared" si="17"/>
        <v>2287.416033</v>
      </c>
    </row>
    <row r="483" spans="1:12" x14ac:dyDescent="0.35">
      <c r="A483" s="1">
        <v>1481</v>
      </c>
      <c r="B483" s="2">
        <v>45763</v>
      </c>
      <c r="C483" s="1" t="s">
        <v>14</v>
      </c>
      <c r="D483" s="1" t="s">
        <v>15</v>
      </c>
      <c r="E483" s="1" t="s">
        <v>16</v>
      </c>
      <c r="F483" s="1">
        <v>4811.79</v>
      </c>
      <c r="G483" s="1" t="s">
        <v>94</v>
      </c>
      <c r="H483" s="2">
        <v>25516</v>
      </c>
      <c r="I483" s="2">
        <v>45774</v>
      </c>
      <c r="J483" s="1">
        <v>37.81</v>
      </c>
      <c r="K483" s="1">
        <f t="shared" si="16"/>
        <v>1819.3377990000001</v>
      </c>
      <c r="L483" s="1">
        <f t="shared" si="17"/>
        <v>2992.4522010000001</v>
      </c>
    </row>
    <row r="484" spans="1:12" x14ac:dyDescent="0.35">
      <c r="A484" s="1">
        <v>1482</v>
      </c>
      <c r="B484" s="2">
        <v>44567</v>
      </c>
      <c r="C484" s="1" t="s">
        <v>14</v>
      </c>
      <c r="D484" s="1" t="s">
        <v>58</v>
      </c>
      <c r="E484" s="1" t="s">
        <v>31</v>
      </c>
      <c r="F484" s="1">
        <v>4964.8</v>
      </c>
      <c r="G484" s="1" t="s">
        <v>216</v>
      </c>
      <c r="H484" s="2">
        <v>31419</v>
      </c>
      <c r="I484" s="2">
        <v>44577</v>
      </c>
      <c r="J484" s="1">
        <v>23.65</v>
      </c>
      <c r="K484" s="1">
        <f t="shared" si="16"/>
        <v>1174.1751999999999</v>
      </c>
      <c r="L484" s="1">
        <f t="shared" si="17"/>
        <v>3790.6248000000005</v>
      </c>
    </row>
    <row r="485" spans="1:12" x14ac:dyDescent="0.35">
      <c r="A485" s="1">
        <v>1483</v>
      </c>
      <c r="B485" s="2">
        <v>44525</v>
      </c>
      <c r="C485" s="1" t="s">
        <v>21</v>
      </c>
      <c r="D485" s="1" t="s">
        <v>73</v>
      </c>
      <c r="E485" s="1" t="s">
        <v>28</v>
      </c>
      <c r="F485" s="1">
        <v>4165.84</v>
      </c>
      <c r="G485" s="1" t="s">
        <v>75</v>
      </c>
      <c r="H485" s="2">
        <v>25853</v>
      </c>
      <c r="I485" s="2">
        <v>44538</v>
      </c>
      <c r="J485" s="1">
        <v>19.77</v>
      </c>
      <c r="K485" s="1">
        <f t="shared" si="16"/>
        <v>823.58656799999994</v>
      </c>
      <c r="L485" s="1">
        <f t="shared" si="17"/>
        <v>3342.2534320000004</v>
      </c>
    </row>
    <row r="486" spans="1:12" x14ac:dyDescent="0.35">
      <c r="A486" s="1">
        <v>1484</v>
      </c>
      <c r="B486" s="2">
        <v>45568</v>
      </c>
      <c r="C486" s="1" t="s">
        <v>35</v>
      </c>
      <c r="D486" s="1" t="s">
        <v>44</v>
      </c>
      <c r="E486" s="1" t="s">
        <v>16</v>
      </c>
      <c r="F486" s="1">
        <v>1868.61</v>
      </c>
      <c r="G486" s="1" t="s">
        <v>280</v>
      </c>
      <c r="H486" s="2">
        <v>29181</v>
      </c>
      <c r="I486" s="2">
        <v>45576</v>
      </c>
      <c r="J486" s="1">
        <v>41.34</v>
      </c>
      <c r="K486" s="1">
        <f t="shared" si="16"/>
        <v>772.48337400000003</v>
      </c>
      <c r="L486" s="1">
        <f t="shared" si="17"/>
        <v>1096.1266259999998</v>
      </c>
    </row>
    <row r="487" spans="1:12" x14ac:dyDescent="0.35">
      <c r="A487" s="1">
        <v>1485</v>
      </c>
      <c r="B487" s="2">
        <v>45096</v>
      </c>
      <c r="C487" s="1" t="s">
        <v>26</v>
      </c>
      <c r="D487" s="1" t="s">
        <v>88</v>
      </c>
      <c r="E487" s="1" t="s">
        <v>16</v>
      </c>
      <c r="F487" s="1">
        <v>960.82</v>
      </c>
      <c r="G487" s="1" t="s">
        <v>159</v>
      </c>
      <c r="H487" s="2">
        <v>38194</v>
      </c>
      <c r="I487" s="2">
        <v>45099</v>
      </c>
      <c r="J487" s="1">
        <v>40.98</v>
      </c>
      <c r="K487" s="1">
        <f t="shared" si="16"/>
        <v>393.74403599999994</v>
      </c>
      <c r="L487" s="1">
        <f t="shared" si="17"/>
        <v>567.07596400000011</v>
      </c>
    </row>
    <row r="488" spans="1:12" x14ac:dyDescent="0.35">
      <c r="A488" s="1">
        <v>1486</v>
      </c>
      <c r="B488" s="2">
        <v>45010</v>
      </c>
      <c r="C488" s="1" t="s">
        <v>26</v>
      </c>
      <c r="D488" s="1" t="s">
        <v>44</v>
      </c>
      <c r="E488" s="1" t="s">
        <v>16</v>
      </c>
      <c r="F488" s="1">
        <v>4628</v>
      </c>
      <c r="G488" s="1" t="s">
        <v>50</v>
      </c>
      <c r="H488" s="2">
        <v>22594</v>
      </c>
      <c r="I488" s="2">
        <v>45014</v>
      </c>
      <c r="J488" s="1">
        <v>44.68</v>
      </c>
      <c r="K488" s="1">
        <f t="shared" si="16"/>
        <v>2067.7903999999999</v>
      </c>
      <c r="L488" s="1">
        <f t="shared" si="17"/>
        <v>2560.2096000000001</v>
      </c>
    </row>
    <row r="489" spans="1:12" x14ac:dyDescent="0.35">
      <c r="A489" s="1">
        <v>1487</v>
      </c>
      <c r="B489" s="2">
        <v>45153</v>
      </c>
      <c r="C489" s="1" t="s">
        <v>35</v>
      </c>
      <c r="D489" s="1" t="s">
        <v>30</v>
      </c>
      <c r="E489" s="1" t="s">
        <v>31</v>
      </c>
      <c r="F489" s="1">
        <v>4033.32</v>
      </c>
      <c r="G489" s="1" t="s">
        <v>187</v>
      </c>
      <c r="H489" s="2">
        <v>30778</v>
      </c>
      <c r="I489" s="2">
        <v>45162</v>
      </c>
      <c r="J489" s="1">
        <v>36.51</v>
      </c>
      <c r="K489" s="1">
        <f t="shared" si="16"/>
        <v>1472.5651319999999</v>
      </c>
      <c r="L489" s="1">
        <f t="shared" si="17"/>
        <v>2560.754868</v>
      </c>
    </row>
    <row r="490" spans="1:12" x14ac:dyDescent="0.35">
      <c r="A490" s="1">
        <v>1488</v>
      </c>
      <c r="B490" s="2">
        <v>45427</v>
      </c>
      <c r="C490" s="1" t="s">
        <v>14</v>
      </c>
      <c r="D490" s="1" t="s">
        <v>49</v>
      </c>
      <c r="E490" s="1" t="s">
        <v>12</v>
      </c>
      <c r="F490" s="1">
        <v>2543.13</v>
      </c>
      <c r="G490" s="1" t="s">
        <v>63</v>
      </c>
      <c r="H490" s="2">
        <v>25430</v>
      </c>
      <c r="I490" s="2">
        <v>45441</v>
      </c>
      <c r="J490" s="1">
        <v>15.97</v>
      </c>
      <c r="K490" s="1">
        <f t="shared" si="16"/>
        <v>406.13786100000004</v>
      </c>
      <c r="L490" s="1">
        <f t="shared" si="17"/>
        <v>2136.992139</v>
      </c>
    </row>
    <row r="491" spans="1:12" x14ac:dyDescent="0.35">
      <c r="A491" s="1">
        <v>1489</v>
      </c>
      <c r="B491" s="2">
        <v>45218</v>
      </c>
      <c r="C491" s="1" t="s">
        <v>14</v>
      </c>
      <c r="D491" s="1" t="s">
        <v>65</v>
      </c>
      <c r="E491" s="1" t="s">
        <v>19</v>
      </c>
      <c r="F491" s="1">
        <v>640.26</v>
      </c>
      <c r="G491" s="1" t="s">
        <v>253</v>
      </c>
      <c r="H491" s="2">
        <v>27131</v>
      </c>
      <c r="I491" s="2">
        <v>45230</v>
      </c>
      <c r="J491" s="1">
        <v>21</v>
      </c>
      <c r="K491" s="1">
        <f t="shared" si="16"/>
        <v>134.4546</v>
      </c>
      <c r="L491" s="1">
        <f t="shared" si="17"/>
        <v>505.80539999999996</v>
      </c>
    </row>
    <row r="492" spans="1:12" x14ac:dyDescent="0.35">
      <c r="A492" s="1">
        <v>1490</v>
      </c>
      <c r="B492" s="2">
        <v>45262</v>
      </c>
      <c r="C492" s="1" t="s">
        <v>35</v>
      </c>
      <c r="D492" s="1" t="s">
        <v>55</v>
      </c>
      <c r="E492" s="1" t="s">
        <v>31</v>
      </c>
      <c r="F492" s="1">
        <v>3779.96</v>
      </c>
      <c r="G492" s="1" t="s">
        <v>281</v>
      </c>
      <c r="H492" s="2">
        <v>37927</v>
      </c>
      <c r="I492" s="2">
        <v>45266</v>
      </c>
      <c r="J492" s="1">
        <v>32.18</v>
      </c>
      <c r="K492" s="1">
        <f t="shared" si="16"/>
        <v>1216.391128</v>
      </c>
      <c r="L492" s="1">
        <f t="shared" si="17"/>
        <v>2563.5688719999998</v>
      </c>
    </row>
    <row r="493" spans="1:12" x14ac:dyDescent="0.35">
      <c r="A493" s="1">
        <v>1491</v>
      </c>
      <c r="B493" s="2">
        <v>44682</v>
      </c>
      <c r="C493" s="1" t="s">
        <v>21</v>
      </c>
      <c r="D493" s="1" t="s">
        <v>24</v>
      </c>
      <c r="E493" s="1" t="s">
        <v>19</v>
      </c>
      <c r="F493" s="1">
        <v>2268.23</v>
      </c>
      <c r="G493" s="1" t="s">
        <v>226</v>
      </c>
      <c r="H493" s="2">
        <v>33332</v>
      </c>
      <c r="I493" s="2">
        <v>44689</v>
      </c>
      <c r="J493" s="1">
        <v>40.47</v>
      </c>
      <c r="K493" s="1">
        <f t="shared" si="16"/>
        <v>917.95268099999998</v>
      </c>
      <c r="L493" s="1">
        <f t="shared" si="17"/>
        <v>1350.277319</v>
      </c>
    </row>
    <row r="494" spans="1:12" x14ac:dyDescent="0.35">
      <c r="A494" s="1">
        <v>1492</v>
      </c>
      <c r="B494" s="2">
        <v>44582</v>
      </c>
      <c r="C494" s="1" t="s">
        <v>35</v>
      </c>
      <c r="D494" s="1" t="s">
        <v>69</v>
      </c>
      <c r="E494" s="1" t="s">
        <v>31</v>
      </c>
      <c r="F494" s="1">
        <v>857.98</v>
      </c>
      <c r="G494" s="1" t="s">
        <v>202</v>
      </c>
      <c r="H494" s="2">
        <v>24802</v>
      </c>
      <c r="I494" s="2">
        <v>44595</v>
      </c>
      <c r="J494" s="1">
        <v>8.44</v>
      </c>
      <c r="K494" s="1">
        <f t="shared" si="16"/>
        <v>72.413511999999997</v>
      </c>
      <c r="L494" s="1">
        <f t="shared" si="17"/>
        <v>785.56648800000005</v>
      </c>
    </row>
    <row r="495" spans="1:12" x14ac:dyDescent="0.35">
      <c r="A495" s="1">
        <v>1493</v>
      </c>
      <c r="B495" s="2">
        <v>44415</v>
      </c>
      <c r="C495" s="1" t="s">
        <v>14</v>
      </c>
      <c r="D495" s="1" t="s">
        <v>38</v>
      </c>
      <c r="E495" s="1" t="s">
        <v>28</v>
      </c>
      <c r="F495" s="1">
        <v>4476.6400000000003</v>
      </c>
      <c r="G495" s="1" t="s">
        <v>221</v>
      </c>
      <c r="H495" s="2">
        <v>35658</v>
      </c>
      <c r="I495" s="2">
        <v>44417</v>
      </c>
      <c r="J495" s="1">
        <v>13.84</v>
      </c>
      <c r="K495" s="1">
        <f t="shared" si="16"/>
        <v>619.56697600000007</v>
      </c>
      <c r="L495" s="1">
        <f t="shared" si="17"/>
        <v>3857.0730240000003</v>
      </c>
    </row>
    <row r="496" spans="1:12" x14ac:dyDescent="0.35">
      <c r="A496" s="1">
        <v>1494</v>
      </c>
      <c r="B496" s="2">
        <v>44484</v>
      </c>
      <c r="C496" s="1" t="s">
        <v>10</v>
      </c>
      <c r="D496" s="1" t="s">
        <v>88</v>
      </c>
      <c r="E496" s="1" t="s">
        <v>16</v>
      </c>
      <c r="F496" s="1">
        <v>3755.32</v>
      </c>
      <c r="G496" s="1" t="s">
        <v>282</v>
      </c>
      <c r="H496" s="2">
        <v>38073</v>
      </c>
      <c r="I496" s="2">
        <v>44489</v>
      </c>
      <c r="J496" s="1">
        <v>39.659999999999997</v>
      </c>
      <c r="K496" s="1">
        <f t="shared" si="16"/>
        <v>1489.3599119999999</v>
      </c>
      <c r="L496" s="1">
        <f t="shared" si="17"/>
        <v>2265.9600880000003</v>
      </c>
    </row>
    <row r="497" spans="1:12" x14ac:dyDescent="0.35">
      <c r="A497" s="1">
        <v>1495</v>
      </c>
      <c r="B497" s="2">
        <v>45829</v>
      </c>
      <c r="C497" s="1" t="s">
        <v>21</v>
      </c>
      <c r="D497" s="1" t="s">
        <v>11</v>
      </c>
      <c r="E497" s="1" t="s">
        <v>12</v>
      </c>
      <c r="F497" s="1">
        <v>4164.7700000000004</v>
      </c>
      <c r="G497" s="1" t="s">
        <v>264</v>
      </c>
      <c r="H497" s="2">
        <v>30232</v>
      </c>
      <c r="I497" s="2">
        <v>45832</v>
      </c>
      <c r="J497" s="1">
        <v>40.119999999999997</v>
      </c>
      <c r="K497" s="1">
        <f t="shared" si="16"/>
        <v>1670.9057240000002</v>
      </c>
      <c r="L497" s="1">
        <f t="shared" si="17"/>
        <v>2493.8642760000002</v>
      </c>
    </row>
    <row r="498" spans="1:12" x14ac:dyDescent="0.35">
      <c r="A498" s="1">
        <v>1496</v>
      </c>
      <c r="B498" s="2">
        <v>45316</v>
      </c>
      <c r="C498" s="1" t="s">
        <v>35</v>
      </c>
      <c r="D498" s="1" t="s">
        <v>102</v>
      </c>
      <c r="E498" s="1" t="s">
        <v>12</v>
      </c>
      <c r="F498" s="1">
        <v>897.52</v>
      </c>
      <c r="G498" s="1" t="s">
        <v>108</v>
      </c>
      <c r="H498" s="2">
        <v>33413</v>
      </c>
      <c r="I498" s="2">
        <v>45326</v>
      </c>
      <c r="J498" s="1">
        <v>8.91</v>
      </c>
      <c r="K498" s="1">
        <f t="shared" si="16"/>
        <v>79.969031999999999</v>
      </c>
      <c r="L498" s="1">
        <f t="shared" si="17"/>
        <v>817.55096800000001</v>
      </c>
    </row>
    <row r="499" spans="1:12" x14ac:dyDescent="0.35">
      <c r="A499" s="1">
        <v>1497</v>
      </c>
      <c r="B499" s="2">
        <v>44840</v>
      </c>
      <c r="C499" s="1" t="s">
        <v>35</v>
      </c>
      <c r="D499" s="1" t="s">
        <v>73</v>
      </c>
      <c r="E499" s="1" t="s">
        <v>28</v>
      </c>
      <c r="F499" s="1">
        <v>4921.43</v>
      </c>
      <c r="G499" s="1" t="s">
        <v>67</v>
      </c>
      <c r="H499" s="2">
        <v>34016</v>
      </c>
      <c r="I499" s="2">
        <v>44843</v>
      </c>
      <c r="J499" s="1">
        <v>16.77</v>
      </c>
      <c r="K499" s="1">
        <f t="shared" si="16"/>
        <v>825.32381099999998</v>
      </c>
      <c r="L499" s="1">
        <f t="shared" si="17"/>
        <v>4096.1061890000001</v>
      </c>
    </row>
    <row r="500" spans="1:12" x14ac:dyDescent="0.35">
      <c r="A500" s="1">
        <v>1498</v>
      </c>
      <c r="B500" s="2">
        <v>44528</v>
      </c>
      <c r="C500" s="1" t="s">
        <v>14</v>
      </c>
      <c r="D500" s="1" t="s">
        <v>18</v>
      </c>
      <c r="E500" s="1" t="s">
        <v>19</v>
      </c>
      <c r="F500" s="1">
        <v>216.97</v>
      </c>
      <c r="G500" s="1" t="s">
        <v>265</v>
      </c>
      <c r="H500" s="2">
        <v>38899</v>
      </c>
      <c r="I500" s="2">
        <v>44537</v>
      </c>
      <c r="J500" s="1">
        <v>41.44</v>
      </c>
      <c r="K500" s="1">
        <f t="shared" si="16"/>
        <v>89.912368000000001</v>
      </c>
      <c r="L500" s="1">
        <f t="shared" si="17"/>
        <v>127.057632</v>
      </c>
    </row>
    <row r="501" spans="1:12" x14ac:dyDescent="0.35">
      <c r="A501" s="1">
        <v>1499</v>
      </c>
      <c r="B501" s="2">
        <v>44540</v>
      </c>
      <c r="C501" s="1" t="s">
        <v>10</v>
      </c>
      <c r="D501" s="1" t="s">
        <v>44</v>
      </c>
      <c r="E501" s="1" t="s">
        <v>16</v>
      </c>
      <c r="F501" s="1">
        <v>2393.89</v>
      </c>
      <c r="G501" s="1" t="s">
        <v>283</v>
      </c>
      <c r="H501" s="2">
        <v>30117</v>
      </c>
      <c r="I501" s="2">
        <v>44551</v>
      </c>
      <c r="J501" s="1">
        <v>10.87</v>
      </c>
      <c r="K501" s="1">
        <f t="shared" si="16"/>
        <v>260.21584299999995</v>
      </c>
      <c r="L501" s="1">
        <f t="shared" si="17"/>
        <v>2133.6741569999999</v>
      </c>
    </row>
    <row r="502" spans="1:12" x14ac:dyDescent="0.35">
      <c r="A502" s="1">
        <v>1500</v>
      </c>
      <c r="B502" s="2">
        <v>45298</v>
      </c>
      <c r="C502" s="1" t="s">
        <v>35</v>
      </c>
      <c r="D502" s="1" t="s">
        <v>88</v>
      </c>
      <c r="E502" s="1" t="s">
        <v>16</v>
      </c>
      <c r="F502" s="1">
        <v>3767.29</v>
      </c>
      <c r="G502" s="1" t="s">
        <v>215</v>
      </c>
      <c r="H502" s="2">
        <v>31386</v>
      </c>
      <c r="I502" s="2">
        <v>45310</v>
      </c>
      <c r="J502" s="1">
        <v>15.91</v>
      </c>
      <c r="K502" s="1">
        <f t="shared" si="16"/>
        <v>599.37583899999993</v>
      </c>
      <c r="L502" s="1">
        <f t="shared" si="17"/>
        <v>3167.9141610000001</v>
      </c>
    </row>
    <row r="503" spans="1:12" x14ac:dyDescent="0.35">
      <c r="A503" s="1">
        <v>1501</v>
      </c>
      <c r="B503" s="2">
        <v>45230</v>
      </c>
      <c r="C503" s="1" t="s">
        <v>21</v>
      </c>
      <c r="D503" s="1" t="s">
        <v>30</v>
      </c>
      <c r="E503" s="1" t="s">
        <v>31</v>
      </c>
      <c r="F503" s="1">
        <v>1246.26</v>
      </c>
      <c r="G503" s="1" t="s">
        <v>155</v>
      </c>
      <c r="H503" s="2">
        <v>27688</v>
      </c>
      <c r="I503" s="2">
        <v>45232</v>
      </c>
      <c r="J503" s="1">
        <v>7.94</v>
      </c>
      <c r="K503" s="1">
        <f t="shared" si="16"/>
        <v>98.953043999999991</v>
      </c>
      <c r="L503" s="1">
        <f t="shared" si="17"/>
        <v>1147.3069559999999</v>
      </c>
    </row>
    <row r="504" spans="1:12" x14ac:dyDescent="0.35">
      <c r="A504" s="1">
        <v>1502</v>
      </c>
      <c r="B504" s="2">
        <v>44328</v>
      </c>
      <c r="C504" s="1" t="s">
        <v>10</v>
      </c>
      <c r="D504" s="1" t="s">
        <v>22</v>
      </c>
      <c r="E504" s="1" t="s">
        <v>19</v>
      </c>
      <c r="F504" s="1">
        <v>1825.7</v>
      </c>
      <c r="G504" s="1" t="s">
        <v>284</v>
      </c>
      <c r="H504" s="2">
        <v>34338</v>
      </c>
      <c r="I504" s="2">
        <v>44340</v>
      </c>
      <c r="J504" s="1">
        <v>34.07</v>
      </c>
      <c r="K504" s="1">
        <f t="shared" si="16"/>
        <v>622.01598999999999</v>
      </c>
      <c r="L504" s="1">
        <f t="shared" si="17"/>
        <v>1203.6840099999999</v>
      </c>
    </row>
    <row r="505" spans="1:12" x14ac:dyDescent="0.35">
      <c r="A505" s="1">
        <v>1503</v>
      </c>
      <c r="B505" s="2">
        <v>44961</v>
      </c>
      <c r="C505" s="1" t="s">
        <v>26</v>
      </c>
      <c r="D505" s="1" t="s">
        <v>38</v>
      </c>
      <c r="E505" s="1" t="s">
        <v>28</v>
      </c>
      <c r="F505" s="1">
        <v>1119.8599999999999</v>
      </c>
      <c r="G505" s="1" t="s">
        <v>166</v>
      </c>
      <c r="H505" s="2">
        <v>27879</v>
      </c>
      <c r="I505" s="2">
        <v>44968</v>
      </c>
      <c r="J505" s="1">
        <v>7.51</v>
      </c>
      <c r="K505" s="1">
        <f t="shared" si="16"/>
        <v>84.101485999999994</v>
      </c>
      <c r="L505" s="1">
        <f t="shared" si="17"/>
        <v>1035.7585139999999</v>
      </c>
    </row>
    <row r="506" spans="1:12" x14ac:dyDescent="0.35">
      <c r="A506" s="1">
        <v>1504</v>
      </c>
      <c r="B506" s="2">
        <v>44975</v>
      </c>
      <c r="C506" s="1" t="s">
        <v>21</v>
      </c>
      <c r="D506" s="1" t="s">
        <v>102</v>
      </c>
      <c r="E506" s="1" t="s">
        <v>12</v>
      </c>
      <c r="F506" s="1">
        <v>1079.6199999999999</v>
      </c>
      <c r="G506" s="1" t="s">
        <v>120</v>
      </c>
      <c r="H506" s="2">
        <v>30820</v>
      </c>
      <c r="I506" s="2">
        <v>44988</v>
      </c>
      <c r="J506" s="1">
        <v>18.41</v>
      </c>
      <c r="K506" s="1">
        <f t="shared" si="16"/>
        <v>198.75804199999999</v>
      </c>
      <c r="L506" s="1">
        <f t="shared" si="17"/>
        <v>880.86195799999996</v>
      </c>
    </row>
    <row r="507" spans="1:12" x14ac:dyDescent="0.35">
      <c r="A507" s="1">
        <v>1505</v>
      </c>
      <c r="B507" s="2">
        <v>44953</v>
      </c>
      <c r="C507" s="1" t="s">
        <v>21</v>
      </c>
      <c r="D507" s="1" t="s">
        <v>65</v>
      </c>
      <c r="E507" s="1" t="s">
        <v>19</v>
      </c>
      <c r="F507" s="1">
        <v>989.3</v>
      </c>
      <c r="G507" s="1" t="s">
        <v>236</v>
      </c>
      <c r="H507" s="2">
        <v>36099</v>
      </c>
      <c r="I507" s="2">
        <v>44967</v>
      </c>
      <c r="J507" s="1">
        <v>9.18</v>
      </c>
      <c r="K507" s="1">
        <f t="shared" si="16"/>
        <v>90.817739999999986</v>
      </c>
      <c r="L507" s="1">
        <f t="shared" si="17"/>
        <v>898.48226</v>
      </c>
    </row>
    <row r="508" spans="1:12" x14ac:dyDescent="0.35">
      <c r="A508" s="1">
        <v>1506</v>
      </c>
      <c r="B508" s="2">
        <v>44372</v>
      </c>
      <c r="C508" s="1" t="s">
        <v>10</v>
      </c>
      <c r="D508" s="1" t="s">
        <v>18</v>
      </c>
      <c r="E508" s="1" t="s">
        <v>19</v>
      </c>
      <c r="F508" s="1">
        <v>4408.54</v>
      </c>
      <c r="G508" s="1" t="s">
        <v>208</v>
      </c>
      <c r="H508" s="2">
        <v>32188</v>
      </c>
      <c r="I508" s="2">
        <v>44382</v>
      </c>
      <c r="J508" s="1">
        <v>12.47</v>
      </c>
      <c r="K508" s="1">
        <f t="shared" si="16"/>
        <v>549.74493800000005</v>
      </c>
      <c r="L508" s="1">
        <f t="shared" si="17"/>
        <v>3858.7950620000001</v>
      </c>
    </row>
    <row r="509" spans="1:12" x14ac:dyDescent="0.35">
      <c r="A509" s="1">
        <v>1507</v>
      </c>
      <c r="B509" s="2">
        <v>45596</v>
      </c>
      <c r="C509" s="1" t="s">
        <v>21</v>
      </c>
      <c r="D509" s="1" t="s">
        <v>33</v>
      </c>
      <c r="E509" s="1" t="s">
        <v>16</v>
      </c>
      <c r="F509" s="1">
        <v>308.79000000000002</v>
      </c>
      <c r="G509" s="1" t="s">
        <v>117</v>
      </c>
      <c r="H509" s="2">
        <v>23513</v>
      </c>
      <c r="I509" s="2">
        <v>45603</v>
      </c>
      <c r="J509" s="1">
        <v>15.92</v>
      </c>
      <c r="K509" s="1">
        <f t="shared" si="16"/>
        <v>49.159368000000008</v>
      </c>
      <c r="L509" s="1">
        <f t="shared" si="17"/>
        <v>259.63063199999999</v>
      </c>
    </row>
    <row r="510" spans="1:12" x14ac:dyDescent="0.35">
      <c r="A510" s="1">
        <v>1508</v>
      </c>
      <c r="B510" s="2">
        <v>44487</v>
      </c>
      <c r="C510" s="1" t="s">
        <v>14</v>
      </c>
      <c r="D510" s="1" t="s">
        <v>15</v>
      </c>
      <c r="E510" s="1" t="s">
        <v>16</v>
      </c>
      <c r="F510" s="1">
        <v>2775.54</v>
      </c>
      <c r="G510" s="1" t="s">
        <v>129</v>
      </c>
      <c r="H510" s="2">
        <v>26668</v>
      </c>
      <c r="I510" s="2">
        <v>44494</v>
      </c>
      <c r="J510" s="1">
        <v>22.41</v>
      </c>
      <c r="K510" s="1">
        <f t="shared" si="16"/>
        <v>621.998514</v>
      </c>
      <c r="L510" s="1">
        <f t="shared" si="17"/>
        <v>2153.5414860000001</v>
      </c>
    </row>
    <row r="511" spans="1:12" x14ac:dyDescent="0.35">
      <c r="A511" s="1">
        <v>1509</v>
      </c>
      <c r="B511" s="2">
        <v>44557</v>
      </c>
      <c r="C511" s="1" t="s">
        <v>21</v>
      </c>
      <c r="D511" s="1" t="s">
        <v>36</v>
      </c>
      <c r="E511" s="1" t="s">
        <v>28</v>
      </c>
      <c r="F511" s="1">
        <v>2170.37</v>
      </c>
      <c r="G511" s="1" t="s">
        <v>285</v>
      </c>
      <c r="H511" s="2">
        <v>26988</v>
      </c>
      <c r="I511" s="2">
        <v>44559</v>
      </c>
      <c r="J511" s="1">
        <v>27.89</v>
      </c>
      <c r="K511" s="1">
        <f t="shared" si="16"/>
        <v>605.31619299999988</v>
      </c>
      <c r="L511" s="1">
        <f t="shared" si="17"/>
        <v>1565.053807</v>
      </c>
    </row>
    <row r="512" spans="1:12" x14ac:dyDescent="0.35">
      <c r="A512" s="1">
        <v>1510</v>
      </c>
      <c r="B512" s="2">
        <v>44078</v>
      </c>
      <c r="C512" s="1" t="s">
        <v>14</v>
      </c>
      <c r="D512" s="1" t="s">
        <v>61</v>
      </c>
      <c r="E512" s="1" t="s">
        <v>19</v>
      </c>
      <c r="F512" s="1">
        <v>948.94</v>
      </c>
      <c r="G512" s="1" t="s">
        <v>173</v>
      </c>
      <c r="H512" s="2">
        <v>22016</v>
      </c>
      <c r="I512" s="2">
        <v>44090</v>
      </c>
      <c r="J512" s="1">
        <v>21.04</v>
      </c>
      <c r="K512" s="1">
        <f t="shared" si="16"/>
        <v>199.65697600000001</v>
      </c>
      <c r="L512" s="1">
        <f t="shared" si="17"/>
        <v>749.28302400000007</v>
      </c>
    </row>
    <row r="513" spans="1:12" x14ac:dyDescent="0.35">
      <c r="A513" s="1">
        <v>1511</v>
      </c>
      <c r="B513" s="2">
        <v>44328</v>
      </c>
      <c r="C513" s="1" t="s">
        <v>26</v>
      </c>
      <c r="D513" s="1" t="s">
        <v>55</v>
      </c>
      <c r="E513" s="1" t="s">
        <v>31</v>
      </c>
      <c r="F513" s="1">
        <v>3452.36</v>
      </c>
      <c r="G513" s="1" t="s">
        <v>17</v>
      </c>
      <c r="H513" s="2">
        <v>26484</v>
      </c>
      <c r="I513" s="2">
        <v>44333</v>
      </c>
      <c r="J513" s="1">
        <v>26.13</v>
      </c>
      <c r="K513" s="1">
        <f t="shared" si="16"/>
        <v>902.1016679999999</v>
      </c>
      <c r="L513" s="1">
        <f t="shared" si="17"/>
        <v>2550.2583320000003</v>
      </c>
    </row>
    <row r="514" spans="1:12" x14ac:dyDescent="0.35">
      <c r="A514" s="1">
        <v>1512</v>
      </c>
      <c r="B514" s="2">
        <v>44119</v>
      </c>
      <c r="C514" s="1" t="s">
        <v>35</v>
      </c>
      <c r="D514" s="1" t="s">
        <v>24</v>
      </c>
      <c r="E514" s="1" t="s">
        <v>19</v>
      </c>
      <c r="F514" s="1">
        <v>4036.97</v>
      </c>
      <c r="G514" s="1" t="s">
        <v>228</v>
      </c>
      <c r="H514" s="2">
        <v>25811</v>
      </c>
      <c r="I514" s="2">
        <v>44128</v>
      </c>
      <c r="J514" s="1">
        <v>10.38</v>
      </c>
      <c r="K514" s="1">
        <f t="shared" si="16"/>
        <v>419.037486</v>
      </c>
      <c r="L514" s="1">
        <f t="shared" si="17"/>
        <v>3617.9325139999996</v>
      </c>
    </row>
    <row r="515" spans="1:12" x14ac:dyDescent="0.35">
      <c r="A515" s="1">
        <v>1513</v>
      </c>
      <c r="B515" s="2">
        <v>44590</v>
      </c>
      <c r="C515" s="1" t="s">
        <v>35</v>
      </c>
      <c r="D515" s="1" t="s">
        <v>24</v>
      </c>
      <c r="E515" s="1" t="s">
        <v>19</v>
      </c>
      <c r="F515" s="1">
        <v>492.46</v>
      </c>
      <c r="G515" s="1" t="s">
        <v>213</v>
      </c>
      <c r="H515" s="2">
        <v>34345</v>
      </c>
      <c r="I515" s="2">
        <v>44602</v>
      </c>
      <c r="J515" s="1">
        <v>44.35</v>
      </c>
      <c r="K515" s="1">
        <f t="shared" ref="K515:K578" si="18">F515*J515%</f>
        <v>218.40600999999998</v>
      </c>
      <c r="L515" s="1">
        <f t="shared" ref="L515:L578" si="19">F515-K515</f>
        <v>274.05399</v>
      </c>
    </row>
    <row r="516" spans="1:12" x14ac:dyDescent="0.35">
      <c r="A516" s="1">
        <v>1514</v>
      </c>
      <c r="B516" s="2">
        <v>44426</v>
      </c>
      <c r="C516" s="1" t="s">
        <v>35</v>
      </c>
      <c r="D516" s="1" t="s">
        <v>53</v>
      </c>
      <c r="E516" s="1" t="s">
        <v>28</v>
      </c>
      <c r="F516" s="1">
        <v>4324.25</v>
      </c>
      <c r="G516" s="1" t="s">
        <v>267</v>
      </c>
      <c r="H516" s="2">
        <v>38039</v>
      </c>
      <c r="I516" s="2">
        <v>44439</v>
      </c>
      <c r="J516" s="1">
        <v>17.28</v>
      </c>
      <c r="K516" s="1">
        <f t="shared" si="18"/>
        <v>747.23040000000003</v>
      </c>
      <c r="L516" s="1">
        <f t="shared" si="19"/>
        <v>3577.0196000000001</v>
      </c>
    </row>
    <row r="517" spans="1:12" x14ac:dyDescent="0.35">
      <c r="A517" s="1">
        <v>1515</v>
      </c>
      <c r="B517" s="2">
        <v>44823</v>
      </c>
      <c r="C517" s="1" t="s">
        <v>21</v>
      </c>
      <c r="D517" s="1" t="s">
        <v>11</v>
      </c>
      <c r="E517" s="1" t="s">
        <v>12</v>
      </c>
      <c r="F517" s="1">
        <v>1005.2</v>
      </c>
      <c r="G517" s="1" t="s">
        <v>286</v>
      </c>
      <c r="H517" s="2">
        <v>33430</v>
      </c>
      <c r="I517" s="2">
        <v>44828</v>
      </c>
      <c r="J517" s="1">
        <v>17.05</v>
      </c>
      <c r="K517" s="1">
        <f t="shared" si="18"/>
        <v>171.38660000000002</v>
      </c>
      <c r="L517" s="1">
        <f t="shared" si="19"/>
        <v>833.8134</v>
      </c>
    </row>
    <row r="518" spans="1:12" x14ac:dyDescent="0.35">
      <c r="A518" s="1">
        <v>1516</v>
      </c>
      <c r="B518" s="2">
        <v>45407</v>
      </c>
      <c r="C518" s="1" t="s">
        <v>35</v>
      </c>
      <c r="D518" s="1" t="s">
        <v>53</v>
      </c>
      <c r="E518" s="1" t="s">
        <v>28</v>
      </c>
      <c r="F518" s="1">
        <v>4842.41</v>
      </c>
      <c r="G518" s="1" t="s">
        <v>111</v>
      </c>
      <c r="H518" s="2">
        <v>34704</v>
      </c>
      <c r="I518" s="2">
        <v>45416</v>
      </c>
      <c r="J518" s="1">
        <v>30.21</v>
      </c>
      <c r="K518" s="1">
        <f t="shared" si="18"/>
        <v>1462.8920610000002</v>
      </c>
      <c r="L518" s="1">
        <f t="shared" si="19"/>
        <v>3379.5179389999994</v>
      </c>
    </row>
    <row r="519" spans="1:12" x14ac:dyDescent="0.35">
      <c r="A519" s="1">
        <v>1517</v>
      </c>
      <c r="B519" s="2">
        <v>45136</v>
      </c>
      <c r="C519" s="1" t="s">
        <v>10</v>
      </c>
      <c r="D519" s="1" t="s">
        <v>40</v>
      </c>
      <c r="E519" s="1" t="s">
        <v>16</v>
      </c>
      <c r="F519" s="1">
        <v>997.82</v>
      </c>
      <c r="G519" s="1" t="s">
        <v>141</v>
      </c>
      <c r="H519" s="2">
        <v>35559</v>
      </c>
      <c r="I519" s="2">
        <v>45144</v>
      </c>
      <c r="J519" s="1">
        <v>10.050000000000001</v>
      </c>
      <c r="K519" s="1">
        <f t="shared" si="18"/>
        <v>100.28091000000001</v>
      </c>
      <c r="L519" s="1">
        <f t="shared" si="19"/>
        <v>897.53908999999999</v>
      </c>
    </row>
    <row r="520" spans="1:12" x14ac:dyDescent="0.35">
      <c r="A520" s="1">
        <v>1518</v>
      </c>
      <c r="B520" s="2">
        <v>44854</v>
      </c>
      <c r="C520" s="1" t="s">
        <v>35</v>
      </c>
      <c r="D520" s="1" t="s">
        <v>73</v>
      </c>
      <c r="E520" s="1" t="s">
        <v>28</v>
      </c>
      <c r="F520" s="1">
        <v>1656.3</v>
      </c>
      <c r="G520" s="1" t="s">
        <v>287</v>
      </c>
      <c r="H520" s="2">
        <v>36329</v>
      </c>
      <c r="I520" s="2">
        <v>44867</v>
      </c>
      <c r="J520" s="1">
        <v>34.54</v>
      </c>
      <c r="K520" s="1">
        <f t="shared" si="18"/>
        <v>572.08601999999996</v>
      </c>
      <c r="L520" s="1">
        <f t="shared" si="19"/>
        <v>1084.21398</v>
      </c>
    </row>
    <row r="521" spans="1:12" x14ac:dyDescent="0.35">
      <c r="A521" s="1">
        <v>1519</v>
      </c>
      <c r="B521" s="2">
        <v>44420</v>
      </c>
      <c r="C521" s="1" t="s">
        <v>10</v>
      </c>
      <c r="D521" s="1" t="s">
        <v>49</v>
      </c>
      <c r="E521" s="1" t="s">
        <v>12</v>
      </c>
      <c r="F521" s="1">
        <v>3717.54</v>
      </c>
      <c r="G521" s="1" t="s">
        <v>197</v>
      </c>
      <c r="H521" s="2">
        <v>26001</v>
      </c>
      <c r="I521" s="2">
        <v>44430</v>
      </c>
      <c r="J521" s="1">
        <v>27.61</v>
      </c>
      <c r="K521" s="1">
        <f t="shared" si="18"/>
        <v>1026.4127940000001</v>
      </c>
      <c r="L521" s="1">
        <f t="shared" si="19"/>
        <v>2691.1272060000001</v>
      </c>
    </row>
    <row r="522" spans="1:12" x14ac:dyDescent="0.35">
      <c r="A522" s="1">
        <v>1520</v>
      </c>
      <c r="B522" s="2">
        <v>44433</v>
      </c>
      <c r="C522" s="1" t="s">
        <v>26</v>
      </c>
      <c r="D522" s="1" t="s">
        <v>22</v>
      </c>
      <c r="E522" s="1" t="s">
        <v>19</v>
      </c>
      <c r="F522" s="1">
        <v>2034.68</v>
      </c>
      <c r="G522" s="1" t="s">
        <v>112</v>
      </c>
      <c r="H522" s="2">
        <v>38171</v>
      </c>
      <c r="I522" s="2">
        <v>44443</v>
      </c>
      <c r="J522" s="1">
        <v>30.93</v>
      </c>
      <c r="K522" s="1">
        <f t="shared" si="18"/>
        <v>629.32652400000006</v>
      </c>
      <c r="L522" s="1">
        <f t="shared" si="19"/>
        <v>1405.353476</v>
      </c>
    </row>
    <row r="523" spans="1:12" x14ac:dyDescent="0.35">
      <c r="A523" s="1">
        <v>1521</v>
      </c>
      <c r="B523" s="2">
        <v>44931</v>
      </c>
      <c r="C523" s="1" t="s">
        <v>26</v>
      </c>
      <c r="D523" s="1" t="s">
        <v>73</v>
      </c>
      <c r="E523" s="1" t="s">
        <v>28</v>
      </c>
      <c r="F523" s="1">
        <v>1919.95</v>
      </c>
      <c r="G523" s="1" t="s">
        <v>288</v>
      </c>
      <c r="H523" s="2">
        <v>29810</v>
      </c>
      <c r="I523" s="2">
        <v>44934</v>
      </c>
      <c r="J523" s="1">
        <v>19.54</v>
      </c>
      <c r="K523" s="1">
        <f t="shared" si="18"/>
        <v>375.15823</v>
      </c>
      <c r="L523" s="1">
        <f t="shared" si="19"/>
        <v>1544.79177</v>
      </c>
    </row>
    <row r="524" spans="1:12" x14ac:dyDescent="0.35">
      <c r="A524" s="1">
        <v>1522</v>
      </c>
      <c r="B524" s="2">
        <v>44205</v>
      </c>
      <c r="C524" s="1" t="s">
        <v>35</v>
      </c>
      <c r="D524" s="1" t="s">
        <v>49</v>
      </c>
      <c r="E524" s="1" t="s">
        <v>12</v>
      </c>
      <c r="F524" s="1">
        <v>512.12</v>
      </c>
      <c r="G524" s="1" t="s">
        <v>289</v>
      </c>
      <c r="H524" s="2">
        <v>21923</v>
      </c>
      <c r="I524" s="2">
        <v>44219</v>
      </c>
      <c r="J524" s="1">
        <v>11.52</v>
      </c>
      <c r="K524" s="1">
        <f t="shared" si="18"/>
        <v>58.996223999999998</v>
      </c>
      <c r="L524" s="1">
        <f t="shared" si="19"/>
        <v>453.12377600000002</v>
      </c>
    </row>
    <row r="525" spans="1:12" x14ac:dyDescent="0.35">
      <c r="A525" s="1">
        <v>1523</v>
      </c>
      <c r="B525" s="2">
        <v>44336</v>
      </c>
      <c r="C525" s="1" t="s">
        <v>26</v>
      </c>
      <c r="D525" s="1" t="s">
        <v>38</v>
      </c>
      <c r="E525" s="1" t="s">
        <v>28</v>
      </c>
      <c r="F525" s="1">
        <v>4331.62</v>
      </c>
      <c r="G525" s="1" t="s">
        <v>169</v>
      </c>
      <c r="H525" s="2">
        <v>37894</v>
      </c>
      <c r="I525" s="2">
        <v>44338</v>
      </c>
      <c r="J525" s="1">
        <v>42.1</v>
      </c>
      <c r="K525" s="1">
        <f t="shared" si="18"/>
        <v>1823.61202</v>
      </c>
      <c r="L525" s="1">
        <f t="shared" si="19"/>
        <v>2508.0079799999999</v>
      </c>
    </row>
    <row r="526" spans="1:12" x14ac:dyDescent="0.35">
      <c r="A526" s="1">
        <v>1524</v>
      </c>
      <c r="B526" s="2">
        <v>45705</v>
      </c>
      <c r="C526" s="1" t="s">
        <v>21</v>
      </c>
      <c r="D526" s="1" t="s">
        <v>53</v>
      </c>
      <c r="E526" s="1" t="s">
        <v>28</v>
      </c>
      <c r="F526" s="1">
        <v>3743.49</v>
      </c>
      <c r="G526" s="1" t="s">
        <v>113</v>
      </c>
      <c r="H526" s="2">
        <v>25579</v>
      </c>
      <c r="I526" s="2">
        <v>45707</v>
      </c>
      <c r="J526" s="1">
        <v>41.5</v>
      </c>
      <c r="K526" s="1">
        <f t="shared" si="18"/>
        <v>1553.5483499999998</v>
      </c>
      <c r="L526" s="1">
        <f t="shared" si="19"/>
        <v>2189.9416499999998</v>
      </c>
    </row>
    <row r="527" spans="1:12" x14ac:dyDescent="0.35">
      <c r="A527" s="1">
        <v>1525</v>
      </c>
      <c r="B527" s="2">
        <v>44123</v>
      </c>
      <c r="C527" s="1" t="s">
        <v>35</v>
      </c>
      <c r="D527" s="1" t="s">
        <v>11</v>
      </c>
      <c r="E527" s="1" t="s">
        <v>12</v>
      </c>
      <c r="F527" s="1">
        <v>2623.35</v>
      </c>
      <c r="G527" s="1" t="s">
        <v>63</v>
      </c>
      <c r="H527" s="2">
        <v>25430</v>
      </c>
      <c r="I527" s="2">
        <v>44133</v>
      </c>
      <c r="J527" s="1">
        <v>33.46</v>
      </c>
      <c r="K527" s="1">
        <f t="shared" si="18"/>
        <v>877.77291000000002</v>
      </c>
      <c r="L527" s="1">
        <f t="shared" si="19"/>
        <v>1745.5770899999998</v>
      </c>
    </row>
    <row r="528" spans="1:12" x14ac:dyDescent="0.35">
      <c r="A528" s="1">
        <v>1526</v>
      </c>
      <c r="B528" s="2">
        <v>44476</v>
      </c>
      <c r="C528" s="1" t="s">
        <v>26</v>
      </c>
      <c r="D528" s="1" t="s">
        <v>27</v>
      </c>
      <c r="E528" s="1" t="s">
        <v>28</v>
      </c>
      <c r="F528" s="1">
        <v>651.98</v>
      </c>
      <c r="G528" s="1" t="s">
        <v>190</v>
      </c>
      <c r="H528" s="2">
        <v>33354</v>
      </c>
      <c r="I528" s="2">
        <v>44487</v>
      </c>
      <c r="J528" s="1">
        <v>41.88</v>
      </c>
      <c r="K528" s="1">
        <f t="shared" si="18"/>
        <v>273.04922400000004</v>
      </c>
      <c r="L528" s="1">
        <f t="shared" si="19"/>
        <v>378.93077599999998</v>
      </c>
    </row>
    <row r="529" spans="1:12" x14ac:dyDescent="0.35">
      <c r="A529" s="1">
        <v>1527</v>
      </c>
      <c r="B529" s="2">
        <v>44847</v>
      </c>
      <c r="C529" s="1" t="s">
        <v>26</v>
      </c>
      <c r="D529" s="1" t="s">
        <v>30</v>
      </c>
      <c r="E529" s="1" t="s">
        <v>31</v>
      </c>
      <c r="F529" s="1">
        <v>2401.7800000000002</v>
      </c>
      <c r="G529" s="1" t="s">
        <v>154</v>
      </c>
      <c r="H529" s="2">
        <v>32146</v>
      </c>
      <c r="I529" s="2">
        <v>44849</v>
      </c>
      <c r="J529" s="1">
        <v>21.01</v>
      </c>
      <c r="K529" s="1">
        <f t="shared" si="18"/>
        <v>504.61397800000009</v>
      </c>
      <c r="L529" s="1">
        <f t="shared" si="19"/>
        <v>1897.1660220000001</v>
      </c>
    </row>
    <row r="530" spans="1:12" x14ac:dyDescent="0.35">
      <c r="A530" s="1">
        <v>1528</v>
      </c>
      <c r="B530" s="2">
        <v>44800</v>
      </c>
      <c r="C530" s="1" t="s">
        <v>35</v>
      </c>
      <c r="D530" s="1" t="s">
        <v>15</v>
      </c>
      <c r="E530" s="1" t="s">
        <v>16</v>
      </c>
      <c r="F530" s="1">
        <v>4140.24</v>
      </c>
      <c r="G530" s="1" t="s">
        <v>290</v>
      </c>
      <c r="H530" s="2">
        <v>31764</v>
      </c>
      <c r="I530" s="2">
        <v>44810</v>
      </c>
      <c r="J530" s="1">
        <v>30.47</v>
      </c>
      <c r="K530" s="1">
        <f t="shared" si="18"/>
        <v>1261.5311279999999</v>
      </c>
      <c r="L530" s="1">
        <f t="shared" si="19"/>
        <v>2878.7088720000002</v>
      </c>
    </row>
    <row r="531" spans="1:12" x14ac:dyDescent="0.35">
      <c r="A531" s="1">
        <v>1529</v>
      </c>
      <c r="B531" s="2">
        <v>44511</v>
      </c>
      <c r="C531" s="1" t="s">
        <v>21</v>
      </c>
      <c r="D531" s="1" t="s">
        <v>30</v>
      </c>
      <c r="E531" s="1" t="s">
        <v>31</v>
      </c>
      <c r="F531" s="1">
        <v>620.05999999999995</v>
      </c>
      <c r="G531" s="1" t="s">
        <v>188</v>
      </c>
      <c r="H531" s="2">
        <v>31467</v>
      </c>
      <c r="I531" s="2">
        <v>44514</v>
      </c>
      <c r="J531" s="1">
        <v>43.35</v>
      </c>
      <c r="K531" s="1">
        <f t="shared" si="18"/>
        <v>268.79600999999997</v>
      </c>
      <c r="L531" s="1">
        <f t="shared" si="19"/>
        <v>351.26398999999998</v>
      </c>
    </row>
    <row r="532" spans="1:12" x14ac:dyDescent="0.35">
      <c r="A532" s="1">
        <v>1530</v>
      </c>
      <c r="B532" s="2">
        <v>44286</v>
      </c>
      <c r="C532" s="1" t="s">
        <v>26</v>
      </c>
      <c r="D532" s="1" t="s">
        <v>61</v>
      </c>
      <c r="E532" s="1" t="s">
        <v>19</v>
      </c>
      <c r="F532" s="1">
        <v>4265.28</v>
      </c>
      <c r="G532" s="1" t="s">
        <v>80</v>
      </c>
      <c r="H532" s="2">
        <v>31578</v>
      </c>
      <c r="I532" s="2">
        <v>44287</v>
      </c>
      <c r="J532" s="1">
        <v>41.11</v>
      </c>
      <c r="K532" s="1">
        <f t="shared" si="18"/>
        <v>1753.456608</v>
      </c>
      <c r="L532" s="1">
        <f t="shared" si="19"/>
        <v>2511.8233919999998</v>
      </c>
    </row>
    <row r="533" spans="1:12" x14ac:dyDescent="0.35">
      <c r="A533" s="1">
        <v>1531</v>
      </c>
      <c r="B533" s="2">
        <v>45495</v>
      </c>
      <c r="C533" s="1" t="s">
        <v>14</v>
      </c>
      <c r="D533" s="1" t="s">
        <v>36</v>
      </c>
      <c r="E533" s="1" t="s">
        <v>28</v>
      </c>
      <c r="F533" s="1">
        <v>1451.33</v>
      </c>
      <c r="G533" s="1" t="s">
        <v>149</v>
      </c>
      <c r="H533" s="2">
        <v>26155</v>
      </c>
      <c r="I533" s="2">
        <v>45498</v>
      </c>
      <c r="J533" s="1">
        <v>13.34</v>
      </c>
      <c r="K533" s="1">
        <f t="shared" si="18"/>
        <v>193.60742199999999</v>
      </c>
      <c r="L533" s="1">
        <f t="shared" si="19"/>
        <v>1257.7225779999999</v>
      </c>
    </row>
    <row r="534" spans="1:12" x14ac:dyDescent="0.35">
      <c r="A534" s="1">
        <v>1532</v>
      </c>
      <c r="B534" s="2">
        <v>44104</v>
      </c>
      <c r="C534" s="1" t="s">
        <v>26</v>
      </c>
      <c r="D534" s="1" t="s">
        <v>27</v>
      </c>
      <c r="E534" s="1" t="s">
        <v>28</v>
      </c>
      <c r="F534" s="1">
        <v>4840.1400000000003</v>
      </c>
      <c r="G534" s="1" t="s">
        <v>291</v>
      </c>
      <c r="H534" s="2">
        <v>36645</v>
      </c>
      <c r="I534" s="2">
        <v>44111</v>
      </c>
      <c r="J534" s="1">
        <v>37.380000000000003</v>
      </c>
      <c r="K534" s="1">
        <f t="shared" si="18"/>
        <v>1809.2443320000002</v>
      </c>
      <c r="L534" s="1">
        <f t="shared" si="19"/>
        <v>3030.8956680000001</v>
      </c>
    </row>
    <row r="535" spans="1:12" x14ac:dyDescent="0.35">
      <c r="A535" s="1">
        <v>1533</v>
      </c>
      <c r="B535" s="2">
        <v>45442</v>
      </c>
      <c r="C535" s="1" t="s">
        <v>10</v>
      </c>
      <c r="D535" s="1" t="s">
        <v>44</v>
      </c>
      <c r="E535" s="1" t="s">
        <v>16</v>
      </c>
      <c r="F535" s="1">
        <v>342.76</v>
      </c>
      <c r="G535" s="1" t="s">
        <v>224</v>
      </c>
      <c r="H535" s="2">
        <v>35405</v>
      </c>
      <c r="I535" s="2">
        <v>45450</v>
      </c>
      <c r="J535" s="1">
        <v>4.42</v>
      </c>
      <c r="K535" s="1">
        <f t="shared" si="18"/>
        <v>15.149991999999997</v>
      </c>
      <c r="L535" s="1">
        <f t="shared" si="19"/>
        <v>327.61000799999999</v>
      </c>
    </row>
    <row r="536" spans="1:12" x14ac:dyDescent="0.35">
      <c r="A536" s="1">
        <v>1534</v>
      </c>
      <c r="B536" s="2">
        <v>45712</v>
      </c>
      <c r="C536" s="1" t="s">
        <v>26</v>
      </c>
      <c r="D536" s="1" t="s">
        <v>88</v>
      </c>
      <c r="E536" s="1" t="s">
        <v>16</v>
      </c>
      <c r="F536" s="1">
        <v>344.01</v>
      </c>
      <c r="G536" s="1" t="s">
        <v>156</v>
      </c>
      <c r="H536" s="2">
        <v>38693</v>
      </c>
      <c r="I536" s="2">
        <v>45713</v>
      </c>
      <c r="J536" s="1">
        <v>49.39</v>
      </c>
      <c r="K536" s="1">
        <f t="shared" si="18"/>
        <v>169.90653900000001</v>
      </c>
      <c r="L536" s="1">
        <f t="shared" si="19"/>
        <v>174.10346099999998</v>
      </c>
    </row>
    <row r="537" spans="1:12" x14ac:dyDescent="0.35">
      <c r="A537" s="1">
        <v>1535</v>
      </c>
      <c r="B537" s="2">
        <v>45849</v>
      </c>
      <c r="C537" s="1" t="s">
        <v>26</v>
      </c>
      <c r="D537" s="1" t="s">
        <v>15</v>
      </c>
      <c r="E537" s="1" t="s">
        <v>16</v>
      </c>
      <c r="F537" s="1">
        <v>2039.1</v>
      </c>
      <c r="G537" s="1" t="s">
        <v>264</v>
      </c>
      <c r="H537" s="2">
        <v>30232</v>
      </c>
      <c r="I537" s="2">
        <v>45851</v>
      </c>
      <c r="J537" s="1">
        <v>27.95</v>
      </c>
      <c r="K537" s="1">
        <f t="shared" si="18"/>
        <v>569.92844999999988</v>
      </c>
      <c r="L537" s="1">
        <f t="shared" si="19"/>
        <v>1469.17155</v>
      </c>
    </row>
    <row r="538" spans="1:12" x14ac:dyDescent="0.35">
      <c r="A538" s="1">
        <v>1536</v>
      </c>
      <c r="B538" s="2">
        <v>44997</v>
      </c>
      <c r="C538" s="1" t="s">
        <v>10</v>
      </c>
      <c r="D538" s="1" t="s">
        <v>69</v>
      </c>
      <c r="E538" s="1" t="s">
        <v>31</v>
      </c>
      <c r="F538" s="1">
        <v>3137.31</v>
      </c>
      <c r="G538" s="1" t="s">
        <v>174</v>
      </c>
      <c r="H538" s="2">
        <v>38118</v>
      </c>
      <c r="I538" s="2">
        <v>45008</v>
      </c>
      <c r="J538" s="1">
        <v>43.28</v>
      </c>
      <c r="K538" s="1">
        <f t="shared" si="18"/>
        <v>1357.8277680000001</v>
      </c>
      <c r="L538" s="1">
        <f t="shared" si="19"/>
        <v>1779.4822319999998</v>
      </c>
    </row>
    <row r="539" spans="1:12" x14ac:dyDescent="0.35">
      <c r="A539" s="1">
        <v>1537</v>
      </c>
      <c r="B539" s="2">
        <v>45670</v>
      </c>
      <c r="C539" s="1" t="s">
        <v>21</v>
      </c>
      <c r="D539" s="1" t="s">
        <v>22</v>
      </c>
      <c r="E539" s="1" t="s">
        <v>19</v>
      </c>
      <c r="F539" s="1">
        <v>4731.1400000000003</v>
      </c>
      <c r="G539" s="1" t="s">
        <v>292</v>
      </c>
      <c r="H539" s="2">
        <v>27118</v>
      </c>
      <c r="I539" s="2">
        <v>45683</v>
      </c>
      <c r="J539" s="1">
        <v>4</v>
      </c>
      <c r="K539" s="1">
        <f t="shared" si="18"/>
        <v>189.24560000000002</v>
      </c>
      <c r="L539" s="1">
        <f t="shared" si="19"/>
        <v>4541.8944000000001</v>
      </c>
    </row>
    <row r="540" spans="1:12" x14ac:dyDescent="0.35">
      <c r="A540" s="1">
        <v>1538</v>
      </c>
      <c r="B540" s="2">
        <v>45003</v>
      </c>
      <c r="C540" s="1" t="s">
        <v>35</v>
      </c>
      <c r="D540" s="1" t="s">
        <v>36</v>
      </c>
      <c r="E540" s="1" t="s">
        <v>28</v>
      </c>
      <c r="F540" s="1">
        <v>4083.61</v>
      </c>
      <c r="G540" s="1" t="s">
        <v>293</v>
      </c>
      <c r="H540" s="2">
        <v>26379</v>
      </c>
      <c r="I540" s="2">
        <v>45017</v>
      </c>
      <c r="J540" s="1">
        <v>7.1</v>
      </c>
      <c r="K540" s="1">
        <f t="shared" si="18"/>
        <v>289.93630999999999</v>
      </c>
      <c r="L540" s="1">
        <f t="shared" si="19"/>
        <v>3793.6736900000001</v>
      </c>
    </row>
    <row r="541" spans="1:12" x14ac:dyDescent="0.35">
      <c r="A541" s="1">
        <v>1539</v>
      </c>
      <c r="B541" s="2">
        <v>44926</v>
      </c>
      <c r="C541" s="1" t="s">
        <v>21</v>
      </c>
      <c r="D541" s="1" t="s">
        <v>55</v>
      </c>
      <c r="E541" s="1" t="s">
        <v>31</v>
      </c>
      <c r="F541" s="1">
        <v>1595.77</v>
      </c>
      <c r="G541" s="1" t="s">
        <v>74</v>
      </c>
      <c r="H541" s="2">
        <v>31224</v>
      </c>
      <c r="I541" s="2">
        <v>44933</v>
      </c>
      <c r="J541" s="1">
        <v>47.83</v>
      </c>
      <c r="K541" s="1">
        <f t="shared" si="18"/>
        <v>763.25679100000002</v>
      </c>
      <c r="L541" s="1">
        <f t="shared" si="19"/>
        <v>832.51320899999996</v>
      </c>
    </row>
    <row r="542" spans="1:12" x14ac:dyDescent="0.35">
      <c r="A542" s="1">
        <v>1540</v>
      </c>
      <c r="B542" s="2">
        <v>44137</v>
      </c>
      <c r="C542" s="1" t="s">
        <v>26</v>
      </c>
      <c r="D542" s="1" t="s">
        <v>36</v>
      </c>
      <c r="E542" s="1" t="s">
        <v>28</v>
      </c>
      <c r="F542" s="1">
        <v>2078.6</v>
      </c>
      <c r="G542" s="1" t="s">
        <v>294</v>
      </c>
      <c r="H542" s="2">
        <v>36037</v>
      </c>
      <c r="I542" s="2">
        <v>44149</v>
      </c>
      <c r="J542" s="1">
        <v>41.62</v>
      </c>
      <c r="K542" s="1">
        <f t="shared" si="18"/>
        <v>865.11331999999993</v>
      </c>
      <c r="L542" s="1">
        <f t="shared" si="19"/>
        <v>1213.48668</v>
      </c>
    </row>
    <row r="543" spans="1:12" x14ac:dyDescent="0.35">
      <c r="A543" s="1">
        <v>1541</v>
      </c>
      <c r="B543" s="2">
        <v>45380</v>
      </c>
      <c r="C543" s="1" t="s">
        <v>21</v>
      </c>
      <c r="D543" s="1" t="s">
        <v>40</v>
      </c>
      <c r="E543" s="1" t="s">
        <v>16</v>
      </c>
      <c r="F543" s="1">
        <v>3053.54</v>
      </c>
      <c r="G543" s="1" t="s">
        <v>101</v>
      </c>
      <c r="H543" s="2">
        <v>31331</v>
      </c>
      <c r="I543" s="2">
        <v>45386</v>
      </c>
      <c r="J543" s="1">
        <v>0.66</v>
      </c>
      <c r="K543" s="1">
        <f t="shared" si="18"/>
        <v>20.153364</v>
      </c>
      <c r="L543" s="1">
        <f t="shared" si="19"/>
        <v>3033.3866360000002</v>
      </c>
    </row>
    <row r="544" spans="1:12" x14ac:dyDescent="0.35">
      <c r="A544" s="1">
        <v>1542</v>
      </c>
      <c r="B544" s="2">
        <v>44107</v>
      </c>
      <c r="C544" s="1" t="s">
        <v>35</v>
      </c>
      <c r="D544" s="1" t="s">
        <v>55</v>
      </c>
      <c r="E544" s="1" t="s">
        <v>31</v>
      </c>
      <c r="F544" s="1">
        <v>3842.31</v>
      </c>
      <c r="G544" s="1" t="s">
        <v>275</v>
      </c>
      <c r="H544" s="2">
        <v>38510</v>
      </c>
      <c r="I544" s="2">
        <v>44115</v>
      </c>
      <c r="J544" s="1">
        <v>7.26</v>
      </c>
      <c r="K544" s="1">
        <f t="shared" si="18"/>
        <v>278.951706</v>
      </c>
      <c r="L544" s="1">
        <f t="shared" si="19"/>
        <v>3563.3582940000001</v>
      </c>
    </row>
    <row r="545" spans="1:12" x14ac:dyDescent="0.35">
      <c r="A545" s="1">
        <v>1543</v>
      </c>
      <c r="B545" s="2">
        <v>45180</v>
      </c>
      <c r="C545" s="1" t="s">
        <v>26</v>
      </c>
      <c r="D545" s="1" t="s">
        <v>33</v>
      </c>
      <c r="E545" s="1" t="s">
        <v>16</v>
      </c>
      <c r="F545" s="1">
        <v>3234.76</v>
      </c>
      <c r="G545" s="1" t="s">
        <v>260</v>
      </c>
      <c r="H545" s="2">
        <v>38628</v>
      </c>
      <c r="I545" s="2">
        <v>45184</v>
      </c>
      <c r="J545" s="1">
        <v>43.21</v>
      </c>
      <c r="K545" s="1">
        <f t="shared" si="18"/>
        <v>1397.7397960000001</v>
      </c>
      <c r="L545" s="1">
        <f t="shared" si="19"/>
        <v>1837.0202040000001</v>
      </c>
    </row>
    <row r="546" spans="1:12" x14ac:dyDescent="0.35">
      <c r="A546" s="1">
        <v>1544</v>
      </c>
      <c r="B546" s="2">
        <v>45705</v>
      </c>
      <c r="C546" s="1" t="s">
        <v>35</v>
      </c>
      <c r="D546" s="1" t="s">
        <v>24</v>
      </c>
      <c r="E546" s="1" t="s">
        <v>19</v>
      </c>
      <c r="F546" s="1">
        <v>741.45</v>
      </c>
      <c r="G546" s="1" t="s">
        <v>246</v>
      </c>
      <c r="H546" s="2">
        <v>25815</v>
      </c>
      <c r="I546" s="2">
        <v>45711</v>
      </c>
      <c r="J546" s="1">
        <v>42.1</v>
      </c>
      <c r="K546" s="1">
        <f t="shared" si="18"/>
        <v>312.15045000000003</v>
      </c>
      <c r="L546" s="1">
        <f t="shared" si="19"/>
        <v>429.29955000000001</v>
      </c>
    </row>
    <row r="547" spans="1:12" x14ac:dyDescent="0.35">
      <c r="A547" s="1">
        <v>1545</v>
      </c>
      <c r="B547" s="2">
        <v>44914</v>
      </c>
      <c r="C547" s="1" t="s">
        <v>10</v>
      </c>
      <c r="D547" s="1" t="s">
        <v>15</v>
      </c>
      <c r="E547" s="1" t="s">
        <v>16</v>
      </c>
      <c r="F547" s="1">
        <v>758.42</v>
      </c>
      <c r="G547" s="1" t="s">
        <v>268</v>
      </c>
      <c r="H547" s="2">
        <v>25103</v>
      </c>
      <c r="I547" s="2">
        <v>44918</v>
      </c>
      <c r="J547" s="1">
        <v>29.58</v>
      </c>
      <c r="K547" s="1">
        <f t="shared" si="18"/>
        <v>224.34063599999999</v>
      </c>
      <c r="L547" s="1">
        <f t="shared" si="19"/>
        <v>534.07936399999994</v>
      </c>
    </row>
    <row r="548" spans="1:12" x14ac:dyDescent="0.35">
      <c r="A548" s="1">
        <v>1546</v>
      </c>
      <c r="B548" s="2">
        <v>45115</v>
      </c>
      <c r="C548" s="1" t="s">
        <v>10</v>
      </c>
      <c r="D548" s="1" t="s">
        <v>65</v>
      </c>
      <c r="E548" s="1" t="s">
        <v>19</v>
      </c>
      <c r="F548" s="1">
        <v>2231.37</v>
      </c>
      <c r="G548" s="1" t="s">
        <v>43</v>
      </c>
      <c r="H548" s="2">
        <v>30054</v>
      </c>
      <c r="I548" s="2">
        <v>45119</v>
      </c>
      <c r="J548" s="1">
        <v>27.76</v>
      </c>
      <c r="K548" s="1">
        <f t="shared" si="18"/>
        <v>619.42831200000001</v>
      </c>
      <c r="L548" s="1">
        <f t="shared" si="19"/>
        <v>1611.9416879999999</v>
      </c>
    </row>
    <row r="549" spans="1:12" x14ac:dyDescent="0.35">
      <c r="A549" s="1">
        <v>1547</v>
      </c>
      <c r="B549" s="2">
        <v>44852</v>
      </c>
      <c r="C549" s="1" t="s">
        <v>21</v>
      </c>
      <c r="D549" s="1" t="s">
        <v>49</v>
      </c>
      <c r="E549" s="1" t="s">
        <v>12</v>
      </c>
      <c r="F549" s="1">
        <v>3146.45</v>
      </c>
      <c r="G549" s="1" t="s">
        <v>260</v>
      </c>
      <c r="H549" s="2">
        <v>38628</v>
      </c>
      <c r="I549" s="2">
        <v>44856</v>
      </c>
      <c r="J549" s="1">
        <v>22.43</v>
      </c>
      <c r="K549" s="1">
        <f t="shared" si="18"/>
        <v>705.74873500000001</v>
      </c>
      <c r="L549" s="1">
        <f t="shared" si="19"/>
        <v>2440.7012649999997</v>
      </c>
    </row>
    <row r="550" spans="1:12" x14ac:dyDescent="0.35">
      <c r="A550" s="1">
        <v>1548</v>
      </c>
      <c r="B550" s="2">
        <v>45135</v>
      </c>
      <c r="C550" s="1" t="s">
        <v>10</v>
      </c>
      <c r="D550" s="1" t="s">
        <v>47</v>
      </c>
      <c r="E550" s="1" t="s">
        <v>12</v>
      </c>
      <c r="F550" s="1">
        <v>2867.29</v>
      </c>
      <c r="G550" s="1" t="s">
        <v>238</v>
      </c>
      <c r="H550" s="2">
        <v>31880</v>
      </c>
      <c r="I550" s="2">
        <v>45144</v>
      </c>
      <c r="J550" s="1">
        <v>27.85</v>
      </c>
      <c r="K550" s="1">
        <f t="shared" si="18"/>
        <v>798.54026500000009</v>
      </c>
      <c r="L550" s="1">
        <f t="shared" si="19"/>
        <v>2068.7497349999999</v>
      </c>
    </row>
    <row r="551" spans="1:12" x14ac:dyDescent="0.35">
      <c r="A551" s="1">
        <v>1549</v>
      </c>
      <c r="B551" s="2">
        <v>45554</v>
      </c>
      <c r="C551" s="1" t="s">
        <v>10</v>
      </c>
      <c r="D551" s="1" t="s">
        <v>69</v>
      </c>
      <c r="E551" s="1" t="s">
        <v>31</v>
      </c>
      <c r="F551" s="1">
        <v>3780.34</v>
      </c>
      <c r="G551" s="1" t="s">
        <v>80</v>
      </c>
      <c r="H551" s="2">
        <v>31578</v>
      </c>
      <c r="I551" s="2">
        <v>45562</v>
      </c>
      <c r="J551" s="1">
        <v>24.49</v>
      </c>
      <c r="K551" s="1">
        <f t="shared" si="18"/>
        <v>925.80526599999996</v>
      </c>
      <c r="L551" s="1">
        <f t="shared" si="19"/>
        <v>2854.5347340000003</v>
      </c>
    </row>
    <row r="552" spans="1:12" x14ac:dyDescent="0.35">
      <c r="A552" s="1">
        <v>1550</v>
      </c>
      <c r="B552" s="2">
        <v>44477</v>
      </c>
      <c r="C552" s="1" t="s">
        <v>21</v>
      </c>
      <c r="D552" s="1" t="s">
        <v>11</v>
      </c>
      <c r="E552" s="1" t="s">
        <v>12</v>
      </c>
      <c r="F552" s="1">
        <v>710.65</v>
      </c>
      <c r="G552" s="1" t="s">
        <v>151</v>
      </c>
      <c r="H552" s="2">
        <v>34427</v>
      </c>
      <c r="I552" s="2">
        <v>44489</v>
      </c>
      <c r="J552" s="1">
        <v>37.58</v>
      </c>
      <c r="K552" s="1">
        <f t="shared" si="18"/>
        <v>267.06226999999996</v>
      </c>
      <c r="L552" s="1">
        <f t="shared" si="19"/>
        <v>443.58773000000002</v>
      </c>
    </row>
    <row r="553" spans="1:12" x14ac:dyDescent="0.35">
      <c r="A553" s="1">
        <v>1551</v>
      </c>
      <c r="B553" s="2">
        <v>45270</v>
      </c>
      <c r="C553" s="1" t="s">
        <v>35</v>
      </c>
      <c r="D553" s="1" t="s">
        <v>24</v>
      </c>
      <c r="E553" s="1" t="s">
        <v>19</v>
      </c>
      <c r="F553" s="1">
        <v>2344.4299999999998</v>
      </c>
      <c r="G553" s="1" t="s">
        <v>135</v>
      </c>
      <c r="H553" s="2">
        <v>38018</v>
      </c>
      <c r="I553" s="2">
        <v>45273</v>
      </c>
      <c r="J553" s="1">
        <v>39.96</v>
      </c>
      <c r="K553" s="1">
        <f t="shared" si="18"/>
        <v>936.83422799999994</v>
      </c>
      <c r="L553" s="1">
        <f t="shared" si="19"/>
        <v>1407.5957719999999</v>
      </c>
    </row>
    <row r="554" spans="1:12" x14ac:dyDescent="0.35">
      <c r="A554" s="1">
        <v>1552</v>
      </c>
      <c r="B554" s="2">
        <v>45467</v>
      </c>
      <c r="C554" s="1" t="s">
        <v>35</v>
      </c>
      <c r="D554" s="1" t="s">
        <v>73</v>
      </c>
      <c r="E554" s="1" t="s">
        <v>28</v>
      </c>
      <c r="F554" s="1">
        <v>1735.59</v>
      </c>
      <c r="G554" s="1" t="s">
        <v>168</v>
      </c>
      <c r="H554" s="2">
        <v>37674</v>
      </c>
      <c r="I554" s="2">
        <v>45481</v>
      </c>
      <c r="J554" s="1">
        <v>35.090000000000003</v>
      </c>
      <c r="K554" s="1">
        <f t="shared" si="18"/>
        <v>609.01853100000005</v>
      </c>
      <c r="L554" s="1">
        <f t="shared" si="19"/>
        <v>1126.571469</v>
      </c>
    </row>
    <row r="555" spans="1:12" x14ac:dyDescent="0.35">
      <c r="A555" s="1">
        <v>1553</v>
      </c>
      <c r="B555" s="2">
        <v>44373</v>
      </c>
      <c r="C555" s="1" t="s">
        <v>26</v>
      </c>
      <c r="D555" s="1" t="s">
        <v>44</v>
      </c>
      <c r="E555" s="1" t="s">
        <v>16</v>
      </c>
      <c r="F555" s="1">
        <v>2287.91</v>
      </c>
      <c r="G555" s="1" t="s">
        <v>115</v>
      </c>
      <c r="H555" s="2">
        <v>29486</v>
      </c>
      <c r="I555" s="2">
        <v>44377</v>
      </c>
      <c r="J555" s="1">
        <v>26.95</v>
      </c>
      <c r="K555" s="1">
        <f t="shared" si="18"/>
        <v>616.59174499999995</v>
      </c>
      <c r="L555" s="1">
        <f t="shared" si="19"/>
        <v>1671.3182549999999</v>
      </c>
    </row>
    <row r="556" spans="1:12" x14ac:dyDescent="0.35">
      <c r="A556" s="1">
        <v>1554</v>
      </c>
      <c r="B556" s="2">
        <v>44493</v>
      </c>
      <c r="C556" s="1" t="s">
        <v>21</v>
      </c>
      <c r="D556" s="1" t="s">
        <v>49</v>
      </c>
      <c r="E556" s="1" t="s">
        <v>12</v>
      </c>
      <c r="F556" s="1">
        <v>1994.35</v>
      </c>
      <c r="G556" s="1" t="s">
        <v>175</v>
      </c>
      <c r="H556" s="2">
        <v>36623</v>
      </c>
      <c r="I556" s="2">
        <v>44502</v>
      </c>
      <c r="J556" s="1">
        <v>19.809999999999999</v>
      </c>
      <c r="K556" s="1">
        <f t="shared" si="18"/>
        <v>395.080735</v>
      </c>
      <c r="L556" s="1">
        <f t="shared" si="19"/>
        <v>1599.2692649999999</v>
      </c>
    </row>
    <row r="557" spans="1:12" x14ac:dyDescent="0.35">
      <c r="A557" s="1">
        <v>1555</v>
      </c>
      <c r="B557" s="2">
        <v>45185</v>
      </c>
      <c r="C557" s="1" t="s">
        <v>26</v>
      </c>
      <c r="D557" s="1" t="s">
        <v>53</v>
      </c>
      <c r="E557" s="1" t="s">
        <v>28</v>
      </c>
      <c r="F557" s="1">
        <v>1096.3800000000001</v>
      </c>
      <c r="G557" s="1" t="s">
        <v>87</v>
      </c>
      <c r="H557" s="2">
        <v>36012</v>
      </c>
      <c r="I557" s="2">
        <v>45195</v>
      </c>
      <c r="J557" s="1">
        <v>6.24</v>
      </c>
      <c r="K557" s="1">
        <f t="shared" si="18"/>
        <v>68.414112000000017</v>
      </c>
      <c r="L557" s="1">
        <f t="shared" si="19"/>
        <v>1027.9658880000002</v>
      </c>
    </row>
    <row r="558" spans="1:12" x14ac:dyDescent="0.35">
      <c r="A558" s="1">
        <v>1556</v>
      </c>
      <c r="B558" s="2">
        <v>44847</v>
      </c>
      <c r="C558" s="1" t="s">
        <v>14</v>
      </c>
      <c r="D558" s="1" t="s">
        <v>55</v>
      </c>
      <c r="E558" s="1" t="s">
        <v>31</v>
      </c>
      <c r="F558" s="1">
        <v>441.91</v>
      </c>
      <c r="G558" s="1" t="s">
        <v>271</v>
      </c>
      <c r="H558" s="2">
        <v>22796</v>
      </c>
      <c r="I558" s="2">
        <v>44861</v>
      </c>
      <c r="J558" s="1">
        <v>19.23</v>
      </c>
      <c r="K558" s="1">
        <f t="shared" si="18"/>
        <v>84.979292999999998</v>
      </c>
      <c r="L558" s="1">
        <f t="shared" si="19"/>
        <v>356.93070700000004</v>
      </c>
    </row>
    <row r="559" spans="1:12" x14ac:dyDescent="0.35">
      <c r="A559" s="1">
        <v>1557</v>
      </c>
      <c r="B559" s="2">
        <v>45717</v>
      </c>
      <c r="C559" s="1" t="s">
        <v>14</v>
      </c>
      <c r="D559" s="1" t="s">
        <v>47</v>
      </c>
      <c r="E559" s="1" t="s">
        <v>12</v>
      </c>
      <c r="F559" s="1">
        <v>4784.0600000000004</v>
      </c>
      <c r="G559" s="1" t="s">
        <v>244</v>
      </c>
      <c r="H559" s="2">
        <v>30356</v>
      </c>
      <c r="I559" s="2">
        <v>45729</v>
      </c>
      <c r="J559" s="1">
        <v>23.56</v>
      </c>
      <c r="K559" s="1">
        <f t="shared" si="18"/>
        <v>1127.124536</v>
      </c>
      <c r="L559" s="1">
        <f t="shared" si="19"/>
        <v>3656.9354640000001</v>
      </c>
    </row>
    <row r="560" spans="1:12" x14ac:dyDescent="0.35">
      <c r="A560" s="1">
        <v>1558</v>
      </c>
      <c r="B560" s="2">
        <v>44837</v>
      </c>
      <c r="C560" s="1" t="s">
        <v>21</v>
      </c>
      <c r="D560" s="1" t="s">
        <v>38</v>
      </c>
      <c r="E560" s="1" t="s">
        <v>28</v>
      </c>
      <c r="F560" s="1">
        <v>930.18</v>
      </c>
      <c r="G560" s="1" t="s">
        <v>97</v>
      </c>
      <c r="H560" s="2">
        <v>24706</v>
      </c>
      <c r="I560" s="2">
        <v>44842</v>
      </c>
      <c r="J560" s="1">
        <v>23.94</v>
      </c>
      <c r="K560" s="1">
        <f t="shared" si="18"/>
        <v>222.685092</v>
      </c>
      <c r="L560" s="1">
        <f t="shared" si="19"/>
        <v>707.4949079999999</v>
      </c>
    </row>
    <row r="561" spans="1:12" x14ac:dyDescent="0.35">
      <c r="A561" s="1">
        <v>1559</v>
      </c>
      <c r="B561" s="2">
        <v>44310</v>
      </c>
      <c r="C561" s="1" t="s">
        <v>26</v>
      </c>
      <c r="D561" s="1" t="s">
        <v>73</v>
      </c>
      <c r="E561" s="1" t="s">
        <v>28</v>
      </c>
      <c r="F561" s="1">
        <v>2973.2</v>
      </c>
      <c r="G561" s="1" t="s">
        <v>93</v>
      </c>
      <c r="H561" s="2">
        <v>33984</v>
      </c>
      <c r="I561" s="2">
        <v>44312</v>
      </c>
      <c r="J561" s="1">
        <v>43.08</v>
      </c>
      <c r="K561" s="1">
        <f t="shared" si="18"/>
        <v>1280.8545599999998</v>
      </c>
      <c r="L561" s="1">
        <f t="shared" si="19"/>
        <v>1692.3454400000001</v>
      </c>
    </row>
    <row r="562" spans="1:12" x14ac:dyDescent="0.35">
      <c r="A562" s="1">
        <v>1560</v>
      </c>
      <c r="B562" s="2">
        <v>44451</v>
      </c>
      <c r="C562" s="1" t="s">
        <v>10</v>
      </c>
      <c r="D562" s="1" t="s">
        <v>65</v>
      </c>
      <c r="E562" s="1" t="s">
        <v>19</v>
      </c>
      <c r="F562" s="1">
        <v>1662.62</v>
      </c>
      <c r="G562" s="1" t="s">
        <v>295</v>
      </c>
      <c r="H562" s="2">
        <v>23369</v>
      </c>
      <c r="I562" s="2">
        <v>44454</v>
      </c>
      <c r="J562" s="1">
        <v>44.39</v>
      </c>
      <c r="K562" s="1">
        <f t="shared" si="18"/>
        <v>738.03701799999999</v>
      </c>
      <c r="L562" s="1">
        <f t="shared" si="19"/>
        <v>924.5829819999999</v>
      </c>
    </row>
    <row r="563" spans="1:12" x14ac:dyDescent="0.35">
      <c r="A563" s="1">
        <v>1561</v>
      </c>
      <c r="B563" s="2">
        <v>44315</v>
      </c>
      <c r="C563" s="1" t="s">
        <v>26</v>
      </c>
      <c r="D563" s="1" t="s">
        <v>27</v>
      </c>
      <c r="E563" s="1" t="s">
        <v>28</v>
      </c>
      <c r="F563" s="1">
        <v>4446.5200000000004</v>
      </c>
      <c r="G563" s="1" t="s">
        <v>226</v>
      </c>
      <c r="H563" s="2">
        <v>33332</v>
      </c>
      <c r="I563" s="2">
        <v>44318</v>
      </c>
      <c r="J563" s="1">
        <v>11.97</v>
      </c>
      <c r="K563" s="1">
        <f t="shared" si="18"/>
        <v>532.24844400000006</v>
      </c>
      <c r="L563" s="1">
        <f t="shared" si="19"/>
        <v>3914.2715560000006</v>
      </c>
    </row>
    <row r="564" spans="1:12" x14ac:dyDescent="0.35">
      <c r="A564" s="1">
        <v>1562</v>
      </c>
      <c r="B564" s="2">
        <v>44212</v>
      </c>
      <c r="C564" s="1" t="s">
        <v>21</v>
      </c>
      <c r="D564" s="1" t="s">
        <v>22</v>
      </c>
      <c r="E564" s="1" t="s">
        <v>19</v>
      </c>
      <c r="F564" s="1">
        <v>4265.46</v>
      </c>
      <c r="G564" s="1" t="s">
        <v>192</v>
      </c>
      <c r="H564" s="2">
        <v>33626</v>
      </c>
      <c r="I564" s="2">
        <v>44223</v>
      </c>
      <c r="J564" s="1">
        <v>0.21</v>
      </c>
      <c r="K564" s="1">
        <f t="shared" si="18"/>
        <v>8.9574660000000002</v>
      </c>
      <c r="L564" s="1">
        <f t="shared" si="19"/>
        <v>4256.5025340000002</v>
      </c>
    </row>
    <row r="565" spans="1:12" x14ac:dyDescent="0.35">
      <c r="A565" s="1">
        <v>1563</v>
      </c>
      <c r="B565" s="2">
        <v>44096</v>
      </c>
      <c r="C565" s="1" t="s">
        <v>10</v>
      </c>
      <c r="D565" s="1" t="s">
        <v>53</v>
      </c>
      <c r="E565" s="1" t="s">
        <v>28</v>
      </c>
      <c r="F565" s="1">
        <v>3498</v>
      </c>
      <c r="G565" s="1" t="s">
        <v>123</v>
      </c>
      <c r="H565" s="2">
        <v>36120</v>
      </c>
      <c r="I565" s="2">
        <v>44109</v>
      </c>
      <c r="J565" s="1">
        <v>36.71</v>
      </c>
      <c r="K565" s="1">
        <f t="shared" si="18"/>
        <v>1284.1158</v>
      </c>
      <c r="L565" s="1">
        <f t="shared" si="19"/>
        <v>2213.8842</v>
      </c>
    </row>
    <row r="566" spans="1:12" x14ac:dyDescent="0.35">
      <c r="A566" s="1">
        <v>1564</v>
      </c>
      <c r="B566" s="2">
        <v>44837</v>
      </c>
      <c r="C566" s="1" t="s">
        <v>14</v>
      </c>
      <c r="D566" s="1" t="s">
        <v>88</v>
      </c>
      <c r="E566" s="1" t="s">
        <v>16</v>
      </c>
      <c r="F566" s="1">
        <v>1713.91</v>
      </c>
      <c r="G566" s="1" t="s">
        <v>56</v>
      </c>
      <c r="H566" s="2">
        <v>25712</v>
      </c>
      <c r="I566" s="2">
        <v>44841</v>
      </c>
      <c r="J566" s="1">
        <v>23.44</v>
      </c>
      <c r="K566" s="1">
        <f t="shared" si="18"/>
        <v>401.74050400000004</v>
      </c>
      <c r="L566" s="1">
        <f t="shared" si="19"/>
        <v>1312.169496</v>
      </c>
    </row>
    <row r="567" spans="1:12" x14ac:dyDescent="0.35">
      <c r="A567" s="1">
        <v>1565</v>
      </c>
      <c r="B567" s="2">
        <v>44649</v>
      </c>
      <c r="C567" s="1" t="s">
        <v>21</v>
      </c>
      <c r="D567" s="1" t="s">
        <v>27</v>
      </c>
      <c r="E567" s="1" t="s">
        <v>28</v>
      </c>
      <c r="F567" s="1">
        <v>4205.53</v>
      </c>
      <c r="G567" s="1" t="s">
        <v>60</v>
      </c>
      <c r="H567" s="2">
        <v>33482</v>
      </c>
      <c r="I567" s="2">
        <v>44660</v>
      </c>
      <c r="J567" s="1">
        <v>33.07</v>
      </c>
      <c r="K567" s="1">
        <f t="shared" si="18"/>
        <v>1390.7687709999998</v>
      </c>
      <c r="L567" s="1">
        <f t="shared" si="19"/>
        <v>2814.7612289999997</v>
      </c>
    </row>
    <row r="568" spans="1:12" x14ac:dyDescent="0.35">
      <c r="A568" s="1">
        <v>1566</v>
      </c>
      <c r="B568" s="2">
        <v>45022</v>
      </c>
      <c r="C568" s="1" t="s">
        <v>10</v>
      </c>
      <c r="D568" s="1" t="s">
        <v>27</v>
      </c>
      <c r="E568" s="1" t="s">
        <v>28</v>
      </c>
      <c r="F568" s="1">
        <v>1608.38</v>
      </c>
      <c r="G568" s="1" t="s">
        <v>296</v>
      </c>
      <c r="H568" s="2">
        <v>39045</v>
      </c>
      <c r="I568" s="2">
        <v>45029</v>
      </c>
      <c r="J568" s="1">
        <v>11.05</v>
      </c>
      <c r="K568" s="1">
        <f t="shared" si="18"/>
        <v>177.72599000000002</v>
      </c>
      <c r="L568" s="1">
        <f t="shared" si="19"/>
        <v>1430.6540100000002</v>
      </c>
    </row>
    <row r="569" spans="1:12" x14ac:dyDescent="0.35">
      <c r="A569" s="1">
        <v>1567</v>
      </c>
      <c r="B569" s="2">
        <v>44130</v>
      </c>
      <c r="C569" s="1" t="s">
        <v>35</v>
      </c>
      <c r="D569" s="1" t="s">
        <v>71</v>
      </c>
      <c r="E569" s="1" t="s">
        <v>31</v>
      </c>
      <c r="F569" s="1">
        <v>4057.09</v>
      </c>
      <c r="G569" s="1" t="s">
        <v>238</v>
      </c>
      <c r="H569" s="2">
        <v>31880</v>
      </c>
      <c r="I569" s="2">
        <v>44137</v>
      </c>
      <c r="J569" s="1">
        <v>10.09</v>
      </c>
      <c r="K569" s="1">
        <f t="shared" si="18"/>
        <v>409.36038100000002</v>
      </c>
      <c r="L569" s="1">
        <f t="shared" si="19"/>
        <v>3647.7296190000002</v>
      </c>
    </row>
    <row r="570" spans="1:12" x14ac:dyDescent="0.35">
      <c r="A570" s="1">
        <v>1568</v>
      </c>
      <c r="B570" s="2">
        <v>45202</v>
      </c>
      <c r="C570" s="1" t="s">
        <v>10</v>
      </c>
      <c r="D570" s="1" t="s">
        <v>49</v>
      </c>
      <c r="E570" s="1" t="s">
        <v>12</v>
      </c>
      <c r="F570" s="1">
        <v>4062.14</v>
      </c>
      <c r="G570" s="1" t="s">
        <v>268</v>
      </c>
      <c r="H570" s="2">
        <v>25103</v>
      </c>
      <c r="I570" s="2">
        <v>45205</v>
      </c>
      <c r="J570" s="1">
        <v>46.2</v>
      </c>
      <c r="K570" s="1">
        <f t="shared" si="18"/>
        <v>1876.70868</v>
      </c>
      <c r="L570" s="1">
        <f t="shared" si="19"/>
        <v>2185.4313199999997</v>
      </c>
    </row>
    <row r="571" spans="1:12" x14ac:dyDescent="0.35">
      <c r="A571" s="1">
        <v>1569</v>
      </c>
      <c r="B571" s="2">
        <v>45147</v>
      </c>
      <c r="C571" s="1" t="s">
        <v>26</v>
      </c>
      <c r="D571" s="1" t="s">
        <v>38</v>
      </c>
      <c r="E571" s="1" t="s">
        <v>28</v>
      </c>
      <c r="F571" s="1">
        <v>3171.39</v>
      </c>
      <c r="G571" s="1" t="s">
        <v>297</v>
      </c>
      <c r="H571" s="2">
        <v>35410</v>
      </c>
      <c r="I571" s="2">
        <v>45153</v>
      </c>
      <c r="J571" s="1">
        <v>25.58</v>
      </c>
      <c r="K571" s="1">
        <f t="shared" si="18"/>
        <v>811.24156199999993</v>
      </c>
      <c r="L571" s="1">
        <f t="shared" si="19"/>
        <v>2360.1484380000002</v>
      </c>
    </row>
    <row r="572" spans="1:12" x14ac:dyDescent="0.35">
      <c r="A572" s="1">
        <v>1570</v>
      </c>
      <c r="B572" s="2">
        <v>45406</v>
      </c>
      <c r="C572" s="1" t="s">
        <v>26</v>
      </c>
      <c r="D572" s="1" t="s">
        <v>58</v>
      </c>
      <c r="E572" s="1" t="s">
        <v>31</v>
      </c>
      <c r="F572" s="1">
        <v>2853.87</v>
      </c>
      <c r="G572" s="1" t="s">
        <v>298</v>
      </c>
      <c r="H572" s="2">
        <v>30410</v>
      </c>
      <c r="I572" s="2">
        <v>45411</v>
      </c>
      <c r="J572" s="1">
        <v>13.21</v>
      </c>
      <c r="K572" s="1">
        <f t="shared" si="18"/>
        <v>376.99622699999998</v>
      </c>
      <c r="L572" s="1">
        <f t="shared" si="19"/>
        <v>2476.8737729999998</v>
      </c>
    </row>
    <row r="573" spans="1:12" x14ac:dyDescent="0.35">
      <c r="A573" s="1">
        <v>1571</v>
      </c>
      <c r="B573" s="2">
        <v>44079</v>
      </c>
      <c r="C573" s="1" t="s">
        <v>10</v>
      </c>
      <c r="D573" s="1" t="s">
        <v>44</v>
      </c>
      <c r="E573" s="1" t="s">
        <v>16</v>
      </c>
      <c r="F573" s="1">
        <v>4690.1099999999997</v>
      </c>
      <c r="G573" s="1" t="s">
        <v>118</v>
      </c>
      <c r="H573" s="2">
        <v>22599</v>
      </c>
      <c r="I573" s="2">
        <v>44082</v>
      </c>
      <c r="J573" s="1">
        <v>11.39</v>
      </c>
      <c r="K573" s="1">
        <f t="shared" si="18"/>
        <v>534.203529</v>
      </c>
      <c r="L573" s="1">
        <f t="shared" si="19"/>
        <v>4155.9064709999993</v>
      </c>
    </row>
    <row r="574" spans="1:12" x14ac:dyDescent="0.35">
      <c r="A574" s="1">
        <v>1572</v>
      </c>
      <c r="B574" s="2">
        <v>44528</v>
      </c>
      <c r="C574" s="1" t="s">
        <v>35</v>
      </c>
      <c r="D574" s="1" t="s">
        <v>15</v>
      </c>
      <c r="E574" s="1" t="s">
        <v>16</v>
      </c>
      <c r="F574" s="1">
        <v>381.09</v>
      </c>
      <c r="G574" s="1" t="s">
        <v>297</v>
      </c>
      <c r="H574" s="2">
        <v>35410</v>
      </c>
      <c r="I574" s="2">
        <v>44529</v>
      </c>
      <c r="J574" s="1">
        <v>23.63</v>
      </c>
      <c r="K574" s="1">
        <f t="shared" si="18"/>
        <v>90.051566999999991</v>
      </c>
      <c r="L574" s="1">
        <f t="shared" si="19"/>
        <v>291.038433</v>
      </c>
    </row>
    <row r="575" spans="1:12" x14ac:dyDescent="0.35">
      <c r="A575" s="1">
        <v>1573</v>
      </c>
      <c r="B575" s="2">
        <v>45595</v>
      </c>
      <c r="C575" s="1" t="s">
        <v>35</v>
      </c>
      <c r="D575" s="1" t="s">
        <v>40</v>
      </c>
      <c r="E575" s="1" t="s">
        <v>16</v>
      </c>
      <c r="F575" s="1">
        <v>3658.88</v>
      </c>
      <c r="G575" s="1" t="s">
        <v>121</v>
      </c>
      <c r="H575" s="2">
        <v>24580</v>
      </c>
      <c r="I575" s="2">
        <v>45598</v>
      </c>
      <c r="J575" s="1">
        <v>30.79</v>
      </c>
      <c r="K575" s="1">
        <f t="shared" si="18"/>
        <v>1126.569152</v>
      </c>
      <c r="L575" s="1">
        <f t="shared" si="19"/>
        <v>2532.3108480000001</v>
      </c>
    </row>
    <row r="576" spans="1:12" x14ac:dyDescent="0.35">
      <c r="A576" s="1">
        <v>1574</v>
      </c>
      <c r="B576" s="2">
        <v>44420</v>
      </c>
      <c r="C576" s="1" t="s">
        <v>14</v>
      </c>
      <c r="D576" s="1" t="s">
        <v>36</v>
      </c>
      <c r="E576" s="1" t="s">
        <v>28</v>
      </c>
      <c r="F576" s="1">
        <v>3509.16</v>
      </c>
      <c r="G576" s="1" t="s">
        <v>91</v>
      </c>
      <c r="H576" s="2">
        <v>34220</v>
      </c>
      <c r="I576" s="2">
        <v>44431</v>
      </c>
      <c r="J576" s="1">
        <v>45.18</v>
      </c>
      <c r="K576" s="1">
        <f t="shared" si="18"/>
        <v>1585.4384879999998</v>
      </c>
      <c r="L576" s="1">
        <f t="shared" si="19"/>
        <v>1923.7215120000001</v>
      </c>
    </row>
    <row r="577" spans="1:12" x14ac:dyDescent="0.35">
      <c r="A577" s="1">
        <v>1575</v>
      </c>
      <c r="B577" s="2">
        <v>44274</v>
      </c>
      <c r="C577" s="1" t="s">
        <v>26</v>
      </c>
      <c r="D577" s="1" t="s">
        <v>30</v>
      </c>
      <c r="E577" s="1" t="s">
        <v>31</v>
      </c>
      <c r="F577" s="1">
        <v>800.68</v>
      </c>
      <c r="G577" s="1" t="s">
        <v>196</v>
      </c>
      <c r="H577" s="2">
        <v>26300</v>
      </c>
      <c r="I577" s="2">
        <v>44275</v>
      </c>
      <c r="J577" s="1">
        <v>32.299999999999997</v>
      </c>
      <c r="K577" s="1">
        <f t="shared" si="18"/>
        <v>258.61963999999995</v>
      </c>
      <c r="L577" s="1">
        <f t="shared" si="19"/>
        <v>542.06035999999995</v>
      </c>
    </row>
    <row r="578" spans="1:12" x14ac:dyDescent="0.35">
      <c r="A578" s="1">
        <v>1576</v>
      </c>
      <c r="B578" s="2">
        <v>45873</v>
      </c>
      <c r="C578" s="1" t="s">
        <v>26</v>
      </c>
      <c r="D578" s="1" t="s">
        <v>15</v>
      </c>
      <c r="E578" s="1" t="s">
        <v>16</v>
      </c>
      <c r="F578" s="1">
        <v>1436.09</v>
      </c>
      <c r="G578" s="1" t="s">
        <v>127</v>
      </c>
      <c r="H578" s="2">
        <v>31846</v>
      </c>
      <c r="I578" s="2">
        <v>45885</v>
      </c>
      <c r="J578" s="1">
        <v>39.520000000000003</v>
      </c>
      <c r="K578" s="1">
        <f t="shared" si="18"/>
        <v>567.54276800000002</v>
      </c>
      <c r="L578" s="1">
        <f t="shared" si="19"/>
        <v>868.54723199999989</v>
      </c>
    </row>
    <row r="579" spans="1:12" x14ac:dyDescent="0.35">
      <c r="A579" s="1">
        <v>1577</v>
      </c>
      <c r="B579" s="2">
        <v>44397</v>
      </c>
      <c r="C579" s="1" t="s">
        <v>10</v>
      </c>
      <c r="D579" s="1" t="s">
        <v>65</v>
      </c>
      <c r="E579" s="1" t="s">
        <v>19</v>
      </c>
      <c r="F579" s="1">
        <v>2793.83</v>
      </c>
      <c r="G579" s="1" t="s">
        <v>215</v>
      </c>
      <c r="H579" s="2">
        <v>31386</v>
      </c>
      <c r="I579" s="2">
        <v>44407</v>
      </c>
      <c r="J579" s="1">
        <v>41.17</v>
      </c>
      <c r="K579" s="1">
        <f t="shared" ref="K579:K642" si="20">F579*J579%</f>
        <v>1150.2198109999999</v>
      </c>
      <c r="L579" s="1">
        <f t="shared" ref="L579:L642" si="21">F579-K579</f>
        <v>1643.610189</v>
      </c>
    </row>
    <row r="580" spans="1:12" x14ac:dyDescent="0.35">
      <c r="A580" s="1">
        <v>1578</v>
      </c>
      <c r="B580" s="2">
        <v>45821</v>
      </c>
      <c r="C580" s="1" t="s">
        <v>21</v>
      </c>
      <c r="D580" s="1" t="s">
        <v>58</v>
      </c>
      <c r="E580" s="1" t="s">
        <v>31</v>
      </c>
      <c r="F580" s="1">
        <v>1162.24</v>
      </c>
      <c r="G580" s="1" t="s">
        <v>108</v>
      </c>
      <c r="H580" s="2">
        <v>33413</v>
      </c>
      <c r="I580" s="2">
        <v>45824</v>
      </c>
      <c r="J580" s="1">
        <v>5.94</v>
      </c>
      <c r="K580" s="1">
        <f t="shared" si="20"/>
        <v>69.037056000000007</v>
      </c>
      <c r="L580" s="1">
        <f t="shared" si="21"/>
        <v>1093.2029440000001</v>
      </c>
    </row>
    <row r="581" spans="1:12" x14ac:dyDescent="0.35">
      <c r="A581" s="1">
        <v>1579</v>
      </c>
      <c r="B581" s="2">
        <v>45282</v>
      </c>
      <c r="C581" s="1" t="s">
        <v>21</v>
      </c>
      <c r="D581" s="1" t="s">
        <v>18</v>
      </c>
      <c r="E581" s="1" t="s">
        <v>19</v>
      </c>
      <c r="F581" s="1">
        <v>2127.64</v>
      </c>
      <c r="G581" s="1" t="s">
        <v>17</v>
      </c>
      <c r="H581" s="2">
        <v>26484</v>
      </c>
      <c r="I581" s="2">
        <v>45287</v>
      </c>
      <c r="J581" s="1">
        <v>21.3</v>
      </c>
      <c r="K581" s="1">
        <f t="shared" si="20"/>
        <v>453.18731999999994</v>
      </c>
      <c r="L581" s="1">
        <f t="shared" si="21"/>
        <v>1674.4526799999999</v>
      </c>
    </row>
    <row r="582" spans="1:12" x14ac:dyDescent="0.35">
      <c r="A582" s="1">
        <v>1580</v>
      </c>
      <c r="B582" s="2">
        <v>44976</v>
      </c>
      <c r="C582" s="1" t="s">
        <v>35</v>
      </c>
      <c r="D582" s="1" t="s">
        <v>88</v>
      </c>
      <c r="E582" s="1" t="s">
        <v>16</v>
      </c>
      <c r="F582" s="1">
        <v>3313.85</v>
      </c>
      <c r="G582" s="1" t="s">
        <v>299</v>
      </c>
      <c r="H582" s="2">
        <v>25863</v>
      </c>
      <c r="I582" s="2">
        <v>44990</v>
      </c>
      <c r="J582" s="1">
        <v>24.43</v>
      </c>
      <c r="K582" s="1">
        <f t="shared" si="20"/>
        <v>809.57355499999994</v>
      </c>
      <c r="L582" s="1">
        <f t="shared" si="21"/>
        <v>2504.276445</v>
      </c>
    </row>
    <row r="583" spans="1:12" x14ac:dyDescent="0.35">
      <c r="A583" s="1">
        <v>1581</v>
      </c>
      <c r="B583" s="2">
        <v>45712</v>
      </c>
      <c r="C583" s="1" t="s">
        <v>26</v>
      </c>
      <c r="D583" s="1" t="s">
        <v>55</v>
      </c>
      <c r="E583" s="1" t="s">
        <v>31</v>
      </c>
      <c r="F583" s="1">
        <v>922.77</v>
      </c>
      <c r="G583" s="1" t="s">
        <v>124</v>
      </c>
      <c r="H583" s="2">
        <v>30786</v>
      </c>
      <c r="I583" s="2">
        <v>45720</v>
      </c>
      <c r="J583" s="1">
        <v>45.36</v>
      </c>
      <c r="K583" s="1">
        <f t="shared" si="20"/>
        <v>418.56847199999999</v>
      </c>
      <c r="L583" s="1">
        <f t="shared" si="21"/>
        <v>504.201528</v>
      </c>
    </row>
    <row r="584" spans="1:12" x14ac:dyDescent="0.35">
      <c r="A584" s="1">
        <v>1582</v>
      </c>
      <c r="B584" s="2">
        <v>45808</v>
      </c>
      <c r="C584" s="1" t="s">
        <v>14</v>
      </c>
      <c r="D584" s="1" t="s">
        <v>69</v>
      </c>
      <c r="E584" s="1" t="s">
        <v>12</v>
      </c>
      <c r="F584" s="1">
        <v>4511.01</v>
      </c>
      <c r="G584" s="1" t="s">
        <v>39</v>
      </c>
      <c r="H584" s="2">
        <v>26282</v>
      </c>
      <c r="I584" s="2">
        <v>45812</v>
      </c>
      <c r="J584" s="1">
        <v>24.51</v>
      </c>
      <c r="K584" s="1">
        <f t="shared" si="20"/>
        <v>1105.648551</v>
      </c>
      <c r="L584" s="1">
        <f t="shared" si="21"/>
        <v>3405.361449</v>
      </c>
    </row>
    <row r="585" spans="1:12" x14ac:dyDescent="0.35">
      <c r="A585" s="1">
        <v>1583</v>
      </c>
      <c r="B585" s="2">
        <v>45423</v>
      </c>
      <c r="C585" s="1" t="s">
        <v>21</v>
      </c>
      <c r="D585" s="1" t="s">
        <v>58</v>
      </c>
      <c r="E585" s="1" t="s">
        <v>31</v>
      </c>
      <c r="F585" s="1">
        <v>3081.64</v>
      </c>
      <c r="G585" s="1" t="s">
        <v>120</v>
      </c>
      <c r="H585" s="2">
        <v>30820</v>
      </c>
      <c r="I585" s="2">
        <v>45430</v>
      </c>
      <c r="J585" s="1">
        <v>41.94</v>
      </c>
      <c r="K585" s="1">
        <f t="shared" si="20"/>
        <v>1292.4398159999998</v>
      </c>
      <c r="L585" s="1">
        <f t="shared" si="21"/>
        <v>1789.200184</v>
      </c>
    </row>
    <row r="586" spans="1:12" x14ac:dyDescent="0.35">
      <c r="A586" s="1">
        <v>1584</v>
      </c>
      <c r="B586" s="2">
        <v>44929</v>
      </c>
      <c r="C586" s="1" t="s">
        <v>10</v>
      </c>
      <c r="D586" s="1" t="s">
        <v>15</v>
      </c>
      <c r="E586" s="1" t="s">
        <v>16</v>
      </c>
      <c r="F586" s="1">
        <v>2668.64</v>
      </c>
      <c r="G586" s="1" t="s">
        <v>247</v>
      </c>
      <c r="H586" s="2">
        <v>23735</v>
      </c>
      <c r="I586" s="2">
        <v>44932</v>
      </c>
      <c r="J586" s="1">
        <v>16.489999999999998</v>
      </c>
      <c r="K586" s="1">
        <f t="shared" si="20"/>
        <v>440.05873599999995</v>
      </c>
      <c r="L586" s="1">
        <f t="shared" si="21"/>
        <v>2228.5812639999999</v>
      </c>
    </row>
    <row r="587" spans="1:12" x14ac:dyDescent="0.35">
      <c r="A587" s="1">
        <v>1585</v>
      </c>
      <c r="B587" s="2">
        <v>45316</v>
      </c>
      <c r="C587" s="1" t="s">
        <v>35</v>
      </c>
      <c r="D587" s="1" t="s">
        <v>22</v>
      </c>
      <c r="E587" s="1" t="s">
        <v>19</v>
      </c>
      <c r="F587" s="1">
        <v>3581.16</v>
      </c>
      <c r="G587" s="1" t="s">
        <v>199</v>
      </c>
      <c r="H587" s="2">
        <v>25341</v>
      </c>
      <c r="I587" s="2">
        <v>45323</v>
      </c>
      <c r="J587" s="1">
        <v>5.05</v>
      </c>
      <c r="K587" s="1">
        <f t="shared" si="20"/>
        <v>180.84857999999997</v>
      </c>
      <c r="L587" s="1">
        <f t="shared" si="21"/>
        <v>3400.31142</v>
      </c>
    </row>
    <row r="588" spans="1:12" x14ac:dyDescent="0.35">
      <c r="A588" s="1">
        <v>1586</v>
      </c>
      <c r="B588" s="2">
        <v>44354</v>
      </c>
      <c r="C588" s="1" t="s">
        <v>21</v>
      </c>
      <c r="D588" s="1" t="s">
        <v>18</v>
      </c>
      <c r="E588" s="1" t="s">
        <v>19</v>
      </c>
      <c r="F588" s="1">
        <v>1927.4</v>
      </c>
      <c r="G588" s="1" t="s">
        <v>256</v>
      </c>
      <c r="H588" s="2">
        <v>34537</v>
      </c>
      <c r="I588" s="2">
        <v>44362</v>
      </c>
      <c r="J588" s="1">
        <v>49.21</v>
      </c>
      <c r="K588" s="1">
        <f t="shared" si="20"/>
        <v>948.47353999999996</v>
      </c>
      <c r="L588" s="1">
        <f t="shared" si="21"/>
        <v>978.92646000000013</v>
      </c>
    </row>
    <row r="589" spans="1:12" x14ac:dyDescent="0.35">
      <c r="A589" s="1">
        <v>1587</v>
      </c>
      <c r="B589" s="2">
        <v>44896</v>
      </c>
      <c r="C589" s="1" t="s">
        <v>35</v>
      </c>
      <c r="D589" s="1" t="s">
        <v>58</v>
      </c>
      <c r="E589" s="1" t="s">
        <v>31</v>
      </c>
      <c r="F589" s="1">
        <v>3073.98</v>
      </c>
      <c r="G589" s="1" t="s">
        <v>276</v>
      </c>
      <c r="H589" s="2">
        <v>33394</v>
      </c>
      <c r="I589" s="2">
        <v>44899</v>
      </c>
      <c r="J589" s="1">
        <v>2.78</v>
      </c>
      <c r="K589" s="1">
        <f t="shared" si="20"/>
        <v>85.456643999999997</v>
      </c>
      <c r="L589" s="1">
        <f t="shared" si="21"/>
        <v>2988.5233560000001</v>
      </c>
    </row>
    <row r="590" spans="1:12" x14ac:dyDescent="0.35">
      <c r="A590" s="1">
        <v>1588</v>
      </c>
      <c r="B590" s="2">
        <v>44612</v>
      </c>
      <c r="C590" s="1" t="s">
        <v>35</v>
      </c>
      <c r="D590" s="1" t="s">
        <v>88</v>
      </c>
      <c r="E590" s="1" t="s">
        <v>16</v>
      </c>
      <c r="F590" s="1">
        <v>2770.97</v>
      </c>
      <c r="G590" s="1" t="s">
        <v>160</v>
      </c>
      <c r="H590" s="2">
        <v>35321</v>
      </c>
      <c r="I590" s="2">
        <v>44621</v>
      </c>
      <c r="J590" s="1">
        <v>13.64</v>
      </c>
      <c r="K590" s="1">
        <f t="shared" si="20"/>
        <v>377.96030799999994</v>
      </c>
      <c r="L590" s="1">
        <f t="shared" si="21"/>
        <v>2393.0096919999996</v>
      </c>
    </row>
    <row r="591" spans="1:12" x14ac:dyDescent="0.35">
      <c r="A591" s="1">
        <v>1589</v>
      </c>
      <c r="B591" s="2">
        <v>45390</v>
      </c>
      <c r="C591" s="1" t="s">
        <v>21</v>
      </c>
      <c r="D591" s="1" t="s">
        <v>69</v>
      </c>
      <c r="E591" s="1" t="s">
        <v>31</v>
      </c>
      <c r="F591" s="1">
        <v>2776.4</v>
      </c>
      <c r="G591" s="1" t="s">
        <v>176</v>
      </c>
      <c r="H591" s="2">
        <v>33282</v>
      </c>
      <c r="I591" s="2">
        <v>45392</v>
      </c>
      <c r="J591" s="1">
        <v>18.579999999999998</v>
      </c>
      <c r="K591" s="1">
        <f t="shared" si="20"/>
        <v>515.85511999999994</v>
      </c>
      <c r="L591" s="1">
        <f t="shared" si="21"/>
        <v>2260.5448800000004</v>
      </c>
    </row>
    <row r="592" spans="1:12" x14ac:dyDescent="0.35">
      <c r="A592" s="1">
        <v>1590</v>
      </c>
      <c r="B592" s="2">
        <v>44460</v>
      </c>
      <c r="C592" s="1" t="s">
        <v>21</v>
      </c>
      <c r="D592" s="1" t="s">
        <v>11</v>
      </c>
      <c r="E592" s="1" t="s">
        <v>12</v>
      </c>
      <c r="F592" s="1">
        <v>341.81</v>
      </c>
      <c r="G592" s="1" t="s">
        <v>139</v>
      </c>
      <c r="H592" s="2">
        <v>29381</v>
      </c>
      <c r="I592" s="2">
        <v>44466</v>
      </c>
      <c r="J592" s="1">
        <v>19.75</v>
      </c>
      <c r="K592" s="1">
        <f t="shared" si="20"/>
        <v>67.507474999999999</v>
      </c>
      <c r="L592" s="1">
        <f t="shared" si="21"/>
        <v>274.302525</v>
      </c>
    </row>
    <row r="593" spans="1:12" x14ac:dyDescent="0.35">
      <c r="A593" s="1">
        <v>1591</v>
      </c>
      <c r="B593" s="2">
        <v>44923</v>
      </c>
      <c r="C593" s="1" t="s">
        <v>35</v>
      </c>
      <c r="D593" s="1" t="s">
        <v>22</v>
      </c>
      <c r="E593" s="1" t="s">
        <v>19</v>
      </c>
      <c r="F593" s="1">
        <v>1301.82</v>
      </c>
      <c r="G593" s="1" t="s">
        <v>207</v>
      </c>
      <c r="H593" s="2">
        <v>23988</v>
      </c>
      <c r="I593" s="2">
        <v>44928</v>
      </c>
      <c r="J593" s="1">
        <v>30.44</v>
      </c>
      <c r="K593" s="1">
        <f t="shared" si="20"/>
        <v>396.27400799999998</v>
      </c>
      <c r="L593" s="1">
        <f t="shared" si="21"/>
        <v>905.54599199999996</v>
      </c>
    </row>
    <row r="594" spans="1:12" x14ac:dyDescent="0.35">
      <c r="A594" s="1">
        <v>1592</v>
      </c>
      <c r="B594" s="2">
        <v>45242</v>
      </c>
      <c r="C594" s="1" t="s">
        <v>35</v>
      </c>
      <c r="D594" s="1" t="s">
        <v>40</v>
      </c>
      <c r="E594" s="1" t="s">
        <v>16</v>
      </c>
      <c r="F594" s="1">
        <v>1354.64</v>
      </c>
      <c r="G594" s="1" t="s">
        <v>289</v>
      </c>
      <c r="H594" s="2">
        <v>21923</v>
      </c>
      <c r="I594" s="2">
        <v>45248</v>
      </c>
      <c r="J594" s="1">
        <v>49.02</v>
      </c>
      <c r="K594" s="1">
        <f t="shared" si="20"/>
        <v>664.04452800000013</v>
      </c>
      <c r="L594" s="1">
        <f t="shared" si="21"/>
        <v>690.59547199999997</v>
      </c>
    </row>
    <row r="595" spans="1:12" x14ac:dyDescent="0.35">
      <c r="A595" s="1">
        <v>1593</v>
      </c>
      <c r="B595" s="2">
        <v>45688</v>
      </c>
      <c r="C595" s="1" t="s">
        <v>26</v>
      </c>
      <c r="D595" s="1" t="s">
        <v>73</v>
      </c>
      <c r="E595" s="1" t="s">
        <v>28</v>
      </c>
      <c r="F595" s="1">
        <v>4679.8599999999997</v>
      </c>
      <c r="G595" s="1" t="s">
        <v>37</v>
      </c>
      <c r="H595" s="2">
        <v>27534</v>
      </c>
      <c r="I595" s="2">
        <v>45692</v>
      </c>
      <c r="J595" s="1">
        <v>10.66</v>
      </c>
      <c r="K595" s="1">
        <f t="shared" si="20"/>
        <v>498.87307599999997</v>
      </c>
      <c r="L595" s="1">
        <f t="shared" si="21"/>
        <v>4180.9869239999998</v>
      </c>
    </row>
    <row r="596" spans="1:12" x14ac:dyDescent="0.35">
      <c r="A596" s="1">
        <v>1594</v>
      </c>
      <c r="B596" s="2">
        <v>44911</v>
      </c>
      <c r="C596" s="1" t="s">
        <v>35</v>
      </c>
      <c r="D596" s="1" t="s">
        <v>33</v>
      </c>
      <c r="E596" s="1" t="s">
        <v>16</v>
      </c>
      <c r="F596" s="1">
        <v>2530.5</v>
      </c>
      <c r="G596" s="1" t="s">
        <v>276</v>
      </c>
      <c r="H596" s="2">
        <v>33394</v>
      </c>
      <c r="I596" s="2">
        <v>44917</v>
      </c>
      <c r="J596" s="1">
        <v>32.81</v>
      </c>
      <c r="K596" s="1">
        <f t="shared" si="20"/>
        <v>830.25705000000005</v>
      </c>
      <c r="L596" s="1">
        <f t="shared" si="21"/>
        <v>1700.2429499999998</v>
      </c>
    </row>
    <row r="597" spans="1:12" x14ac:dyDescent="0.35">
      <c r="A597" s="1">
        <v>1595</v>
      </c>
      <c r="B597" s="2">
        <v>45142</v>
      </c>
      <c r="C597" s="1" t="s">
        <v>35</v>
      </c>
      <c r="D597" s="1" t="s">
        <v>18</v>
      </c>
      <c r="E597" s="1" t="s">
        <v>19</v>
      </c>
      <c r="F597" s="1">
        <v>153.46</v>
      </c>
      <c r="G597" s="1" t="s">
        <v>120</v>
      </c>
      <c r="H597" s="2">
        <v>30820</v>
      </c>
      <c r="I597" s="2">
        <v>45145</v>
      </c>
      <c r="J597" s="1">
        <v>37.5</v>
      </c>
      <c r="K597" s="1">
        <f t="shared" si="20"/>
        <v>57.547499999999999</v>
      </c>
      <c r="L597" s="1">
        <f t="shared" si="21"/>
        <v>95.912500000000009</v>
      </c>
    </row>
    <row r="598" spans="1:12" x14ac:dyDescent="0.35">
      <c r="A598" s="1">
        <v>1596</v>
      </c>
      <c r="B598" s="2">
        <v>45749</v>
      </c>
      <c r="C598" s="1" t="s">
        <v>35</v>
      </c>
      <c r="D598" s="1" t="s">
        <v>58</v>
      </c>
      <c r="E598" s="1" t="s">
        <v>31</v>
      </c>
      <c r="F598" s="1">
        <v>3280.76</v>
      </c>
      <c r="G598" s="1" t="s">
        <v>215</v>
      </c>
      <c r="H598" s="2">
        <v>31386</v>
      </c>
      <c r="I598" s="2">
        <v>45763</v>
      </c>
      <c r="J598" s="1">
        <v>44.88</v>
      </c>
      <c r="K598" s="1">
        <f t="shared" si="20"/>
        <v>1472.4050880000002</v>
      </c>
      <c r="L598" s="1">
        <f t="shared" si="21"/>
        <v>1808.354912</v>
      </c>
    </row>
    <row r="599" spans="1:12" x14ac:dyDescent="0.35">
      <c r="A599" s="1">
        <v>1597</v>
      </c>
      <c r="B599" s="2">
        <v>45427</v>
      </c>
      <c r="C599" s="1" t="s">
        <v>21</v>
      </c>
      <c r="D599" s="1" t="s">
        <v>27</v>
      </c>
      <c r="E599" s="1" t="s">
        <v>28</v>
      </c>
      <c r="F599" s="1">
        <v>4720</v>
      </c>
      <c r="G599" s="1" t="s">
        <v>119</v>
      </c>
      <c r="H599" s="2">
        <v>34954</v>
      </c>
      <c r="I599" s="2">
        <v>45439</v>
      </c>
      <c r="J599" s="1">
        <v>0.59</v>
      </c>
      <c r="K599" s="1">
        <f t="shared" si="20"/>
        <v>27.847999999999999</v>
      </c>
      <c r="L599" s="1">
        <f t="shared" si="21"/>
        <v>4692.152</v>
      </c>
    </row>
    <row r="600" spans="1:12" x14ac:dyDescent="0.35">
      <c r="A600" s="1">
        <v>1598</v>
      </c>
      <c r="B600" s="2">
        <v>44229</v>
      </c>
      <c r="C600" s="1" t="s">
        <v>14</v>
      </c>
      <c r="D600" s="1" t="s">
        <v>53</v>
      </c>
      <c r="E600" s="1" t="s">
        <v>28</v>
      </c>
      <c r="F600" s="1">
        <v>4004.86</v>
      </c>
      <c r="G600" s="1" t="s">
        <v>188</v>
      </c>
      <c r="H600" s="2">
        <v>31467</v>
      </c>
      <c r="I600" s="2">
        <v>44234</v>
      </c>
      <c r="J600" s="1">
        <v>10.119999999999999</v>
      </c>
      <c r="K600" s="1">
        <f t="shared" si="20"/>
        <v>405.291832</v>
      </c>
      <c r="L600" s="1">
        <f t="shared" si="21"/>
        <v>3599.5681680000002</v>
      </c>
    </row>
    <row r="601" spans="1:12" x14ac:dyDescent="0.35">
      <c r="A601" s="1">
        <v>1599</v>
      </c>
      <c r="B601" s="2">
        <v>45019</v>
      </c>
      <c r="C601" s="1" t="s">
        <v>35</v>
      </c>
      <c r="D601" s="1" t="s">
        <v>38</v>
      </c>
      <c r="E601" s="1" t="s">
        <v>28</v>
      </c>
      <c r="F601" s="1">
        <v>4965.5600000000004</v>
      </c>
      <c r="G601" s="1" t="s">
        <v>121</v>
      </c>
      <c r="H601" s="2">
        <v>24580</v>
      </c>
      <c r="I601" s="2">
        <v>45026</v>
      </c>
      <c r="J601" s="1">
        <v>27.76</v>
      </c>
      <c r="K601" s="1">
        <f t="shared" si="20"/>
        <v>1378.4394560000003</v>
      </c>
      <c r="L601" s="1">
        <f t="shared" si="21"/>
        <v>3587.1205440000003</v>
      </c>
    </row>
    <row r="602" spans="1:12" x14ac:dyDescent="0.35">
      <c r="A602" s="1">
        <v>1600</v>
      </c>
      <c r="B602" s="2">
        <v>45120</v>
      </c>
      <c r="C602" s="1" t="s">
        <v>35</v>
      </c>
      <c r="D602" s="1" t="s">
        <v>61</v>
      </c>
      <c r="E602" s="1" t="s">
        <v>19</v>
      </c>
      <c r="F602" s="1">
        <v>4869.33</v>
      </c>
      <c r="G602" s="1" t="s">
        <v>230</v>
      </c>
      <c r="H602" s="2">
        <v>35642</v>
      </c>
      <c r="I602" s="2">
        <v>45125</v>
      </c>
      <c r="J602" s="1">
        <v>43.72</v>
      </c>
      <c r="K602" s="1">
        <f t="shared" si="20"/>
        <v>2128.8710759999999</v>
      </c>
      <c r="L602" s="1">
        <f t="shared" si="21"/>
        <v>2740.458924</v>
      </c>
    </row>
    <row r="603" spans="1:12" x14ac:dyDescent="0.35">
      <c r="A603" s="1">
        <v>1601</v>
      </c>
      <c r="B603" s="2">
        <v>45387</v>
      </c>
      <c r="C603" s="1" t="s">
        <v>26</v>
      </c>
      <c r="D603" s="1" t="s">
        <v>33</v>
      </c>
      <c r="E603" s="1" t="s">
        <v>16</v>
      </c>
      <c r="F603" s="1">
        <v>4672.42</v>
      </c>
      <c r="G603" s="1" t="s">
        <v>255</v>
      </c>
      <c r="H603" s="2">
        <v>22646</v>
      </c>
      <c r="I603" s="2">
        <v>45391</v>
      </c>
      <c r="J603" s="1">
        <v>31.77</v>
      </c>
      <c r="K603" s="1">
        <f t="shared" si="20"/>
        <v>1484.4278339999998</v>
      </c>
      <c r="L603" s="1">
        <f t="shared" si="21"/>
        <v>3187.992166</v>
      </c>
    </row>
    <row r="604" spans="1:12" x14ac:dyDescent="0.35">
      <c r="A604" s="1">
        <v>1602</v>
      </c>
      <c r="B604" s="2">
        <v>45090</v>
      </c>
      <c r="C604" s="1" t="s">
        <v>21</v>
      </c>
      <c r="D604" s="1" t="s">
        <v>22</v>
      </c>
      <c r="E604" s="1" t="s">
        <v>19</v>
      </c>
      <c r="F604" s="1">
        <v>3353.57</v>
      </c>
      <c r="G604" s="1" t="s">
        <v>118</v>
      </c>
      <c r="H604" s="2">
        <v>22599</v>
      </c>
      <c r="I604" s="2">
        <v>45095</v>
      </c>
      <c r="J604" s="1">
        <v>37.700000000000003</v>
      </c>
      <c r="K604" s="1">
        <f t="shared" si="20"/>
        <v>1264.2958900000001</v>
      </c>
      <c r="L604" s="1">
        <f t="shared" si="21"/>
        <v>2089.2741100000003</v>
      </c>
    </row>
    <row r="605" spans="1:12" x14ac:dyDescent="0.35">
      <c r="A605" s="1">
        <v>1603</v>
      </c>
      <c r="B605" s="2">
        <v>44250</v>
      </c>
      <c r="C605" s="1" t="s">
        <v>26</v>
      </c>
      <c r="D605" s="1" t="s">
        <v>27</v>
      </c>
      <c r="E605" s="1" t="s">
        <v>28</v>
      </c>
      <c r="F605" s="1">
        <v>3665.39</v>
      </c>
      <c r="G605" s="1" t="s">
        <v>103</v>
      </c>
      <c r="H605" s="2">
        <v>30923</v>
      </c>
      <c r="I605" s="2">
        <v>44254</v>
      </c>
      <c r="J605" s="1">
        <v>16.36</v>
      </c>
      <c r="K605" s="1">
        <f t="shared" si="20"/>
        <v>599.65780399999994</v>
      </c>
      <c r="L605" s="1">
        <f t="shared" si="21"/>
        <v>3065.7321959999999</v>
      </c>
    </row>
    <row r="606" spans="1:12" x14ac:dyDescent="0.35">
      <c r="A606" s="1">
        <v>1604</v>
      </c>
      <c r="B606" s="2">
        <v>44827</v>
      </c>
      <c r="C606" s="1" t="s">
        <v>35</v>
      </c>
      <c r="D606" s="1" t="s">
        <v>18</v>
      </c>
      <c r="E606" s="1" t="s">
        <v>19</v>
      </c>
      <c r="F606" s="1">
        <v>3004.02</v>
      </c>
      <c r="G606" s="1" t="s">
        <v>290</v>
      </c>
      <c r="H606" s="2">
        <v>31764</v>
      </c>
      <c r="I606" s="2">
        <v>44835</v>
      </c>
      <c r="J606" s="1">
        <v>44.09</v>
      </c>
      <c r="K606" s="1">
        <f t="shared" si="20"/>
        <v>1324.4724180000001</v>
      </c>
      <c r="L606" s="1">
        <f t="shared" si="21"/>
        <v>1679.5475819999999</v>
      </c>
    </row>
    <row r="607" spans="1:12" x14ac:dyDescent="0.35">
      <c r="A607" s="1">
        <v>1605</v>
      </c>
      <c r="B607" s="2">
        <v>45700</v>
      </c>
      <c r="C607" s="1" t="s">
        <v>10</v>
      </c>
      <c r="D607" s="1" t="s">
        <v>69</v>
      </c>
      <c r="E607" s="1" t="s">
        <v>31</v>
      </c>
      <c r="F607" s="1">
        <v>1214.72</v>
      </c>
      <c r="G607" s="1" t="s">
        <v>233</v>
      </c>
      <c r="H607" s="2">
        <v>38826</v>
      </c>
      <c r="I607" s="2">
        <v>45710</v>
      </c>
      <c r="J607" s="1">
        <v>5.04</v>
      </c>
      <c r="K607" s="1">
        <f t="shared" si="20"/>
        <v>61.221888</v>
      </c>
      <c r="L607" s="1">
        <f t="shared" si="21"/>
        <v>1153.498112</v>
      </c>
    </row>
    <row r="608" spans="1:12" x14ac:dyDescent="0.35">
      <c r="A608" s="1">
        <v>1606</v>
      </c>
      <c r="B608" s="2">
        <v>45887</v>
      </c>
      <c r="C608" s="1" t="s">
        <v>35</v>
      </c>
      <c r="D608" s="1" t="s">
        <v>73</v>
      </c>
      <c r="E608" s="1" t="s">
        <v>28</v>
      </c>
      <c r="F608" s="1">
        <v>2043.99</v>
      </c>
      <c r="G608" s="1" t="s">
        <v>146</v>
      </c>
      <c r="H608" s="2">
        <v>24961</v>
      </c>
      <c r="I608" s="2">
        <v>45891</v>
      </c>
      <c r="J608" s="1">
        <v>4.74</v>
      </c>
      <c r="K608" s="1">
        <f t="shared" si="20"/>
        <v>96.885126000000014</v>
      </c>
      <c r="L608" s="1">
        <f t="shared" si="21"/>
        <v>1947.1048740000001</v>
      </c>
    </row>
    <row r="609" spans="1:12" x14ac:dyDescent="0.35">
      <c r="A609" s="1">
        <v>1607</v>
      </c>
      <c r="B609" s="2">
        <v>45642</v>
      </c>
      <c r="C609" s="1" t="s">
        <v>10</v>
      </c>
      <c r="D609" s="1" t="s">
        <v>44</v>
      </c>
      <c r="E609" s="1" t="s">
        <v>16</v>
      </c>
      <c r="F609" s="1">
        <v>3540.67</v>
      </c>
      <c r="G609" s="1" t="s">
        <v>29</v>
      </c>
      <c r="H609" s="2">
        <v>24033</v>
      </c>
      <c r="I609" s="2">
        <v>45652</v>
      </c>
      <c r="J609" s="1">
        <v>24.78</v>
      </c>
      <c r="K609" s="1">
        <f t="shared" si="20"/>
        <v>877.37802600000009</v>
      </c>
      <c r="L609" s="1">
        <f t="shared" si="21"/>
        <v>2663.2919739999998</v>
      </c>
    </row>
    <row r="610" spans="1:12" x14ac:dyDescent="0.35">
      <c r="A610" s="1">
        <v>1608</v>
      </c>
      <c r="B610" s="2">
        <v>45403</v>
      </c>
      <c r="C610" s="1" t="s">
        <v>21</v>
      </c>
      <c r="D610" s="1" t="s">
        <v>30</v>
      </c>
      <c r="E610" s="1" t="s">
        <v>31</v>
      </c>
      <c r="F610" s="1">
        <v>2213.81</v>
      </c>
      <c r="G610" s="1" t="s">
        <v>166</v>
      </c>
      <c r="H610" s="2">
        <v>27879</v>
      </c>
      <c r="I610" s="2">
        <v>45414</v>
      </c>
      <c r="J610" s="1">
        <v>27.09</v>
      </c>
      <c r="K610" s="1">
        <f t="shared" si="20"/>
        <v>599.72112899999991</v>
      </c>
      <c r="L610" s="1">
        <f t="shared" si="21"/>
        <v>1614.0888709999999</v>
      </c>
    </row>
    <row r="611" spans="1:12" x14ac:dyDescent="0.35">
      <c r="A611" s="1">
        <v>1609</v>
      </c>
      <c r="B611" s="2">
        <v>45381</v>
      </c>
      <c r="C611" s="1" t="s">
        <v>14</v>
      </c>
      <c r="D611" s="1" t="s">
        <v>53</v>
      </c>
      <c r="E611" s="1" t="s">
        <v>28</v>
      </c>
      <c r="F611" s="1">
        <v>4495.8500000000004</v>
      </c>
      <c r="G611" s="1" t="s">
        <v>300</v>
      </c>
      <c r="H611" s="2">
        <v>24322</v>
      </c>
      <c r="I611" s="2">
        <v>45384</v>
      </c>
      <c r="J611" s="1">
        <v>20.09</v>
      </c>
      <c r="K611" s="1">
        <f t="shared" si="20"/>
        <v>903.21626500000002</v>
      </c>
      <c r="L611" s="1">
        <f t="shared" si="21"/>
        <v>3592.6337350000003</v>
      </c>
    </row>
    <row r="612" spans="1:12" x14ac:dyDescent="0.35">
      <c r="A612" s="1">
        <v>1610</v>
      </c>
      <c r="B612" s="2">
        <v>45786</v>
      </c>
      <c r="C612" s="1" t="s">
        <v>14</v>
      </c>
      <c r="D612" s="1" t="s">
        <v>73</v>
      </c>
      <c r="E612" s="1" t="s">
        <v>28</v>
      </c>
      <c r="F612" s="1">
        <v>1801.24</v>
      </c>
      <c r="G612" s="1" t="s">
        <v>190</v>
      </c>
      <c r="H612" s="2">
        <v>33354</v>
      </c>
      <c r="I612" s="2">
        <v>45796</v>
      </c>
      <c r="J612" s="1">
        <v>41.81</v>
      </c>
      <c r="K612" s="1">
        <f t="shared" si="20"/>
        <v>753.09844400000009</v>
      </c>
      <c r="L612" s="1">
        <f t="shared" si="21"/>
        <v>1048.141556</v>
      </c>
    </row>
    <row r="613" spans="1:12" x14ac:dyDescent="0.35">
      <c r="A613" s="1">
        <v>1611</v>
      </c>
      <c r="B613" s="2">
        <v>44397</v>
      </c>
      <c r="C613" s="1" t="s">
        <v>21</v>
      </c>
      <c r="D613" s="1" t="s">
        <v>11</v>
      </c>
      <c r="E613" s="1" t="s">
        <v>12</v>
      </c>
      <c r="F613" s="1">
        <v>2961.27</v>
      </c>
      <c r="G613" s="1" t="s">
        <v>279</v>
      </c>
      <c r="H613" s="2">
        <v>38934</v>
      </c>
      <c r="I613" s="2">
        <v>44399</v>
      </c>
      <c r="J613" s="1">
        <v>0.68</v>
      </c>
      <c r="K613" s="1">
        <f t="shared" si="20"/>
        <v>20.136636000000003</v>
      </c>
      <c r="L613" s="1">
        <f t="shared" si="21"/>
        <v>2941.1333639999998</v>
      </c>
    </row>
    <row r="614" spans="1:12" x14ac:dyDescent="0.35">
      <c r="A614" s="1">
        <v>1612</v>
      </c>
      <c r="B614" s="2">
        <v>45577</v>
      </c>
      <c r="C614" s="1" t="s">
        <v>10</v>
      </c>
      <c r="D614" s="1" t="s">
        <v>44</v>
      </c>
      <c r="E614" s="1" t="s">
        <v>16</v>
      </c>
      <c r="F614" s="1">
        <v>4247.75</v>
      </c>
      <c r="G614" s="1" t="s">
        <v>218</v>
      </c>
      <c r="H614" s="2">
        <v>29792</v>
      </c>
      <c r="I614" s="2">
        <v>45584</v>
      </c>
      <c r="J614" s="1">
        <v>5.75</v>
      </c>
      <c r="K614" s="1">
        <f t="shared" si="20"/>
        <v>244.24562500000002</v>
      </c>
      <c r="L614" s="1">
        <f t="shared" si="21"/>
        <v>4003.504375</v>
      </c>
    </row>
    <row r="615" spans="1:12" x14ac:dyDescent="0.35">
      <c r="A615" s="1">
        <v>1613</v>
      </c>
      <c r="B615" s="2">
        <v>44391</v>
      </c>
      <c r="C615" s="1" t="s">
        <v>10</v>
      </c>
      <c r="D615" s="1" t="s">
        <v>33</v>
      </c>
      <c r="E615" s="1" t="s">
        <v>16</v>
      </c>
      <c r="F615" s="1">
        <v>1981.39</v>
      </c>
      <c r="G615" s="1" t="s">
        <v>45</v>
      </c>
      <c r="H615" s="2">
        <v>34367</v>
      </c>
      <c r="I615" s="2">
        <v>44402</v>
      </c>
      <c r="J615" s="1">
        <v>38.67</v>
      </c>
      <c r="K615" s="1">
        <f t="shared" si="20"/>
        <v>766.20351300000016</v>
      </c>
      <c r="L615" s="1">
        <f t="shared" si="21"/>
        <v>1215.1864869999999</v>
      </c>
    </row>
    <row r="616" spans="1:12" x14ac:dyDescent="0.35">
      <c r="A616" s="1">
        <v>1614</v>
      </c>
      <c r="B616" s="2">
        <v>45413</v>
      </c>
      <c r="C616" s="1" t="s">
        <v>26</v>
      </c>
      <c r="D616" s="1" t="s">
        <v>71</v>
      </c>
      <c r="E616" s="1" t="s">
        <v>31</v>
      </c>
      <c r="F616" s="1">
        <v>747.04</v>
      </c>
      <c r="G616" s="1" t="s">
        <v>274</v>
      </c>
      <c r="H616" s="2">
        <v>34557</v>
      </c>
      <c r="I616" s="2">
        <v>45415</v>
      </c>
      <c r="J616" s="1">
        <v>8.34</v>
      </c>
      <c r="K616" s="1">
        <f t="shared" si="20"/>
        <v>62.303135999999995</v>
      </c>
      <c r="L616" s="1">
        <f t="shared" si="21"/>
        <v>684.73686399999997</v>
      </c>
    </row>
    <row r="617" spans="1:12" x14ac:dyDescent="0.35">
      <c r="A617" s="1">
        <v>1615</v>
      </c>
      <c r="B617" s="2">
        <v>44232</v>
      </c>
      <c r="C617" s="1" t="s">
        <v>21</v>
      </c>
      <c r="D617" s="1" t="s">
        <v>22</v>
      </c>
      <c r="E617" s="1" t="s">
        <v>19</v>
      </c>
      <c r="F617" s="1">
        <v>4743.6499999999996</v>
      </c>
      <c r="G617" s="1" t="s">
        <v>62</v>
      </c>
      <c r="H617" s="2">
        <v>22870</v>
      </c>
      <c r="I617" s="2">
        <v>44246</v>
      </c>
      <c r="J617" s="1">
        <v>6.24</v>
      </c>
      <c r="K617" s="1">
        <f t="shared" si="20"/>
        <v>296.00376</v>
      </c>
      <c r="L617" s="1">
        <f t="shared" si="21"/>
        <v>4447.64624</v>
      </c>
    </row>
    <row r="618" spans="1:12" x14ac:dyDescent="0.35">
      <c r="A618" s="1">
        <v>1616</v>
      </c>
      <c r="B618" s="2">
        <v>44472</v>
      </c>
      <c r="C618" s="1" t="s">
        <v>35</v>
      </c>
      <c r="D618" s="1" t="s">
        <v>61</v>
      </c>
      <c r="E618" s="1" t="s">
        <v>19</v>
      </c>
      <c r="F618" s="1">
        <v>4597.1000000000004</v>
      </c>
      <c r="G618" s="1" t="s">
        <v>301</v>
      </c>
      <c r="H618" s="2">
        <v>31775</v>
      </c>
      <c r="I618" s="2">
        <v>44482</v>
      </c>
      <c r="J618" s="1">
        <v>13.79</v>
      </c>
      <c r="K618" s="1">
        <f t="shared" si="20"/>
        <v>633.94009000000005</v>
      </c>
      <c r="L618" s="1">
        <f t="shared" si="21"/>
        <v>3963.1599100000003</v>
      </c>
    </row>
    <row r="619" spans="1:12" x14ac:dyDescent="0.35">
      <c r="A619" s="1">
        <v>1617</v>
      </c>
      <c r="B619" s="2">
        <v>44533</v>
      </c>
      <c r="C619" s="1" t="s">
        <v>21</v>
      </c>
      <c r="D619" s="1" t="s">
        <v>71</v>
      </c>
      <c r="E619" s="1" t="s">
        <v>31</v>
      </c>
      <c r="F619" s="1">
        <v>3648.56</v>
      </c>
      <c r="G619" s="1" t="s">
        <v>236</v>
      </c>
      <c r="H619" s="2">
        <v>36099</v>
      </c>
      <c r="I619" s="2">
        <v>44539</v>
      </c>
      <c r="J619" s="1">
        <v>26.36</v>
      </c>
      <c r="K619" s="1">
        <f t="shared" si="20"/>
        <v>961.76041599999996</v>
      </c>
      <c r="L619" s="1">
        <f t="shared" si="21"/>
        <v>2686.7995839999999</v>
      </c>
    </row>
    <row r="620" spans="1:12" x14ac:dyDescent="0.35">
      <c r="A620" s="1">
        <v>1618</v>
      </c>
      <c r="B620" s="2">
        <v>44117</v>
      </c>
      <c r="C620" s="1" t="s">
        <v>26</v>
      </c>
      <c r="D620" s="1" t="s">
        <v>49</v>
      </c>
      <c r="E620" s="1" t="s">
        <v>12</v>
      </c>
      <c r="F620" s="1">
        <v>2586.81</v>
      </c>
      <c r="G620" s="1" t="s">
        <v>270</v>
      </c>
      <c r="H620" s="2">
        <v>23245</v>
      </c>
      <c r="I620" s="2">
        <v>44122</v>
      </c>
      <c r="J620" s="1">
        <v>38.119999999999997</v>
      </c>
      <c r="K620" s="1">
        <f t="shared" si="20"/>
        <v>986.09197199999994</v>
      </c>
      <c r="L620" s="1">
        <f t="shared" si="21"/>
        <v>1600.718028</v>
      </c>
    </row>
    <row r="621" spans="1:12" x14ac:dyDescent="0.35">
      <c r="A621" s="1">
        <v>1619</v>
      </c>
      <c r="B621" s="2">
        <v>44190</v>
      </c>
      <c r="C621" s="1" t="s">
        <v>26</v>
      </c>
      <c r="D621" s="1" t="s">
        <v>61</v>
      </c>
      <c r="E621" s="1" t="s">
        <v>19</v>
      </c>
      <c r="F621" s="1">
        <v>3181.4</v>
      </c>
      <c r="G621" s="1" t="s">
        <v>257</v>
      </c>
      <c r="H621" s="2">
        <v>31685</v>
      </c>
      <c r="I621" s="2">
        <v>44198</v>
      </c>
      <c r="J621" s="1">
        <v>46.85</v>
      </c>
      <c r="K621" s="1">
        <f t="shared" si="20"/>
        <v>1490.4859000000001</v>
      </c>
      <c r="L621" s="1">
        <f t="shared" si="21"/>
        <v>1690.9141</v>
      </c>
    </row>
    <row r="622" spans="1:12" x14ac:dyDescent="0.35">
      <c r="A622" s="1">
        <v>1620</v>
      </c>
      <c r="B622" s="2">
        <v>44638</v>
      </c>
      <c r="C622" s="1" t="s">
        <v>35</v>
      </c>
      <c r="D622" s="1" t="s">
        <v>44</v>
      </c>
      <c r="E622" s="1" t="s">
        <v>16</v>
      </c>
      <c r="F622" s="1">
        <v>4939.3</v>
      </c>
      <c r="G622" s="1" t="s">
        <v>25</v>
      </c>
      <c r="H622" s="2">
        <v>33386</v>
      </c>
      <c r="I622" s="2">
        <v>44650</v>
      </c>
      <c r="J622" s="1">
        <v>46.46</v>
      </c>
      <c r="K622" s="1">
        <f t="shared" si="20"/>
        <v>2294.7987800000001</v>
      </c>
      <c r="L622" s="1">
        <f t="shared" si="21"/>
        <v>2644.5012200000001</v>
      </c>
    </row>
    <row r="623" spans="1:12" x14ac:dyDescent="0.35">
      <c r="A623" s="1">
        <v>1621</v>
      </c>
      <c r="B623" s="2">
        <v>45283</v>
      </c>
      <c r="C623" s="1" t="s">
        <v>21</v>
      </c>
      <c r="D623" s="1" t="s">
        <v>22</v>
      </c>
      <c r="E623" s="1" t="s">
        <v>19</v>
      </c>
      <c r="F623" s="1">
        <v>3704.72</v>
      </c>
      <c r="G623" s="1" t="s">
        <v>25</v>
      </c>
      <c r="H623" s="2">
        <v>33386</v>
      </c>
      <c r="I623" s="2">
        <v>45285</v>
      </c>
      <c r="J623" s="1">
        <v>15.38</v>
      </c>
      <c r="K623" s="1">
        <f t="shared" si="20"/>
        <v>569.78593599999999</v>
      </c>
      <c r="L623" s="1">
        <f t="shared" si="21"/>
        <v>3134.934064</v>
      </c>
    </row>
    <row r="624" spans="1:12" x14ac:dyDescent="0.35">
      <c r="A624" s="1">
        <v>1622</v>
      </c>
      <c r="B624" s="2">
        <v>45784</v>
      </c>
      <c r="C624" s="1" t="s">
        <v>21</v>
      </c>
      <c r="D624" s="1" t="s">
        <v>69</v>
      </c>
      <c r="E624" s="1" t="s">
        <v>31</v>
      </c>
      <c r="F624" s="1">
        <v>2113.2199999999998</v>
      </c>
      <c r="G624" s="1" t="s">
        <v>134</v>
      </c>
      <c r="H624" s="2">
        <v>30299</v>
      </c>
      <c r="I624" s="2">
        <v>45789</v>
      </c>
      <c r="J624" s="1">
        <v>47.05</v>
      </c>
      <c r="K624" s="1">
        <f t="shared" si="20"/>
        <v>994.27000999999984</v>
      </c>
      <c r="L624" s="1">
        <f t="shared" si="21"/>
        <v>1118.9499900000001</v>
      </c>
    </row>
    <row r="625" spans="1:12" x14ac:dyDescent="0.35">
      <c r="A625" s="1">
        <v>1623</v>
      </c>
      <c r="B625" s="2">
        <v>44110</v>
      </c>
      <c r="C625" s="1" t="s">
        <v>26</v>
      </c>
      <c r="D625" s="1" t="s">
        <v>33</v>
      </c>
      <c r="E625" s="1" t="s">
        <v>16</v>
      </c>
      <c r="F625" s="1">
        <v>3514.62</v>
      </c>
      <c r="G625" s="1" t="s">
        <v>233</v>
      </c>
      <c r="H625" s="2">
        <v>38826</v>
      </c>
      <c r="I625" s="2">
        <v>44121</v>
      </c>
      <c r="J625" s="1">
        <v>30.34</v>
      </c>
      <c r="K625" s="1">
        <f t="shared" si="20"/>
        <v>1066.3357080000001</v>
      </c>
      <c r="L625" s="1">
        <f t="shared" si="21"/>
        <v>2448.2842919999998</v>
      </c>
    </row>
    <row r="626" spans="1:12" x14ac:dyDescent="0.35">
      <c r="A626" s="1">
        <v>1624</v>
      </c>
      <c r="B626" s="2">
        <v>44248</v>
      </c>
      <c r="C626" s="1" t="s">
        <v>26</v>
      </c>
      <c r="D626" s="1" t="s">
        <v>69</v>
      </c>
      <c r="E626" s="1" t="s">
        <v>31</v>
      </c>
      <c r="F626" s="1">
        <v>628.28</v>
      </c>
      <c r="G626" s="1" t="s">
        <v>67</v>
      </c>
      <c r="H626" s="2">
        <v>34016</v>
      </c>
      <c r="I626" s="2">
        <v>44251</v>
      </c>
      <c r="J626" s="1">
        <v>48.63</v>
      </c>
      <c r="K626" s="1">
        <f t="shared" si="20"/>
        <v>305.53256399999998</v>
      </c>
      <c r="L626" s="1">
        <f t="shared" si="21"/>
        <v>322.74743599999999</v>
      </c>
    </row>
    <row r="627" spans="1:12" x14ac:dyDescent="0.35">
      <c r="A627" s="1">
        <v>1625</v>
      </c>
      <c r="B627" s="2">
        <v>45113</v>
      </c>
      <c r="C627" s="1" t="s">
        <v>14</v>
      </c>
      <c r="D627" s="1" t="s">
        <v>61</v>
      </c>
      <c r="E627" s="1" t="s">
        <v>19</v>
      </c>
      <c r="F627" s="1">
        <v>4914.7</v>
      </c>
      <c r="G627" s="1" t="s">
        <v>141</v>
      </c>
      <c r="H627" s="2">
        <v>35559</v>
      </c>
      <c r="I627" s="2">
        <v>45127</v>
      </c>
      <c r="J627" s="1">
        <v>31.73</v>
      </c>
      <c r="K627" s="1">
        <f t="shared" si="20"/>
        <v>1559.4343100000001</v>
      </c>
      <c r="L627" s="1">
        <f t="shared" si="21"/>
        <v>3355.2656899999997</v>
      </c>
    </row>
    <row r="628" spans="1:12" x14ac:dyDescent="0.35">
      <c r="A628" s="1">
        <v>1626</v>
      </c>
      <c r="B628" s="2">
        <v>44331</v>
      </c>
      <c r="C628" s="1" t="s">
        <v>35</v>
      </c>
      <c r="D628" s="1" t="s">
        <v>24</v>
      </c>
      <c r="E628" s="1" t="s">
        <v>19</v>
      </c>
      <c r="F628" s="1">
        <v>3711.17</v>
      </c>
      <c r="G628" s="1" t="s">
        <v>124</v>
      </c>
      <c r="H628" s="2">
        <v>30786</v>
      </c>
      <c r="I628" s="2">
        <v>44333</v>
      </c>
      <c r="J628" s="1">
        <v>2.41</v>
      </c>
      <c r="K628" s="1">
        <f t="shared" si="20"/>
        <v>89.439197000000007</v>
      </c>
      <c r="L628" s="1">
        <f t="shared" si="21"/>
        <v>3621.7308029999999</v>
      </c>
    </row>
    <row r="629" spans="1:12" x14ac:dyDescent="0.35">
      <c r="A629" s="1">
        <v>1627</v>
      </c>
      <c r="B629" s="2">
        <v>44274</v>
      </c>
      <c r="C629" s="1" t="s">
        <v>10</v>
      </c>
      <c r="D629" s="1" t="s">
        <v>69</v>
      </c>
      <c r="E629" s="1" t="s">
        <v>31</v>
      </c>
      <c r="F629" s="1">
        <v>639.01</v>
      </c>
      <c r="G629" s="1" t="s">
        <v>164</v>
      </c>
      <c r="H629" s="2">
        <v>28046</v>
      </c>
      <c r="I629" s="2">
        <v>44277</v>
      </c>
      <c r="J629" s="1">
        <v>25.46</v>
      </c>
      <c r="K629" s="1">
        <f t="shared" si="20"/>
        <v>162.691946</v>
      </c>
      <c r="L629" s="1">
        <f t="shared" si="21"/>
        <v>476.31805399999996</v>
      </c>
    </row>
    <row r="630" spans="1:12" x14ac:dyDescent="0.35">
      <c r="A630" s="1">
        <v>1628</v>
      </c>
      <c r="B630" s="2">
        <v>45783</v>
      </c>
      <c r="C630" s="1" t="s">
        <v>35</v>
      </c>
      <c r="D630" s="1" t="s">
        <v>49</v>
      </c>
      <c r="E630" s="1" t="s">
        <v>12</v>
      </c>
      <c r="F630" s="1">
        <v>1286.6300000000001</v>
      </c>
      <c r="G630" s="1" t="s">
        <v>302</v>
      </c>
      <c r="H630" s="2">
        <v>32940</v>
      </c>
      <c r="I630" s="2">
        <v>45790</v>
      </c>
      <c r="J630" s="1">
        <v>25.57</v>
      </c>
      <c r="K630" s="1">
        <f t="shared" si="20"/>
        <v>328.99129099999999</v>
      </c>
      <c r="L630" s="1">
        <f t="shared" si="21"/>
        <v>957.63870900000006</v>
      </c>
    </row>
    <row r="631" spans="1:12" x14ac:dyDescent="0.35">
      <c r="A631" s="1">
        <v>1629</v>
      </c>
      <c r="B631" s="2">
        <v>45475</v>
      </c>
      <c r="C631" s="1" t="s">
        <v>26</v>
      </c>
      <c r="D631" s="1" t="s">
        <v>49</v>
      </c>
      <c r="E631" s="1" t="s">
        <v>12</v>
      </c>
      <c r="F631" s="1">
        <v>363.78</v>
      </c>
      <c r="G631" s="1" t="s">
        <v>124</v>
      </c>
      <c r="H631" s="2">
        <v>30786</v>
      </c>
      <c r="I631" s="2">
        <v>45482</v>
      </c>
      <c r="J631" s="1">
        <v>34.58</v>
      </c>
      <c r="K631" s="1">
        <f t="shared" si="20"/>
        <v>125.79512399999999</v>
      </c>
      <c r="L631" s="1">
        <f t="shared" si="21"/>
        <v>237.98487599999999</v>
      </c>
    </row>
    <row r="632" spans="1:12" x14ac:dyDescent="0.35">
      <c r="A632" s="1">
        <v>1630</v>
      </c>
      <c r="B632" s="2">
        <v>45715</v>
      </c>
      <c r="C632" s="1" t="s">
        <v>21</v>
      </c>
      <c r="D632" s="1" t="s">
        <v>24</v>
      </c>
      <c r="E632" s="1" t="s">
        <v>19</v>
      </c>
      <c r="F632" s="1">
        <v>348.83</v>
      </c>
      <c r="G632" s="1" t="s">
        <v>269</v>
      </c>
      <c r="H632" s="2">
        <v>30976</v>
      </c>
      <c r="I632" s="2">
        <v>45718</v>
      </c>
      <c r="J632" s="1">
        <v>15.94</v>
      </c>
      <c r="K632" s="1">
        <f t="shared" si="20"/>
        <v>55.603501999999992</v>
      </c>
      <c r="L632" s="1">
        <f t="shared" si="21"/>
        <v>293.22649799999999</v>
      </c>
    </row>
    <row r="633" spans="1:12" x14ac:dyDescent="0.35">
      <c r="A633" s="1">
        <v>1631</v>
      </c>
      <c r="B633" s="2">
        <v>45537</v>
      </c>
      <c r="C633" s="1" t="s">
        <v>26</v>
      </c>
      <c r="D633" s="1" t="s">
        <v>27</v>
      </c>
      <c r="E633" s="1" t="s">
        <v>28</v>
      </c>
      <c r="F633" s="1">
        <v>3800.43</v>
      </c>
      <c r="G633" s="1" t="s">
        <v>143</v>
      </c>
      <c r="H633" s="2">
        <v>37490</v>
      </c>
      <c r="I633" s="2">
        <v>45538</v>
      </c>
      <c r="J633" s="1">
        <v>7.33</v>
      </c>
      <c r="K633" s="1">
        <f t="shared" si="20"/>
        <v>278.57151900000002</v>
      </c>
      <c r="L633" s="1">
        <f t="shared" si="21"/>
        <v>3521.8584809999998</v>
      </c>
    </row>
    <row r="634" spans="1:12" x14ac:dyDescent="0.35">
      <c r="A634" s="1">
        <v>1632</v>
      </c>
      <c r="B634" s="2">
        <v>44856</v>
      </c>
      <c r="C634" s="1" t="s">
        <v>14</v>
      </c>
      <c r="D634" s="1" t="s">
        <v>73</v>
      </c>
      <c r="E634" s="1" t="s">
        <v>28</v>
      </c>
      <c r="F634" s="1">
        <v>3721.15</v>
      </c>
      <c r="G634" s="1" t="s">
        <v>121</v>
      </c>
      <c r="H634" s="2">
        <v>24580</v>
      </c>
      <c r="I634" s="2">
        <v>44862</v>
      </c>
      <c r="J634" s="1">
        <v>36.840000000000003</v>
      </c>
      <c r="K634" s="1">
        <f t="shared" si="20"/>
        <v>1370.8716600000002</v>
      </c>
      <c r="L634" s="1">
        <f t="shared" si="21"/>
        <v>2350.2783399999998</v>
      </c>
    </row>
    <row r="635" spans="1:12" x14ac:dyDescent="0.35">
      <c r="A635" s="1">
        <v>1633</v>
      </c>
      <c r="B635" s="2">
        <v>45644</v>
      </c>
      <c r="C635" s="1" t="s">
        <v>35</v>
      </c>
      <c r="D635" s="1" t="s">
        <v>73</v>
      </c>
      <c r="E635" s="1" t="s">
        <v>28</v>
      </c>
      <c r="F635" s="1">
        <v>4920.09</v>
      </c>
      <c r="G635" s="1" t="s">
        <v>230</v>
      </c>
      <c r="H635" s="2">
        <v>35642</v>
      </c>
      <c r="I635" s="2">
        <v>45645</v>
      </c>
      <c r="J635" s="1">
        <v>33.64</v>
      </c>
      <c r="K635" s="1">
        <f t="shared" si="20"/>
        <v>1655.1182760000002</v>
      </c>
      <c r="L635" s="1">
        <f t="shared" si="21"/>
        <v>3264.971724</v>
      </c>
    </row>
    <row r="636" spans="1:12" x14ac:dyDescent="0.35">
      <c r="A636" s="1">
        <v>1634</v>
      </c>
      <c r="B636" s="2">
        <v>44307</v>
      </c>
      <c r="C636" s="1" t="s">
        <v>21</v>
      </c>
      <c r="D636" s="1" t="s">
        <v>36</v>
      </c>
      <c r="E636" s="1" t="s">
        <v>28</v>
      </c>
      <c r="F636" s="1">
        <v>2036.85</v>
      </c>
      <c r="G636" s="1" t="s">
        <v>264</v>
      </c>
      <c r="H636" s="2">
        <v>30232</v>
      </c>
      <c r="I636" s="2">
        <v>44315</v>
      </c>
      <c r="J636" s="1">
        <v>45.65</v>
      </c>
      <c r="K636" s="1">
        <f t="shared" si="20"/>
        <v>929.82202499999983</v>
      </c>
      <c r="L636" s="1">
        <f t="shared" si="21"/>
        <v>1107.027975</v>
      </c>
    </row>
    <row r="637" spans="1:12" x14ac:dyDescent="0.35">
      <c r="A637" s="1">
        <v>1635</v>
      </c>
      <c r="B637" s="2">
        <v>44704</v>
      </c>
      <c r="C637" s="1" t="s">
        <v>21</v>
      </c>
      <c r="D637" s="1" t="s">
        <v>73</v>
      </c>
      <c r="E637" s="1" t="s">
        <v>28</v>
      </c>
      <c r="F637" s="1">
        <v>792.31</v>
      </c>
      <c r="G637" s="1" t="s">
        <v>46</v>
      </c>
      <c r="H637" s="2">
        <v>24670</v>
      </c>
      <c r="I637" s="2">
        <v>44713</v>
      </c>
      <c r="J637" s="1">
        <v>10.91</v>
      </c>
      <c r="K637" s="1">
        <f t="shared" si="20"/>
        <v>86.441020999999992</v>
      </c>
      <c r="L637" s="1">
        <f t="shared" si="21"/>
        <v>705.86897899999997</v>
      </c>
    </row>
    <row r="638" spans="1:12" x14ac:dyDescent="0.35">
      <c r="A638" s="1">
        <v>1636</v>
      </c>
      <c r="B638" s="2">
        <v>45358</v>
      </c>
      <c r="C638" s="1" t="s">
        <v>14</v>
      </c>
      <c r="D638" s="1" t="s">
        <v>44</v>
      </c>
      <c r="E638" s="1" t="s">
        <v>16</v>
      </c>
      <c r="F638" s="1">
        <v>2263.83</v>
      </c>
      <c r="G638" s="1" t="s">
        <v>298</v>
      </c>
      <c r="H638" s="2">
        <v>30410</v>
      </c>
      <c r="I638" s="2">
        <v>45367</v>
      </c>
      <c r="J638" s="1">
        <v>22.05</v>
      </c>
      <c r="K638" s="1">
        <f t="shared" si="20"/>
        <v>499.17451499999999</v>
      </c>
      <c r="L638" s="1">
        <f t="shared" si="21"/>
        <v>1764.655485</v>
      </c>
    </row>
    <row r="639" spans="1:12" x14ac:dyDescent="0.35">
      <c r="A639" s="1">
        <v>1637</v>
      </c>
      <c r="B639" s="2">
        <v>45883</v>
      </c>
      <c r="C639" s="1" t="s">
        <v>21</v>
      </c>
      <c r="D639" s="1" t="s">
        <v>73</v>
      </c>
      <c r="E639" s="1" t="s">
        <v>28</v>
      </c>
      <c r="F639" s="1">
        <v>515.75</v>
      </c>
      <c r="G639" s="1" t="s">
        <v>293</v>
      </c>
      <c r="H639" s="2">
        <v>26379</v>
      </c>
      <c r="I639" s="2">
        <v>45892</v>
      </c>
      <c r="J639" s="1">
        <v>44.38</v>
      </c>
      <c r="K639" s="1">
        <f t="shared" si="20"/>
        <v>228.88985000000002</v>
      </c>
      <c r="L639" s="1">
        <f t="shared" si="21"/>
        <v>286.86014999999998</v>
      </c>
    </row>
    <row r="640" spans="1:12" x14ac:dyDescent="0.35">
      <c r="A640" s="1">
        <v>1638</v>
      </c>
      <c r="B640" s="2">
        <v>45552</v>
      </c>
      <c r="C640" s="1" t="s">
        <v>14</v>
      </c>
      <c r="D640" s="1" t="s">
        <v>15</v>
      </c>
      <c r="E640" s="1" t="s">
        <v>16</v>
      </c>
      <c r="F640" s="1">
        <v>2138.29</v>
      </c>
      <c r="G640" s="1" t="s">
        <v>119</v>
      </c>
      <c r="H640" s="2">
        <v>34954</v>
      </c>
      <c r="I640" s="2">
        <v>45558</v>
      </c>
      <c r="J640" s="1">
        <v>4.1399999999999997</v>
      </c>
      <c r="K640" s="1">
        <f t="shared" si="20"/>
        <v>88.525205999999997</v>
      </c>
      <c r="L640" s="1">
        <f t="shared" si="21"/>
        <v>2049.7647940000002</v>
      </c>
    </row>
    <row r="641" spans="1:12" x14ac:dyDescent="0.35">
      <c r="A641" s="1">
        <v>1639</v>
      </c>
      <c r="B641" s="2">
        <v>44586</v>
      </c>
      <c r="C641" s="1" t="s">
        <v>21</v>
      </c>
      <c r="D641" s="1" t="s">
        <v>24</v>
      </c>
      <c r="E641" s="1" t="s">
        <v>19</v>
      </c>
      <c r="F641" s="1">
        <v>2315.33</v>
      </c>
      <c r="G641" s="1" t="s">
        <v>180</v>
      </c>
      <c r="H641" s="2">
        <v>25163</v>
      </c>
      <c r="I641" s="2">
        <v>44597</v>
      </c>
      <c r="J641" s="1">
        <v>34.07</v>
      </c>
      <c r="K641" s="1">
        <f t="shared" si="20"/>
        <v>788.83293100000003</v>
      </c>
      <c r="L641" s="1">
        <f t="shared" si="21"/>
        <v>1526.497069</v>
      </c>
    </row>
    <row r="642" spans="1:12" x14ac:dyDescent="0.35">
      <c r="A642" s="1">
        <v>1640</v>
      </c>
      <c r="B642" s="2">
        <v>45661</v>
      </c>
      <c r="C642" s="1" t="s">
        <v>35</v>
      </c>
      <c r="D642" s="1" t="s">
        <v>15</v>
      </c>
      <c r="E642" s="1" t="s">
        <v>16</v>
      </c>
      <c r="F642" s="1">
        <v>3804.9</v>
      </c>
      <c r="G642" s="1" t="s">
        <v>298</v>
      </c>
      <c r="H642" s="2">
        <v>30410</v>
      </c>
      <c r="I642" s="2">
        <v>45663</v>
      </c>
      <c r="J642" s="1">
        <v>6.91</v>
      </c>
      <c r="K642" s="1">
        <f t="shared" si="20"/>
        <v>262.91858999999999</v>
      </c>
      <c r="L642" s="1">
        <f t="shared" si="21"/>
        <v>3541.9814100000003</v>
      </c>
    </row>
    <row r="643" spans="1:12" x14ac:dyDescent="0.35">
      <c r="A643" s="1">
        <v>1641</v>
      </c>
      <c r="B643" s="2">
        <v>45770</v>
      </c>
      <c r="C643" s="1" t="s">
        <v>26</v>
      </c>
      <c r="D643" s="1" t="s">
        <v>44</v>
      </c>
      <c r="E643" s="1" t="s">
        <v>16</v>
      </c>
      <c r="F643" s="1">
        <v>1233.6500000000001</v>
      </c>
      <c r="G643" s="1" t="s">
        <v>233</v>
      </c>
      <c r="H643" s="2">
        <v>38826</v>
      </c>
      <c r="I643" s="2">
        <v>45782</v>
      </c>
      <c r="J643" s="1">
        <v>7.16</v>
      </c>
      <c r="K643" s="1">
        <f t="shared" ref="K643:K706" si="22">F643*J643%</f>
        <v>88.329340000000002</v>
      </c>
      <c r="L643" s="1">
        <f t="shared" ref="L643:L706" si="23">F643-K643</f>
        <v>1145.3206600000001</v>
      </c>
    </row>
    <row r="644" spans="1:12" x14ac:dyDescent="0.35">
      <c r="A644" s="1">
        <v>1642</v>
      </c>
      <c r="B644" s="2">
        <v>45094</v>
      </c>
      <c r="C644" s="1" t="s">
        <v>35</v>
      </c>
      <c r="D644" s="1" t="s">
        <v>44</v>
      </c>
      <c r="E644" s="1" t="s">
        <v>16</v>
      </c>
      <c r="F644" s="1">
        <v>2282.48</v>
      </c>
      <c r="G644" s="1" t="s">
        <v>144</v>
      </c>
      <c r="H644" s="2">
        <v>34571</v>
      </c>
      <c r="I644" s="2">
        <v>45095</v>
      </c>
      <c r="J644" s="1">
        <v>1.72</v>
      </c>
      <c r="K644" s="1">
        <f t="shared" si="22"/>
        <v>39.258656000000002</v>
      </c>
      <c r="L644" s="1">
        <f t="shared" si="23"/>
        <v>2243.221344</v>
      </c>
    </row>
    <row r="645" spans="1:12" x14ac:dyDescent="0.35">
      <c r="A645" s="1">
        <v>1643</v>
      </c>
      <c r="B645" s="2">
        <v>44347</v>
      </c>
      <c r="C645" s="1" t="s">
        <v>26</v>
      </c>
      <c r="D645" s="1" t="s">
        <v>30</v>
      </c>
      <c r="E645" s="1" t="s">
        <v>31</v>
      </c>
      <c r="F645" s="1">
        <v>4221.93</v>
      </c>
      <c r="G645" s="1" t="s">
        <v>37</v>
      </c>
      <c r="H645" s="2">
        <v>27534</v>
      </c>
      <c r="I645" s="2">
        <v>44356</v>
      </c>
      <c r="J645" s="1">
        <v>31.97</v>
      </c>
      <c r="K645" s="1">
        <f t="shared" si="22"/>
        <v>1349.751021</v>
      </c>
      <c r="L645" s="1">
        <f t="shared" si="23"/>
        <v>2872.1789790000003</v>
      </c>
    </row>
    <row r="646" spans="1:12" x14ac:dyDescent="0.35">
      <c r="A646" s="1">
        <v>1644</v>
      </c>
      <c r="B646" s="2">
        <v>44353</v>
      </c>
      <c r="C646" s="1" t="s">
        <v>10</v>
      </c>
      <c r="D646" s="1" t="s">
        <v>65</v>
      </c>
      <c r="E646" s="1" t="s">
        <v>19</v>
      </c>
      <c r="F646" s="1">
        <v>2669.73</v>
      </c>
      <c r="G646" s="1" t="s">
        <v>301</v>
      </c>
      <c r="H646" s="2">
        <v>31775</v>
      </c>
      <c r="I646" s="2">
        <v>44358</v>
      </c>
      <c r="J646" s="1">
        <v>41.87</v>
      </c>
      <c r="K646" s="1">
        <f t="shared" si="22"/>
        <v>1117.8159509999998</v>
      </c>
      <c r="L646" s="1">
        <f t="shared" si="23"/>
        <v>1551.9140490000002</v>
      </c>
    </row>
    <row r="647" spans="1:12" x14ac:dyDescent="0.35">
      <c r="A647" s="1">
        <v>1645</v>
      </c>
      <c r="B647" s="2">
        <v>44100</v>
      </c>
      <c r="C647" s="1" t="s">
        <v>21</v>
      </c>
      <c r="D647" s="1" t="s">
        <v>38</v>
      </c>
      <c r="E647" s="1" t="s">
        <v>28</v>
      </c>
      <c r="F647" s="1">
        <v>1691.89</v>
      </c>
      <c r="G647" s="1" t="s">
        <v>191</v>
      </c>
      <c r="H647" s="2">
        <v>37495</v>
      </c>
      <c r="I647" s="2">
        <v>44107</v>
      </c>
      <c r="J647" s="1">
        <v>15.04</v>
      </c>
      <c r="K647" s="1">
        <f t="shared" si="22"/>
        <v>254.46025599999999</v>
      </c>
      <c r="L647" s="1">
        <f t="shared" si="23"/>
        <v>1437.429744</v>
      </c>
    </row>
    <row r="648" spans="1:12" x14ac:dyDescent="0.35">
      <c r="A648" s="1">
        <v>1646</v>
      </c>
      <c r="B648" s="2">
        <v>45630</v>
      </c>
      <c r="C648" s="1" t="s">
        <v>10</v>
      </c>
      <c r="D648" s="1" t="s">
        <v>33</v>
      </c>
      <c r="E648" s="1" t="s">
        <v>16</v>
      </c>
      <c r="F648" s="1">
        <v>830.37</v>
      </c>
      <c r="G648" s="1" t="s">
        <v>261</v>
      </c>
      <c r="H648" s="2">
        <v>23920</v>
      </c>
      <c r="I648" s="2">
        <v>45636</v>
      </c>
      <c r="J648" s="1">
        <v>4.28</v>
      </c>
      <c r="K648" s="1">
        <f t="shared" si="22"/>
        <v>35.539836000000001</v>
      </c>
      <c r="L648" s="1">
        <f t="shared" si="23"/>
        <v>794.83016399999997</v>
      </c>
    </row>
    <row r="649" spans="1:12" x14ac:dyDescent="0.35">
      <c r="A649" s="1">
        <v>1647</v>
      </c>
      <c r="B649" s="2">
        <v>45397</v>
      </c>
      <c r="C649" s="1" t="s">
        <v>10</v>
      </c>
      <c r="D649" s="1" t="s">
        <v>36</v>
      </c>
      <c r="E649" s="1" t="s">
        <v>28</v>
      </c>
      <c r="F649" s="1">
        <v>3017.29</v>
      </c>
      <c r="G649" s="1" t="s">
        <v>50</v>
      </c>
      <c r="H649" s="2">
        <v>22594</v>
      </c>
      <c r="I649" s="2">
        <v>45408</v>
      </c>
      <c r="J649" s="1">
        <v>40.770000000000003</v>
      </c>
      <c r="K649" s="1">
        <f t="shared" si="22"/>
        <v>1230.1491329999999</v>
      </c>
      <c r="L649" s="1">
        <f t="shared" si="23"/>
        <v>1787.1408670000001</v>
      </c>
    </row>
    <row r="650" spans="1:12" x14ac:dyDescent="0.35">
      <c r="A650" s="1">
        <v>1648</v>
      </c>
      <c r="B650" s="2">
        <v>44377</v>
      </c>
      <c r="C650" s="1" t="s">
        <v>35</v>
      </c>
      <c r="D650" s="1" t="s">
        <v>18</v>
      </c>
      <c r="E650" s="1" t="s">
        <v>19</v>
      </c>
      <c r="F650" s="1">
        <v>1210.22</v>
      </c>
      <c r="G650" s="1" t="s">
        <v>303</v>
      </c>
      <c r="H650" s="2">
        <v>30474</v>
      </c>
      <c r="I650" s="2">
        <v>44382</v>
      </c>
      <c r="J650" s="1">
        <v>46.37</v>
      </c>
      <c r="K650" s="1">
        <f t="shared" si="22"/>
        <v>561.17901400000005</v>
      </c>
      <c r="L650" s="1">
        <f t="shared" si="23"/>
        <v>649.04098599999998</v>
      </c>
    </row>
    <row r="651" spans="1:12" x14ac:dyDescent="0.35">
      <c r="A651" s="1">
        <v>1649</v>
      </c>
      <c r="B651" s="2">
        <v>44132</v>
      </c>
      <c r="C651" s="1" t="s">
        <v>35</v>
      </c>
      <c r="D651" s="1" t="s">
        <v>73</v>
      </c>
      <c r="E651" s="1" t="s">
        <v>28</v>
      </c>
      <c r="F651" s="1">
        <v>4753.34</v>
      </c>
      <c r="G651" s="1" t="s">
        <v>222</v>
      </c>
      <c r="H651" s="2">
        <v>28619</v>
      </c>
      <c r="I651" s="2">
        <v>44140</v>
      </c>
      <c r="J651" s="1">
        <v>6.29</v>
      </c>
      <c r="K651" s="1">
        <f t="shared" si="22"/>
        <v>298.98508600000002</v>
      </c>
      <c r="L651" s="1">
        <f t="shared" si="23"/>
        <v>4454.3549140000005</v>
      </c>
    </row>
    <row r="652" spans="1:12" x14ac:dyDescent="0.35">
      <c r="A652" s="1">
        <v>1650</v>
      </c>
      <c r="B652" s="2">
        <v>44820</v>
      </c>
      <c r="C652" s="1" t="s">
        <v>26</v>
      </c>
      <c r="D652" s="1" t="s">
        <v>33</v>
      </c>
      <c r="E652" s="1" t="s">
        <v>16</v>
      </c>
      <c r="F652" s="1">
        <v>981.87</v>
      </c>
      <c r="G652" s="1" t="s">
        <v>165</v>
      </c>
      <c r="H652" s="2">
        <v>29887</v>
      </c>
      <c r="I652" s="2">
        <v>44827</v>
      </c>
      <c r="J652" s="1">
        <v>0.65</v>
      </c>
      <c r="K652" s="1">
        <f t="shared" si="22"/>
        <v>6.3821550000000009</v>
      </c>
      <c r="L652" s="1">
        <f t="shared" si="23"/>
        <v>975.48784499999999</v>
      </c>
    </row>
    <row r="653" spans="1:12" x14ac:dyDescent="0.35">
      <c r="A653" s="1">
        <v>1651</v>
      </c>
      <c r="B653" s="2">
        <v>44720</v>
      </c>
      <c r="C653" s="1" t="s">
        <v>10</v>
      </c>
      <c r="D653" s="1" t="s">
        <v>65</v>
      </c>
      <c r="E653" s="1" t="s">
        <v>19</v>
      </c>
      <c r="F653" s="1">
        <v>563.67999999999995</v>
      </c>
      <c r="G653" s="1" t="s">
        <v>143</v>
      </c>
      <c r="H653" s="2">
        <v>37490</v>
      </c>
      <c r="I653" s="2">
        <v>44724</v>
      </c>
      <c r="J653" s="1">
        <v>18.170000000000002</v>
      </c>
      <c r="K653" s="1">
        <f t="shared" si="22"/>
        <v>102.42065600000001</v>
      </c>
      <c r="L653" s="1">
        <f t="shared" si="23"/>
        <v>461.25934399999994</v>
      </c>
    </row>
    <row r="654" spans="1:12" x14ac:dyDescent="0.35">
      <c r="A654" s="1">
        <v>1652</v>
      </c>
      <c r="B654" s="2">
        <v>44476</v>
      </c>
      <c r="C654" s="1" t="s">
        <v>10</v>
      </c>
      <c r="D654" s="1" t="s">
        <v>58</v>
      </c>
      <c r="E654" s="1" t="s">
        <v>31</v>
      </c>
      <c r="F654" s="1">
        <v>1065.97</v>
      </c>
      <c r="G654" s="1" t="s">
        <v>135</v>
      </c>
      <c r="H654" s="2">
        <v>38018</v>
      </c>
      <c r="I654" s="2">
        <v>44489</v>
      </c>
      <c r="J654" s="1">
        <v>16.690000000000001</v>
      </c>
      <c r="K654" s="1">
        <f t="shared" si="22"/>
        <v>177.91039300000003</v>
      </c>
      <c r="L654" s="1">
        <f t="shared" si="23"/>
        <v>888.05960700000003</v>
      </c>
    </row>
    <row r="655" spans="1:12" x14ac:dyDescent="0.35">
      <c r="A655" s="1">
        <v>1653</v>
      </c>
      <c r="B655" s="2">
        <v>44374</v>
      </c>
      <c r="C655" s="1" t="s">
        <v>14</v>
      </c>
      <c r="D655" s="1" t="s">
        <v>36</v>
      </c>
      <c r="E655" s="1" t="s">
        <v>28</v>
      </c>
      <c r="F655" s="1">
        <v>1898.29</v>
      </c>
      <c r="G655" s="1" t="s">
        <v>304</v>
      </c>
      <c r="H655" s="2">
        <v>36246</v>
      </c>
      <c r="I655" s="2">
        <v>44386</v>
      </c>
      <c r="J655" s="1">
        <v>30.32</v>
      </c>
      <c r="K655" s="1">
        <f t="shared" si="22"/>
        <v>575.56152800000007</v>
      </c>
      <c r="L655" s="1">
        <f t="shared" si="23"/>
        <v>1322.7284719999998</v>
      </c>
    </row>
    <row r="656" spans="1:12" x14ac:dyDescent="0.35">
      <c r="A656" s="1">
        <v>1654</v>
      </c>
      <c r="B656" s="2">
        <v>44437</v>
      </c>
      <c r="C656" s="1" t="s">
        <v>26</v>
      </c>
      <c r="D656" s="1" t="s">
        <v>30</v>
      </c>
      <c r="E656" s="1" t="s">
        <v>31</v>
      </c>
      <c r="F656" s="1">
        <v>2209.92</v>
      </c>
      <c r="G656" s="1" t="s">
        <v>238</v>
      </c>
      <c r="H656" s="2">
        <v>31880</v>
      </c>
      <c r="I656" s="2">
        <v>44450</v>
      </c>
      <c r="J656" s="1">
        <v>4.3099999999999996</v>
      </c>
      <c r="K656" s="1">
        <f t="shared" si="22"/>
        <v>95.247551999999999</v>
      </c>
      <c r="L656" s="1">
        <f t="shared" si="23"/>
        <v>2114.6724480000003</v>
      </c>
    </row>
    <row r="657" spans="1:12" x14ac:dyDescent="0.35">
      <c r="A657" s="1">
        <v>1655</v>
      </c>
      <c r="B657" s="2">
        <v>44345</v>
      </c>
      <c r="C657" s="1" t="s">
        <v>26</v>
      </c>
      <c r="D657" s="1" t="s">
        <v>22</v>
      </c>
      <c r="E657" s="1" t="s">
        <v>19</v>
      </c>
      <c r="F657" s="1">
        <v>2307.13</v>
      </c>
      <c r="G657" s="1" t="s">
        <v>171</v>
      </c>
      <c r="H657" s="2">
        <v>31261</v>
      </c>
      <c r="I657" s="2">
        <v>44354</v>
      </c>
      <c r="J657" s="1">
        <v>37.06</v>
      </c>
      <c r="K657" s="1">
        <f t="shared" si="22"/>
        <v>855.02237800000012</v>
      </c>
      <c r="L657" s="1">
        <f t="shared" si="23"/>
        <v>1452.107622</v>
      </c>
    </row>
    <row r="658" spans="1:12" x14ac:dyDescent="0.35">
      <c r="A658" s="1">
        <v>1656</v>
      </c>
      <c r="B658" s="2">
        <v>44918</v>
      </c>
      <c r="C658" s="1" t="s">
        <v>35</v>
      </c>
      <c r="D658" s="1" t="s">
        <v>88</v>
      </c>
      <c r="E658" s="1" t="s">
        <v>16</v>
      </c>
      <c r="F658" s="1">
        <v>1309.18</v>
      </c>
      <c r="G658" s="1" t="s">
        <v>130</v>
      </c>
      <c r="H658" s="2">
        <v>38750</v>
      </c>
      <c r="I658" s="2">
        <v>44928</v>
      </c>
      <c r="J658" s="1">
        <v>26.82</v>
      </c>
      <c r="K658" s="1">
        <f t="shared" si="22"/>
        <v>351.12207599999999</v>
      </c>
      <c r="L658" s="1">
        <f t="shared" si="23"/>
        <v>958.05792400000007</v>
      </c>
    </row>
    <row r="659" spans="1:12" x14ac:dyDescent="0.35">
      <c r="A659" s="1">
        <v>1657</v>
      </c>
      <c r="B659" s="2">
        <v>44362</v>
      </c>
      <c r="C659" s="1" t="s">
        <v>10</v>
      </c>
      <c r="D659" s="1" t="s">
        <v>55</v>
      </c>
      <c r="E659" s="1" t="s">
        <v>31</v>
      </c>
      <c r="F659" s="1">
        <v>528.41999999999996</v>
      </c>
      <c r="G659" s="1" t="s">
        <v>108</v>
      </c>
      <c r="H659" s="2">
        <v>33413</v>
      </c>
      <c r="I659" s="2">
        <v>44371</v>
      </c>
      <c r="J659" s="1">
        <v>23.23</v>
      </c>
      <c r="K659" s="1">
        <f t="shared" si="22"/>
        <v>122.751966</v>
      </c>
      <c r="L659" s="1">
        <f t="shared" si="23"/>
        <v>405.66803399999998</v>
      </c>
    </row>
    <row r="660" spans="1:12" x14ac:dyDescent="0.35">
      <c r="A660" s="1">
        <v>1658</v>
      </c>
      <c r="B660" s="2">
        <v>44430</v>
      </c>
      <c r="C660" s="1" t="s">
        <v>35</v>
      </c>
      <c r="D660" s="1" t="s">
        <v>49</v>
      </c>
      <c r="E660" s="1" t="s">
        <v>12</v>
      </c>
      <c r="F660" s="1">
        <v>2670.17</v>
      </c>
      <c r="G660" s="1" t="s">
        <v>288</v>
      </c>
      <c r="H660" s="2">
        <v>29810</v>
      </c>
      <c r="I660" s="2">
        <v>44441</v>
      </c>
      <c r="J660" s="1">
        <v>15.3</v>
      </c>
      <c r="K660" s="1">
        <f t="shared" si="22"/>
        <v>408.53600999999998</v>
      </c>
      <c r="L660" s="1">
        <f t="shared" si="23"/>
        <v>2261.6339900000003</v>
      </c>
    </row>
    <row r="661" spans="1:12" x14ac:dyDescent="0.35">
      <c r="A661" s="1">
        <v>1659</v>
      </c>
      <c r="B661" s="2">
        <v>45036</v>
      </c>
      <c r="C661" s="1" t="s">
        <v>21</v>
      </c>
      <c r="D661" s="1" t="s">
        <v>71</v>
      </c>
      <c r="E661" s="1" t="s">
        <v>31</v>
      </c>
      <c r="F661" s="1">
        <v>2555.38</v>
      </c>
      <c r="G661" s="1" t="s">
        <v>305</v>
      </c>
      <c r="H661" s="2">
        <v>21940</v>
      </c>
      <c r="I661" s="2">
        <v>45041</v>
      </c>
      <c r="J661" s="1">
        <v>19.41</v>
      </c>
      <c r="K661" s="1">
        <f t="shared" si="22"/>
        <v>495.999258</v>
      </c>
      <c r="L661" s="1">
        <f t="shared" si="23"/>
        <v>2059.3807420000003</v>
      </c>
    </row>
    <row r="662" spans="1:12" x14ac:dyDescent="0.35">
      <c r="A662" s="1">
        <v>1660</v>
      </c>
      <c r="B662" s="2">
        <v>44120</v>
      </c>
      <c r="C662" s="1" t="s">
        <v>26</v>
      </c>
      <c r="D662" s="1" t="s">
        <v>55</v>
      </c>
      <c r="E662" s="1" t="s">
        <v>31</v>
      </c>
      <c r="F662" s="1">
        <v>4831.3999999999996</v>
      </c>
      <c r="G662" s="1" t="s">
        <v>163</v>
      </c>
      <c r="H662" s="2">
        <v>30364</v>
      </c>
      <c r="I662" s="2">
        <v>44127</v>
      </c>
      <c r="J662" s="1">
        <v>19.36</v>
      </c>
      <c r="K662" s="1">
        <f t="shared" si="22"/>
        <v>935.35903999999994</v>
      </c>
      <c r="L662" s="1">
        <f t="shared" si="23"/>
        <v>3896.0409599999998</v>
      </c>
    </row>
    <row r="663" spans="1:12" x14ac:dyDescent="0.35">
      <c r="A663" s="1">
        <v>1661</v>
      </c>
      <c r="B663" s="2">
        <v>45816</v>
      </c>
      <c r="C663" s="1" t="s">
        <v>14</v>
      </c>
      <c r="D663" s="1" t="s">
        <v>22</v>
      </c>
      <c r="E663" s="1" t="s">
        <v>19</v>
      </c>
      <c r="F663" s="1">
        <v>4672.3599999999997</v>
      </c>
      <c r="G663" s="1" t="s">
        <v>189</v>
      </c>
      <c r="H663" s="2">
        <v>34164</v>
      </c>
      <c r="I663" s="2">
        <v>45827</v>
      </c>
      <c r="J663" s="1">
        <v>14.4</v>
      </c>
      <c r="K663" s="1">
        <f t="shared" si="22"/>
        <v>672.81984</v>
      </c>
      <c r="L663" s="1">
        <f t="shared" si="23"/>
        <v>3999.5401599999996</v>
      </c>
    </row>
    <row r="664" spans="1:12" x14ac:dyDescent="0.35">
      <c r="A664" s="1">
        <v>1662</v>
      </c>
      <c r="B664" s="2">
        <v>44407</v>
      </c>
      <c r="C664" s="1" t="s">
        <v>26</v>
      </c>
      <c r="D664" s="1" t="s">
        <v>38</v>
      </c>
      <c r="E664" s="1" t="s">
        <v>28</v>
      </c>
      <c r="F664" s="1">
        <v>849.78</v>
      </c>
      <c r="G664" s="1" t="s">
        <v>262</v>
      </c>
      <c r="H664" s="2">
        <v>36590</v>
      </c>
      <c r="I664" s="2">
        <v>44420</v>
      </c>
      <c r="J664" s="1">
        <v>1.58</v>
      </c>
      <c r="K664" s="1">
        <f t="shared" si="22"/>
        <v>13.426524000000001</v>
      </c>
      <c r="L664" s="1">
        <f t="shared" si="23"/>
        <v>836.353476</v>
      </c>
    </row>
    <row r="665" spans="1:12" x14ac:dyDescent="0.35">
      <c r="A665" s="1">
        <v>1663</v>
      </c>
      <c r="B665" s="2">
        <v>44120</v>
      </c>
      <c r="C665" s="1" t="s">
        <v>21</v>
      </c>
      <c r="D665" s="1" t="s">
        <v>88</v>
      </c>
      <c r="E665" s="1" t="s">
        <v>16</v>
      </c>
      <c r="F665" s="1">
        <v>1174.31</v>
      </c>
      <c r="G665" s="1" t="s">
        <v>300</v>
      </c>
      <c r="H665" s="2">
        <v>24322</v>
      </c>
      <c r="I665" s="2">
        <v>44129</v>
      </c>
      <c r="J665" s="1">
        <v>14.95</v>
      </c>
      <c r="K665" s="1">
        <f t="shared" si="22"/>
        <v>175.55934499999998</v>
      </c>
      <c r="L665" s="1">
        <f t="shared" si="23"/>
        <v>998.75065499999994</v>
      </c>
    </row>
    <row r="666" spans="1:12" x14ac:dyDescent="0.35">
      <c r="A666" s="1">
        <v>1664</v>
      </c>
      <c r="B666" s="2">
        <v>45789</v>
      </c>
      <c r="C666" s="1" t="s">
        <v>14</v>
      </c>
      <c r="D666" s="1" t="s">
        <v>27</v>
      </c>
      <c r="E666" s="1" t="s">
        <v>28</v>
      </c>
      <c r="F666" s="1">
        <v>209.13</v>
      </c>
      <c r="G666" s="1" t="s">
        <v>149</v>
      </c>
      <c r="H666" s="2">
        <v>26155</v>
      </c>
      <c r="I666" s="2">
        <v>45793</v>
      </c>
      <c r="J666" s="1">
        <v>19.75</v>
      </c>
      <c r="K666" s="1">
        <f t="shared" si="22"/>
        <v>41.303175000000003</v>
      </c>
      <c r="L666" s="1">
        <f t="shared" si="23"/>
        <v>167.82682499999999</v>
      </c>
    </row>
    <row r="667" spans="1:12" x14ac:dyDescent="0.35">
      <c r="A667" s="1">
        <v>1665</v>
      </c>
      <c r="B667" s="2">
        <v>44583</v>
      </c>
      <c r="C667" s="1" t="s">
        <v>26</v>
      </c>
      <c r="D667" s="1" t="s">
        <v>11</v>
      </c>
      <c r="E667" s="1" t="s">
        <v>12</v>
      </c>
      <c r="F667" s="1">
        <v>4882.18</v>
      </c>
      <c r="G667" s="1" t="s">
        <v>169</v>
      </c>
      <c r="H667" s="2">
        <v>37894</v>
      </c>
      <c r="I667" s="2">
        <v>44590</v>
      </c>
      <c r="J667" s="1">
        <v>28.88</v>
      </c>
      <c r="K667" s="1">
        <f t="shared" si="22"/>
        <v>1409.9735840000001</v>
      </c>
      <c r="L667" s="1">
        <f t="shared" si="23"/>
        <v>3472.206416</v>
      </c>
    </row>
    <row r="668" spans="1:12" x14ac:dyDescent="0.35">
      <c r="A668" s="1">
        <v>1666</v>
      </c>
      <c r="B668" s="2">
        <v>45636</v>
      </c>
      <c r="C668" s="1" t="s">
        <v>10</v>
      </c>
      <c r="D668" s="1" t="s">
        <v>71</v>
      </c>
      <c r="E668" s="1" t="s">
        <v>31</v>
      </c>
      <c r="F668" s="1">
        <v>639.63</v>
      </c>
      <c r="G668" s="1" t="s">
        <v>301</v>
      </c>
      <c r="H668" s="2">
        <v>31775</v>
      </c>
      <c r="I668" s="2">
        <v>45641</v>
      </c>
      <c r="J668" s="1">
        <v>41.11</v>
      </c>
      <c r="K668" s="1">
        <f t="shared" si="22"/>
        <v>262.95189299999998</v>
      </c>
      <c r="L668" s="1">
        <f t="shared" si="23"/>
        <v>376.67810700000001</v>
      </c>
    </row>
    <row r="669" spans="1:12" x14ac:dyDescent="0.35">
      <c r="A669" s="1">
        <v>1667</v>
      </c>
      <c r="B669" s="2">
        <v>44932</v>
      </c>
      <c r="C669" s="1" t="s">
        <v>35</v>
      </c>
      <c r="D669" s="1" t="s">
        <v>24</v>
      </c>
      <c r="E669" s="1" t="s">
        <v>19</v>
      </c>
      <c r="F669" s="1">
        <v>2188.62</v>
      </c>
      <c r="G669" s="1" t="s">
        <v>136</v>
      </c>
      <c r="H669" s="2">
        <v>23704</v>
      </c>
      <c r="I669" s="2">
        <v>44942</v>
      </c>
      <c r="J669" s="1">
        <v>30.97</v>
      </c>
      <c r="K669" s="1">
        <f t="shared" si="22"/>
        <v>677.81561399999987</v>
      </c>
      <c r="L669" s="1">
        <f t="shared" si="23"/>
        <v>1510.804386</v>
      </c>
    </row>
    <row r="670" spans="1:12" x14ac:dyDescent="0.35">
      <c r="A670" s="1">
        <v>1668</v>
      </c>
      <c r="B670" s="2">
        <v>44744</v>
      </c>
      <c r="C670" s="1" t="s">
        <v>35</v>
      </c>
      <c r="D670" s="1" t="s">
        <v>69</v>
      </c>
      <c r="E670" s="1" t="s">
        <v>12</v>
      </c>
      <c r="F670" s="1">
        <v>789.74</v>
      </c>
      <c r="G670" s="1" t="s">
        <v>89</v>
      </c>
      <c r="H670" s="2">
        <v>37141</v>
      </c>
      <c r="I670" s="2">
        <v>44749</v>
      </c>
      <c r="J670" s="1">
        <v>5.84</v>
      </c>
      <c r="K670" s="1">
        <f t="shared" si="22"/>
        <v>46.120815999999998</v>
      </c>
      <c r="L670" s="1">
        <f t="shared" si="23"/>
        <v>743.61918400000002</v>
      </c>
    </row>
    <row r="671" spans="1:12" x14ac:dyDescent="0.35">
      <c r="A671" s="1">
        <v>1669</v>
      </c>
      <c r="B671" s="2">
        <v>44270</v>
      </c>
      <c r="C671" s="1" t="s">
        <v>26</v>
      </c>
      <c r="D671" s="1" t="s">
        <v>65</v>
      </c>
      <c r="E671" s="1" t="s">
        <v>19</v>
      </c>
      <c r="F671" s="1">
        <v>3669.41</v>
      </c>
      <c r="G671" s="1" t="s">
        <v>207</v>
      </c>
      <c r="H671" s="2">
        <v>23988</v>
      </c>
      <c r="I671" s="2">
        <v>44284</v>
      </c>
      <c r="J671" s="1">
        <v>42.15</v>
      </c>
      <c r="K671" s="1">
        <f t="shared" si="22"/>
        <v>1546.6563149999999</v>
      </c>
      <c r="L671" s="1">
        <f t="shared" si="23"/>
        <v>2122.7536849999997</v>
      </c>
    </row>
    <row r="672" spans="1:12" x14ac:dyDescent="0.35">
      <c r="A672" s="1">
        <v>1670</v>
      </c>
      <c r="B672" s="2">
        <v>45041</v>
      </c>
      <c r="C672" s="1" t="s">
        <v>21</v>
      </c>
      <c r="D672" s="1" t="s">
        <v>69</v>
      </c>
      <c r="E672" s="1" t="s">
        <v>31</v>
      </c>
      <c r="F672" s="1">
        <v>2238.67</v>
      </c>
      <c r="G672" s="1" t="s">
        <v>142</v>
      </c>
      <c r="H672" s="2">
        <v>29541</v>
      </c>
      <c r="I672" s="2">
        <v>45049</v>
      </c>
      <c r="J672" s="1">
        <v>12.27</v>
      </c>
      <c r="K672" s="1">
        <f t="shared" si="22"/>
        <v>274.68480899999997</v>
      </c>
      <c r="L672" s="1">
        <f t="shared" si="23"/>
        <v>1963.9851910000002</v>
      </c>
    </row>
    <row r="673" spans="1:12" x14ac:dyDescent="0.35">
      <c r="A673" s="1">
        <v>1671</v>
      </c>
      <c r="B673" s="2">
        <v>45412</v>
      </c>
      <c r="C673" s="1" t="s">
        <v>10</v>
      </c>
      <c r="D673" s="1" t="s">
        <v>15</v>
      </c>
      <c r="E673" s="1" t="s">
        <v>16</v>
      </c>
      <c r="F673" s="1">
        <v>1138.79</v>
      </c>
      <c r="G673" s="1" t="s">
        <v>85</v>
      </c>
      <c r="H673" s="2">
        <v>37236</v>
      </c>
      <c r="I673" s="2">
        <v>45422</v>
      </c>
      <c r="J673" s="1">
        <v>32.72</v>
      </c>
      <c r="K673" s="1">
        <f t="shared" si="22"/>
        <v>372.61208799999997</v>
      </c>
      <c r="L673" s="1">
        <f t="shared" si="23"/>
        <v>766.17791199999999</v>
      </c>
    </row>
    <row r="674" spans="1:12" x14ac:dyDescent="0.35">
      <c r="A674" s="1">
        <v>1672</v>
      </c>
      <c r="B674" s="2">
        <v>45872</v>
      </c>
      <c r="C674" s="1" t="s">
        <v>21</v>
      </c>
      <c r="D674" s="1" t="s">
        <v>11</v>
      </c>
      <c r="E674" s="1" t="s">
        <v>12</v>
      </c>
      <c r="F674" s="1">
        <v>1098.3800000000001</v>
      </c>
      <c r="G674" s="1" t="s">
        <v>133</v>
      </c>
      <c r="H674" s="2">
        <v>23264</v>
      </c>
      <c r="I674" s="2">
        <v>45875</v>
      </c>
      <c r="J674" s="1">
        <v>9.08</v>
      </c>
      <c r="K674" s="1">
        <f t="shared" si="22"/>
        <v>99.732904000000019</v>
      </c>
      <c r="L674" s="1">
        <f t="shared" si="23"/>
        <v>998.64709600000015</v>
      </c>
    </row>
    <row r="675" spans="1:12" x14ac:dyDescent="0.35">
      <c r="A675" s="1">
        <v>1673</v>
      </c>
      <c r="B675" s="2">
        <v>44190</v>
      </c>
      <c r="C675" s="1" t="s">
        <v>35</v>
      </c>
      <c r="D675" s="1" t="s">
        <v>44</v>
      </c>
      <c r="E675" s="1" t="s">
        <v>16</v>
      </c>
      <c r="F675" s="1">
        <v>1502.05</v>
      </c>
      <c r="G675" s="1" t="s">
        <v>95</v>
      </c>
      <c r="H675" s="2">
        <v>25821</v>
      </c>
      <c r="I675" s="2">
        <v>44201</v>
      </c>
      <c r="J675" s="1">
        <v>10.3</v>
      </c>
      <c r="K675" s="1">
        <f t="shared" si="22"/>
        <v>154.71115</v>
      </c>
      <c r="L675" s="1">
        <f t="shared" si="23"/>
        <v>1347.3388499999999</v>
      </c>
    </row>
    <row r="676" spans="1:12" x14ac:dyDescent="0.35">
      <c r="A676" s="1">
        <v>1674</v>
      </c>
      <c r="B676" s="2">
        <v>45177</v>
      </c>
      <c r="C676" s="1" t="s">
        <v>14</v>
      </c>
      <c r="D676" s="1" t="s">
        <v>18</v>
      </c>
      <c r="E676" s="1" t="s">
        <v>19</v>
      </c>
      <c r="F676" s="1">
        <v>542.29999999999995</v>
      </c>
      <c r="G676" s="1" t="s">
        <v>190</v>
      </c>
      <c r="H676" s="2">
        <v>33354</v>
      </c>
      <c r="I676" s="2">
        <v>45190</v>
      </c>
      <c r="J676" s="1">
        <v>41.18</v>
      </c>
      <c r="K676" s="1">
        <f t="shared" si="22"/>
        <v>223.31913999999998</v>
      </c>
      <c r="L676" s="1">
        <f t="shared" si="23"/>
        <v>318.98086000000001</v>
      </c>
    </row>
    <row r="677" spans="1:12" x14ac:dyDescent="0.35">
      <c r="A677" s="1">
        <v>1675</v>
      </c>
      <c r="B677" s="2">
        <v>45015</v>
      </c>
      <c r="C677" s="1" t="s">
        <v>35</v>
      </c>
      <c r="D677" s="1" t="s">
        <v>33</v>
      </c>
      <c r="E677" s="1" t="s">
        <v>16</v>
      </c>
      <c r="F677" s="1">
        <v>1210.26</v>
      </c>
      <c r="G677" s="1" t="s">
        <v>306</v>
      </c>
      <c r="H677" s="2">
        <v>23652</v>
      </c>
      <c r="I677" s="2">
        <v>45027</v>
      </c>
      <c r="J677" s="1">
        <v>45.32</v>
      </c>
      <c r="K677" s="1">
        <f t="shared" si="22"/>
        <v>548.48983199999998</v>
      </c>
      <c r="L677" s="1">
        <f t="shared" si="23"/>
        <v>661.77016800000001</v>
      </c>
    </row>
    <row r="678" spans="1:12" x14ac:dyDescent="0.35">
      <c r="A678" s="1">
        <v>1676</v>
      </c>
      <c r="B678" s="2">
        <v>44325</v>
      </c>
      <c r="C678" s="1" t="s">
        <v>10</v>
      </c>
      <c r="D678" s="1" t="s">
        <v>11</v>
      </c>
      <c r="E678" s="1" t="s">
        <v>12</v>
      </c>
      <c r="F678" s="1">
        <v>1155.43</v>
      </c>
      <c r="G678" s="1" t="s">
        <v>37</v>
      </c>
      <c r="H678" s="2">
        <v>27534</v>
      </c>
      <c r="I678" s="2">
        <v>44326</v>
      </c>
      <c r="J678" s="1">
        <v>36.01</v>
      </c>
      <c r="K678" s="1">
        <f t="shared" si="22"/>
        <v>416.07034299999998</v>
      </c>
      <c r="L678" s="1">
        <f t="shared" si="23"/>
        <v>739.35965700000008</v>
      </c>
    </row>
    <row r="679" spans="1:12" x14ac:dyDescent="0.35">
      <c r="A679" s="1">
        <v>1677</v>
      </c>
      <c r="B679" s="2">
        <v>44508</v>
      </c>
      <c r="C679" s="1" t="s">
        <v>35</v>
      </c>
      <c r="D679" s="1" t="s">
        <v>58</v>
      </c>
      <c r="E679" s="1" t="s">
        <v>31</v>
      </c>
      <c r="F679" s="1">
        <v>4727.7700000000004</v>
      </c>
      <c r="G679" s="1" t="s">
        <v>307</v>
      </c>
      <c r="H679" s="2">
        <v>30321</v>
      </c>
      <c r="I679" s="2">
        <v>44513</v>
      </c>
      <c r="J679" s="1">
        <v>7.46</v>
      </c>
      <c r="K679" s="1">
        <f t="shared" si="22"/>
        <v>352.69164200000006</v>
      </c>
      <c r="L679" s="1">
        <f t="shared" si="23"/>
        <v>4375.0783580000007</v>
      </c>
    </row>
    <row r="680" spans="1:12" x14ac:dyDescent="0.35">
      <c r="A680" s="1">
        <v>1678</v>
      </c>
      <c r="B680" s="2">
        <v>44869</v>
      </c>
      <c r="C680" s="1" t="s">
        <v>26</v>
      </c>
      <c r="D680" s="1" t="s">
        <v>58</v>
      </c>
      <c r="E680" s="1" t="s">
        <v>31</v>
      </c>
      <c r="F680" s="1">
        <v>542.16999999999996</v>
      </c>
      <c r="G680" s="1" t="s">
        <v>159</v>
      </c>
      <c r="H680" s="2">
        <v>38194</v>
      </c>
      <c r="I680" s="2">
        <v>44870</v>
      </c>
      <c r="J680" s="1">
        <v>12.99</v>
      </c>
      <c r="K680" s="1">
        <f t="shared" si="22"/>
        <v>70.427883000000008</v>
      </c>
      <c r="L680" s="1">
        <f t="shared" si="23"/>
        <v>471.74211699999995</v>
      </c>
    </row>
    <row r="681" spans="1:12" x14ac:dyDescent="0.35">
      <c r="A681" s="1">
        <v>1679</v>
      </c>
      <c r="B681" s="2">
        <v>44505</v>
      </c>
      <c r="C681" s="1" t="s">
        <v>35</v>
      </c>
      <c r="D681" s="1" t="s">
        <v>55</v>
      </c>
      <c r="E681" s="1" t="s">
        <v>31</v>
      </c>
      <c r="F681" s="1">
        <v>4303.21</v>
      </c>
      <c r="G681" s="1" t="s">
        <v>139</v>
      </c>
      <c r="H681" s="2">
        <v>29381</v>
      </c>
      <c r="I681" s="2">
        <v>44512</v>
      </c>
      <c r="J681" s="1">
        <v>33.68</v>
      </c>
      <c r="K681" s="1">
        <f t="shared" si="22"/>
        <v>1449.321128</v>
      </c>
      <c r="L681" s="1">
        <f t="shared" si="23"/>
        <v>2853.888872</v>
      </c>
    </row>
    <row r="682" spans="1:12" x14ac:dyDescent="0.35">
      <c r="A682" s="1">
        <v>1680</v>
      </c>
      <c r="B682" s="2">
        <v>45161</v>
      </c>
      <c r="C682" s="1" t="s">
        <v>35</v>
      </c>
      <c r="D682" s="1" t="s">
        <v>71</v>
      </c>
      <c r="E682" s="1" t="s">
        <v>31</v>
      </c>
      <c r="F682" s="1">
        <v>4991.41</v>
      </c>
      <c r="G682" s="1" t="s">
        <v>308</v>
      </c>
      <c r="H682" s="2">
        <v>35336</v>
      </c>
      <c r="I682" s="2">
        <v>45167</v>
      </c>
      <c r="J682" s="1">
        <v>41.94</v>
      </c>
      <c r="K682" s="1">
        <f t="shared" si="22"/>
        <v>2093.3973539999997</v>
      </c>
      <c r="L682" s="1">
        <f t="shared" si="23"/>
        <v>2898.0126460000001</v>
      </c>
    </row>
    <row r="683" spans="1:12" x14ac:dyDescent="0.35">
      <c r="A683" s="1">
        <v>1681</v>
      </c>
      <c r="B683" s="2">
        <v>44233</v>
      </c>
      <c r="C683" s="1" t="s">
        <v>26</v>
      </c>
      <c r="D683" s="1" t="s">
        <v>69</v>
      </c>
      <c r="E683" s="1" t="s">
        <v>12</v>
      </c>
      <c r="F683" s="1">
        <v>3113.17</v>
      </c>
      <c r="G683" s="1" t="s">
        <v>276</v>
      </c>
      <c r="H683" s="2">
        <v>33394</v>
      </c>
      <c r="I683" s="2">
        <v>44244</v>
      </c>
      <c r="J683" s="1">
        <v>1.17</v>
      </c>
      <c r="K683" s="1">
        <f t="shared" si="22"/>
        <v>36.424088999999995</v>
      </c>
      <c r="L683" s="1">
        <f t="shared" si="23"/>
        <v>3076.745911</v>
      </c>
    </row>
    <row r="684" spans="1:12" x14ac:dyDescent="0.35">
      <c r="A684" s="1">
        <v>1682</v>
      </c>
      <c r="B684" s="2">
        <v>44756</v>
      </c>
      <c r="C684" s="1" t="s">
        <v>21</v>
      </c>
      <c r="D684" s="1" t="s">
        <v>71</v>
      </c>
      <c r="E684" s="1" t="s">
        <v>31</v>
      </c>
      <c r="F684" s="1">
        <v>1401.86</v>
      </c>
      <c r="G684" s="1" t="s">
        <v>140</v>
      </c>
      <c r="H684" s="2">
        <v>24579</v>
      </c>
      <c r="I684" s="2">
        <v>44764</v>
      </c>
      <c r="J684" s="1">
        <v>46.91</v>
      </c>
      <c r="K684" s="1">
        <f t="shared" si="22"/>
        <v>657.61252599999989</v>
      </c>
      <c r="L684" s="1">
        <f t="shared" si="23"/>
        <v>744.24747400000001</v>
      </c>
    </row>
    <row r="685" spans="1:12" x14ac:dyDescent="0.35">
      <c r="A685" s="1">
        <v>1683</v>
      </c>
      <c r="B685" s="2">
        <v>44229</v>
      </c>
      <c r="C685" s="1" t="s">
        <v>35</v>
      </c>
      <c r="D685" s="1" t="s">
        <v>18</v>
      </c>
      <c r="E685" s="1" t="s">
        <v>19</v>
      </c>
      <c r="F685" s="1">
        <v>2109.39</v>
      </c>
      <c r="G685" s="1" t="s">
        <v>261</v>
      </c>
      <c r="H685" s="2">
        <v>23920</v>
      </c>
      <c r="I685" s="2">
        <v>44235</v>
      </c>
      <c r="J685" s="1">
        <v>19.059999999999999</v>
      </c>
      <c r="K685" s="1">
        <f t="shared" si="22"/>
        <v>402.04973399999994</v>
      </c>
      <c r="L685" s="1">
        <f t="shared" si="23"/>
        <v>1707.3402659999999</v>
      </c>
    </row>
    <row r="686" spans="1:12" x14ac:dyDescent="0.35">
      <c r="A686" s="1">
        <v>1684</v>
      </c>
      <c r="B686" s="2">
        <v>45114</v>
      </c>
      <c r="C686" s="1" t="s">
        <v>21</v>
      </c>
      <c r="D686" s="1" t="s">
        <v>15</v>
      </c>
      <c r="E686" s="1" t="s">
        <v>16</v>
      </c>
      <c r="F686" s="1">
        <v>3439.5</v>
      </c>
      <c r="G686" s="1" t="s">
        <v>64</v>
      </c>
      <c r="H686" s="2">
        <v>32375</v>
      </c>
      <c r="I686" s="2">
        <v>45126</v>
      </c>
      <c r="J686" s="1">
        <v>16.34</v>
      </c>
      <c r="K686" s="1">
        <f t="shared" si="22"/>
        <v>562.01429999999993</v>
      </c>
      <c r="L686" s="1">
        <f t="shared" si="23"/>
        <v>2877.4857000000002</v>
      </c>
    </row>
    <row r="687" spans="1:12" x14ac:dyDescent="0.35">
      <c r="A687" s="1">
        <v>1685</v>
      </c>
      <c r="B687" s="2">
        <v>44226</v>
      </c>
      <c r="C687" s="1" t="s">
        <v>14</v>
      </c>
      <c r="D687" s="1" t="s">
        <v>61</v>
      </c>
      <c r="E687" s="1" t="s">
        <v>19</v>
      </c>
      <c r="F687" s="1">
        <v>3971.47</v>
      </c>
      <c r="G687" s="1" t="s">
        <v>309</v>
      </c>
      <c r="H687" s="2">
        <v>23838</v>
      </c>
      <c r="I687" s="2">
        <v>44227</v>
      </c>
      <c r="J687" s="1">
        <v>0.9</v>
      </c>
      <c r="K687" s="1">
        <f t="shared" si="22"/>
        <v>35.743230000000004</v>
      </c>
      <c r="L687" s="1">
        <f t="shared" si="23"/>
        <v>3935.7267699999998</v>
      </c>
    </row>
    <row r="688" spans="1:12" x14ac:dyDescent="0.35">
      <c r="A688" s="1">
        <v>1686</v>
      </c>
      <c r="B688" s="2">
        <v>44632</v>
      </c>
      <c r="C688" s="1" t="s">
        <v>14</v>
      </c>
      <c r="D688" s="1" t="s">
        <v>71</v>
      </c>
      <c r="E688" s="1" t="s">
        <v>31</v>
      </c>
      <c r="F688" s="1">
        <v>1083.4100000000001</v>
      </c>
      <c r="G688" s="1" t="s">
        <v>117</v>
      </c>
      <c r="H688" s="2">
        <v>23513</v>
      </c>
      <c r="I688" s="2">
        <v>44633</v>
      </c>
      <c r="J688" s="1">
        <v>36.5</v>
      </c>
      <c r="K688" s="1">
        <f t="shared" si="22"/>
        <v>395.44465000000002</v>
      </c>
      <c r="L688" s="1">
        <f t="shared" si="23"/>
        <v>687.96535000000006</v>
      </c>
    </row>
    <row r="689" spans="1:12" x14ac:dyDescent="0.35">
      <c r="A689" s="1">
        <v>1687</v>
      </c>
      <c r="B689" s="2">
        <v>45763</v>
      </c>
      <c r="C689" s="1" t="s">
        <v>21</v>
      </c>
      <c r="D689" s="1" t="s">
        <v>69</v>
      </c>
      <c r="E689" s="1" t="s">
        <v>12</v>
      </c>
      <c r="F689" s="1">
        <v>2262.52</v>
      </c>
      <c r="G689" s="1" t="s">
        <v>303</v>
      </c>
      <c r="H689" s="2">
        <v>30474</v>
      </c>
      <c r="I689" s="2">
        <v>45775</v>
      </c>
      <c r="J689" s="1">
        <v>4.95</v>
      </c>
      <c r="K689" s="1">
        <f t="shared" si="22"/>
        <v>111.99474000000001</v>
      </c>
      <c r="L689" s="1">
        <f t="shared" si="23"/>
        <v>2150.5252599999999</v>
      </c>
    </row>
    <row r="690" spans="1:12" x14ac:dyDescent="0.35">
      <c r="A690" s="1">
        <v>1688</v>
      </c>
      <c r="B690" s="2">
        <v>44973</v>
      </c>
      <c r="C690" s="1" t="s">
        <v>21</v>
      </c>
      <c r="D690" s="1" t="s">
        <v>71</v>
      </c>
      <c r="E690" s="1" t="s">
        <v>31</v>
      </c>
      <c r="F690" s="1">
        <v>4036.71</v>
      </c>
      <c r="G690" s="1" t="s">
        <v>260</v>
      </c>
      <c r="H690" s="2">
        <v>38628</v>
      </c>
      <c r="I690" s="2">
        <v>44976</v>
      </c>
      <c r="J690" s="1">
        <v>30.2</v>
      </c>
      <c r="K690" s="1">
        <f t="shared" si="22"/>
        <v>1219.0864199999999</v>
      </c>
      <c r="L690" s="1">
        <f t="shared" si="23"/>
        <v>2817.6235800000004</v>
      </c>
    </row>
    <row r="691" spans="1:12" x14ac:dyDescent="0.35">
      <c r="A691" s="1">
        <v>1689</v>
      </c>
      <c r="B691" s="2">
        <v>44624</v>
      </c>
      <c r="C691" s="1" t="s">
        <v>14</v>
      </c>
      <c r="D691" s="1" t="s">
        <v>53</v>
      </c>
      <c r="E691" s="1" t="s">
        <v>28</v>
      </c>
      <c r="F691" s="1">
        <v>2762.66</v>
      </c>
      <c r="G691" s="1" t="s">
        <v>310</v>
      </c>
      <c r="H691" s="2">
        <v>23309</v>
      </c>
      <c r="I691" s="2">
        <v>44631</v>
      </c>
      <c r="J691" s="1">
        <v>21.79</v>
      </c>
      <c r="K691" s="1">
        <f t="shared" si="22"/>
        <v>601.98361399999987</v>
      </c>
      <c r="L691" s="1">
        <f t="shared" si="23"/>
        <v>2160.6763860000001</v>
      </c>
    </row>
    <row r="692" spans="1:12" x14ac:dyDescent="0.35">
      <c r="A692" s="1">
        <v>1690</v>
      </c>
      <c r="B692" s="2">
        <v>44526</v>
      </c>
      <c r="C692" s="1" t="s">
        <v>14</v>
      </c>
      <c r="D692" s="1" t="s">
        <v>24</v>
      </c>
      <c r="E692" s="1" t="s">
        <v>19</v>
      </c>
      <c r="F692" s="1">
        <v>2795.54</v>
      </c>
      <c r="G692" s="1" t="s">
        <v>32</v>
      </c>
      <c r="H692" s="2">
        <v>27166</v>
      </c>
      <c r="I692" s="2">
        <v>44537</v>
      </c>
      <c r="J692" s="1">
        <v>14.81</v>
      </c>
      <c r="K692" s="1">
        <f t="shared" si="22"/>
        <v>414.019474</v>
      </c>
      <c r="L692" s="1">
        <f t="shared" si="23"/>
        <v>2381.5205259999998</v>
      </c>
    </row>
    <row r="693" spans="1:12" x14ac:dyDescent="0.35">
      <c r="A693" s="1">
        <v>1691</v>
      </c>
      <c r="B693" s="2">
        <v>44396</v>
      </c>
      <c r="C693" s="1" t="s">
        <v>21</v>
      </c>
      <c r="D693" s="1" t="s">
        <v>61</v>
      </c>
      <c r="E693" s="1" t="s">
        <v>19</v>
      </c>
      <c r="F693" s="1">
        <v>2136.2600000000002</v>
      </c>
      <c r="G693" s="1" t="s">
        <v>264</v>
      </c>
      <c r="H693" s="2">
        <v>30232</v>
      </c>
      <c r="I693" s="2">
        <v>44404</v>
      </c>
      <c r="J693" s="1">
        <v>4</v>
      </c>
      <c r="K693" s="1">
        <f t="shared" si="22"/>
        <v>85.450400000000016</v>
      </c>
      <c r="L693" s="1">
        <f t="shared" si="23"/>
        <v>2050.8096</v>
      </c>
    </row>
    <row r="694" spans="1:12" x14ac:dyDescent="0.35">
      <c r="A694" s="1">
        <v>1692</v>
      </c>
      <c r="B694" s="2">
        <v>45302</v>
      </c>
      <c r="C694" s="1" t="s">
        <v>21</v>
      </c>
      <c r="D694" s="1" t="s">
        <v>40</v>
      </c>
      <c r="E694" s="1" t="s">
        <v>16</v>
      </c>
      <c r="F694" s="1">
        <v>4150.93</v>
      </c>
      <c r="G694" s="1" t="s">
        <v>223</v>
      </c>
      <c r="H694" s="2">
        <v>35407</v>
      </c>
      <c r="I694" s="2">
        <v>45315</v>
      </c>
      <c r="J694" s="1">
        <v>46.04</v>
      </c>
      <c r="K694" s="1">
        <f t="shared" si="22"/>
        <v>1911.088172</v>
      </c>
      <c r="L694" s="1">
        <f t="shared" si="23"/>
        <v>2239.8418280000005</v>
      </c>
    </row>
    <row r="695" spans="1:12" x14ac:dyDescent="0.35">
      <c r="A695" s="1">
        <v>1693</v>
      </c>
      <c r="B695" s="2">
        <v>44528</v>
      </c>
      <c r="C695" s="1" t="s">
        <v>21</v>
      </c>
      <c r="D695" s="1" t="s">
        <v>40</v>
      </c>
      <c r="E695" s="1" t="s">
        <v>16</v>
      </c>
      <c r="F695" s="1">
        <v>3648.4</v>
      </c>
      <c r="G695" s="1" t="s">
        <v>221</v>
      </c>
      <c r="H695" s="2">
        <v>35658</v>
      </c>
      <c r="I695" s="2">
        <v>44542</v>
      </c>
      <c r="J695" s="1">
        <v>42.7</v>
      </c>
      <c r="K695" s="1">
        <f t="shared" si="22"/>
        <v>1557.8668000000002</v>
      </c>
      <c r="L695" s="1">
        <f t="shared" si="23"/>
        <v>2090.5331999999999</v>
      </c>
    </row>
    <row r="696" spans="1:12" x14ac:dyDescent="0.35">
      <c r="A696" s="1">
        <v>1694</v>
      </c>
      <c r="B696" s="2">
        <v>45503</v>
      </c>
      <c r="C696" s="1" t="s">
        <v>26</v>
      </c>
      <c r="D696" s="1" t="s">
        <v>15</v>
      </c>
      <c r="E696" s="1" t="s">
        <v>16</v>
      </c>
      <c r="F696" s="1">
        <v>4655.5200000000004</v>
      </c>
      <c r="G696" s="1" t="s">
        <v>128</v>
      </c>
      <c r="H696" s="2">
        <v>37961</v>
      </c>
      <c r="I696" s="2">
        <v>45516</v>
      </c>
      <c r="J696" s="1">
        <v>14.23</v>
      </c>
      <c r="K696" s="1">
        <f t="shared" si="22"/>
        <v>662.48049600000013</v>
      </c>
      <c r="L696" s="1">
        <f t="shared" si="23"/>
        <v>3993.0395040000003</v>
      </c>
    </row>
    <row r="697" spans="1:12" x14ac:dyDescent="0.35">
      <c r="A697" s="1">
        <v>1695</v>
      </c>
      <c r="B697" s="2">
        <v>44766</v>
      </c>
      <c r="C697" s="1" t="s">
        <v>10</v>
      </c>
      <c r="D697" s="1" t="s">
        <v>38</v>
      </c>
      <c r="E697" s="1" t="s">
        <v>28</v>
      </c>
      <c r="F697" s="1">
        <v>1621.73</v>
      </c>
      <c r="G697" s="1" t="s">
        <v>237</v>
      </c>
      <c r="H697" s="2">
        <v>27455</v>
      </c>
      <c r="I697" s="2">
        <v>44773</v>
      </c>
      <c r="J697" s="1">
        <v>28.48</v>
      </c>
      <c r="K697" s="1">
        <f t="shared" si="22"/>
        <v>461.86870399999998</v>
      </c>
      <c r="L697" s="1">
        <f t="shared" si="23"/>
        <v>1159.861296</v>
      </c>
    </row>
    <row r="698" spans="1:12" x14ac:dyDescent="0.35">
      <c r="A698" s="1">
        <v>1696</v>
      </c>
      <c r="B698" s="2">
        <v>44546</v>
      </c>
      <c r="C698" s="1" t="s">
        <v>14</v>
      </c>
      <c r="D698" s="1" t="s">
        <v>73</v>
      </c>
      <c r="E698" s="1" t="s">
        <v>28</v>
      </c>
      <c r="F698" s="1">
        <v>4970.46</v>
      </c>
      <c r="G698" s="1" t="s">
        <v>271</v>
      </c>
      <c r="H698" s="2">
        <v>22796</v>
      </c>
      <c r="I698" s="2">
        <v>44554</v>
      </c>
      <c r="J698" s="1">
        <v>7.16</v>
      </c>
      <c r="K698" s="1">
        <f t="shared" si="22"/>
        <v>355.88493599999998</v>
      </c>
      <c r="L698" s="1">
        <f t="shared" si="23"/>
        <v>4614.5750639999997</v>
      </c>
    </row>
    <row r="699" spans="1:12" x14ac:dyDescent="0.35">
      <c r="A699" s="1">
        <v>1697</v>
      </c>
      <c r="B699" s="2">
        <v>44208</v>
      </c>
      <c r="C699" s="1" t="s">
        <v>26</v>
      </c>
      <c r="D699" s="1" t="s">
        <v>49</v>
      </c>
      <c r="E699" s="1" t="s">
        <v>12</v>
      </c>
      <c r="F699" s="1">
        <v>3077.28</v>
      </c>
      <c r="G699" s="1" t="s">
        <v>60</v>
      </c>
      <c r="H699" s="2">
        <v>33482</v>
      </c>
      <c r="I699" s="2">
        <v>44211</v>
      </c>
      <c r="J699" s="1">
        <v>8.57</v>
      </c>
      <c r="K699" s="1">
        <f t="shared" si="22"/>
        <v>263.72289599999999</v>
      </c>
      <c r="L699" s="1">
        <f t="shared" si="23"/>
        <v>2813.5571040000004</v>
      </c>
    </row>
    <row r="700" spans="1:12" x14ac:dyDescent="0.35">
      <c r="A700" s="1">
        <v>1698</v>
      </c>
      <c r="B700" s="2">
        <v>45490</v>
      </c>
      <c r="C700" s="1" t="s">
        <v>10</v>
      </c>
      <c r="D700" s="1" t="s">
        <v>73</v>
      </c>
      <c r="E700" s="1" t="s">
        <v>28</v>
      </c>
      <c r="F700" s="1">
        <v>4876.51</v>
      </c>
      <c r="G700" s="1" t="s">
        <v>121</v>
      </c>
      <c r="H700" s="2">
        <v>24580</v>
      </c>
      <c r="I700" s="2">
        <v>45501</v>
      </c>
      <c r="J700" s="1">
        <v>10.16</v>
      </c>
      <c r="K700" s="1">
        <f t="shared" si="22"/>
        <v>495.453416</v>
      </c>
      <c r="L700" s="1">
        <f t="shared" si="23"/>
        <v>4381.0565839999999</v>
      </c>
    </row>
    <row r="701" spans="1:12" x14ac:dyDescent="0.35">
      <c r="A701" s="1">
        <v>1699</v>
      </c>
      <c r="B701" s="2">
        <v>45506</v>
      </c>
      <c r="C701" s="1" t="s">
        <v>21</v>
      </c>
      <c r="D701" s="1" t="s">
        <v>36</v>
      </c>
      <c r="E701" s="1" t="s">
        <v>28</v>
      </c>
      <c r="F701" s="1">
        <v>482.18</v>
      </c>
      <c r="G701" s="1" t="s">
        <v>278</v>
      </c>
      <c r="H701" s="2">
        <v>36036</v>
      </c>
      <c r="I701" s="2">
        <v>45517</v>
      </c>
      <c r="J701" s="1">
        <v>11.55</v>
      </c>
      <c r="K701" s="1">
        <f t="shared" si="22"/>
        <v>55.691790000000005</v>
      </c>
      <c r="L701" s="1">
        <f t="shared" si="23"/>
        <v>426.48820999999998</v>
      </c>
    </row>
    <row r="702" spans="1:12" x14ac:dyDescent="0.35">
      <c r="A702" s="1">
        <v>1700</v>
      </c>
      <c r="B702" s="2">
        <v>44706</v>
      </c>
      <c r="C702" s="1" t="s">
        <v>35</v>
      </c>
      <c r="D702" s="1" t="s">
        <v>69</v>
      </c>
      <c r="E702" s="1" t="s">
        <v>12</v>
      </c>
      <c r="F702" s="1">
        <v>842.12</v>
      </c>
      <c r="G702" s="1" t="s">
        <v>196</v>
      </c>
      <c r="H702" s="2">
        <v>26300</v>
      </c>
      <c r="I702" s="2">
        <v>44714</v>
      </c>
      <c r="J702" s="1">
        <v>1.36</v>
      </c>
      <c r="K702" s="1">
        <f t="shared" si="22"/>
        <v>11.452832000000001</v>
      </c>
      <c r="L702" s="1">
        <f t="shared" si="23"/>
        <v>830.66716799999995</v>
      </c>
    </row>
    <row r="703" spans="1:12" x14ac:dyDescent="0.35">
      <c r="A703" s="1">
        <v>1701</v>
      </c>
      <c r="B703" s="2">
        <v>44103</v>
      </c>
      <c r="C703" s="1" t="s">
        <v>35</v>
      </c>
      <c r="D703" s="1" t="s">
        <v>24</v>
      </c>
      <c r="E703" s="1" t="s">
        <v>19</v>
      </c>
      <c r="F703" s="1">
        <v>970.42</v>
      </c>
      <c r="G703" s="1" t="s">
        <v>249</v>
      </c>
      <c r="H703" s="2">
        <v>28555</v>
      </c>
      <c r="I703" s="2">
        <v>44106</v>
      </c>
      <c r="J703" s="1">
        <v>23.45</v>
      </c>
      <c r="K703" s="1">
        <f t="shared" si="22"/>
        <v>227.56348999999997</v>
      </c>
      <c r="L703" s="1">
        <f t="shared" si="23"/>
        <v>742.85650999999996</v>
      </c>
    </row>
    <row r="704" spans="1:12" x14ac:dyDescent="0.35">
      <c r="A704" s="1">
        <v>1702</v>
      </c>
      <c r="B704" s="2">
        <v>44907</v>
      </c>
      <c r="C704" s="1" t="s">
        <v>14</v>
      </c>
      <c r="D704" s="1" t="s">
        <v>61</v>
      </c>
      <c r="E704" s="1" t="s">
        <v>19</v>
      </c>
      <c r="F704" s="1">
        <v>1928.08</v>
      </c>
      <c r="G704" s="1" t="s">
        <v>13</v>
      </c>
      <c r="H704" s="2">
        <v>24348</v>
      </c>
      <c r="I704" s="2">
        <v>44908</v>
      </c>
      <c r="J704" s="1">
        <v>2.2200000000000002</v>
      </c>
      <c r="K704" s="1">
        <f t="shared" si="22"/>
        <v>42.803376</v>
      </c>
      <c r="L704" s="1">
        <f t="shared" si="23"/>
        <v>1885.2766239999999</v>
      </c>
    </row>
    <row r="705" spans="1:12" x14ac:dyDescent="0.35">
      <c r="A705" s="1">
        <v>1703</v>
      </c>
      <c r="B705" s="2">
        <v>44329</v>
      </c>
      <c r="C705" s="1" t="s">
        <v>14</v>
      </c>
      <c r="D705" s="1" t="s">
        <v>55</v>
      </c>
      <c r="E705" s="1" t="s">
        <v>31</v>
      </c>
      <c r="F705" s="1">
        <v>710.4</v>
      </c>
      <c r="G705" s="1" t="s">
        <v>137</v>
      </c>
      <c r="H705" s="2">
        <v>36905</v>
      </c>
      <c r="I705" s="2">
        <v>44333</v>
      </c>
      <c r="J705" s="1">
        <v>6.09</v>
      </c>
      <c r="K705" s="1">
        <f t="shared" si="22"/>
        <v>43.263359999999999</v>
      </c>
      <c r="L705" s="1">
        <f t="shared" si="23"/>
        <v>667.13663999999994</v>
      </c>
    </row>
    <row r="706" spans="1:12" x14ac:dyDescent="0.35">
      <c r="A706" s="1">
        <v>1704</v>
      </c>
      <c r="B706" s="2">
        <v>44120</v>
      </c>
      <c r="C706" s="1" t="s">
        <v>21</v>
      </c>
      <c r="D706" s="1" t="s">
        <v>36</v>
      </c>
      <c r="E706" s="1" t="s">
        <v>28</v>
      </c>
      <c r="F706" s="1">
        <v>1451.27</v>
      </c>
      <c r="G706" s="1" t="s">
        <v>56</v>
      </c>
      <c r="H706" s="2">
        <v>25712</v>
      </c>
      <c r="I706" s="2">
        <v>44128</v>
      </c>
      <c r="J706" s="1">
        <v>24.93</v>
      </c>
      <c r="K706" s="1">
        <f t="shared" si="22"/>
        <v>361.80161099999998</v>
      </c>
      <c r="L706" s="1">
        <f t="shared" si="23"/>
        <v>1089.4683890000001</v>
      </c>
    </row>
    <row r="707" spans="1:12" x14ac:dyDescent="0.35">
      <c r="A707" s="1">
        <v>1705</v>
      </c>
      <c r="B707" s="2">
        <v>45019</v>
      </c>
      <c r="C707" s="1" t="s">
        <v>21</v>
      </c>
      <c r="D707" s="1" t="s">
        <v>55</v>
      </c>
      <c r="E707" s="1" t="s">
        <v>31</v>
      </c>
      <c r="F707" s="1">
        <v>4397.05</v>
      </c>
      <c r="G707" s="1" t="s">
        <v>216</v>
      </c>
      <c r="H707" s="2">
        <v>31419</v>
      </c>
      <c r="I707" s="2">
        <v>45022</v>
      </c>
      <c r="J707" s="1">
        <v>18.420000000000002</v>
      </c>
      <c r="K707" s="1">
        <f t="shared" ref="K707:K770" si="24">F707*J707%</f>
        <v>809.9366100000002</v>
      </c>
      <c r="L707" s="1">
        <f t="shared" ref="L707:L770" si="25">F707-K707</f>
        <v>3587.11339</v>
      </c>
    </row>
    <row r="708" spans="1:12" x14ac:dyDescent="0.35">
      <c r="A708" s="1">
        <v>1706</v>
      </c>
      <c r="B708" s="2">
        <v>45165</v>
      </c>
      <c r="C708" s="1" t="s">
        <v>35</v>
      </c>
      <c r="D708" s="1" t="s">
        <v>38</v>
      </c>
      <c r="E708" s="1" t="s">
        <v>28</v>
      </c>
      <c r="F708" s="1">
        <v>3244.23</v>
      </c>
      <c r="G708" s="1" t="s">
        <v>282</v>
      </c>
      <c r="H708" s="2">
        <v>38073</v>
      </c>
      <c r="I708" s="2">
        <v>45171</v>
      </c>
      <c r="J708" s="1">
        <v>48.8</v>
      </c>
      <c r="K708" s="1">
        <f t="shared" si="24"/>
        <v>1583.18424</v>
      </c>
      <c r="L708" s="1">
        <f t="shared" si="25"/>
        <v>1661.04576</v>
      </c>
    </row>
    <row r="709" spans="1:12" x14ac:dyDescent="0.35">
      <c r="A709" s="1">
        <v>1707</v>
      </c>
      <c r="B709" s="2">
        <v>45213</v>
      </c>
      <c r="C709" s="1" t="s">
        <v>35</v>
      </c>
      <c r="D709" s="1" t="s">
        <v>73</v>
      </c>
      <c r="E709" s="1" t="s">
        <v>28</v>
      </c>
      <c r="F709" s="1">
        <v>963.24</v>
      </c>
      <c r="G709" s="1" t="s">
        <v>78</v>
      </c>
      <c r="H709" s="2">
        <v>25099</v>
      </c>
      <c r="I709" s="2">
        <v>45218</v>
      </c>
      <c r="J709" s="1">
        <v>46.92</v>
      </c>
      <c r="K709" s="1">
        <f t="shared" si="24"/>
        <v>451.95220799999998</v>
      </c>
      <c r="L709" s="1">
        <f t="shared" si="25"/>
        <v>511.28779200000002</v>
      </c>
    </row>
    <row r="710" spans="1:12" x14ac:dyDescent="0.35">
      <c r="A710" s="1">
        <v>1708</v>
      </c>
      <c r="B710" s="2">
        <v>45285</v>
      </c>
      <c r="C710" s="1" t="s">
        <v>26</v>
      </c>
      <c r="D710" s="1" t="s">
        <v>58</v>
      </c>
      <c r="E710" s="1" t="s">
        <v>31</v>
      </c>
      <c r="F710" s="1">
        <v>4234.68</v>
      </c>
      <c r="G710" s="1" t="s">
        <v>87</v>
      </c>
      <c r="H710" s="2">
        <v>36012</v>
      </c>
      <c r="I710" s="2">
        <v>45299</v>
      </c>
      <c r="J710" s="1">
        <v>44.06</v>
      </c>
      <c r="K710" s="1">
        <f t="shared" si="24"/>
        <v>1865.8000080000004</v>
      </c>
      <c r="L710" s="1">
        <f t="shared" si="25"/>
        <v>2368.8799920000001</v>
      </c>
    </row>
    <row r="711" spans="1:12" x14ac:dyDescent="0.35">
      <c r="A711" s="1">
        <v>1709</v>
      </c>
      <c r="B711" s="2">
        <v>45795</v>
      </c>
      <c r="C711" s="1" t="s">
        <v>14</v>
      </c>
      <c r="D711" s="1" t="s">
        <v>71</v>
      </c>
      <c r="E711" s="1" t="s">
        <v>31</v>
      </c>
      <c r="F711" s="1">
        <v>549.34</v>
      </c>
      <c r="G711" s="1" t="s">
        <v>81</v>
      </c>
      <c r="H711" s="2">
        <v>38350</v>
      </c>
      <c r="I711" s="2">
        <v>45807</v>
      </c>
      <c r="J711" s="1">
        <v>10.1</v>
      </c>
      <c r="K711" s="1">
        <f t="shared" si="24"/>
        <v>55.483339999999998</v>
      </c>
      <c r="L711" s="1">
        <f t="shared" si="25"/>
        <v>493.85666000000003</v>
      </c>
    </row>
    <row r="712" spans="1:12" x14ac:dyDescent="0.35">
      <c r="A712" s="1">
        <v>1710</v>
      </c>
      <c r="B712" s="2">
        <v>44386</v>
      </c>
      <c r="C712" s="1" t="s">
        <v>14</v>
      </c>
      <c r="D712" s="1" t="s">
        <v>36</v>
      </c>
      <c r="E712" s="1" t="s">
        <v>28</v>
      </c>
      <c r="F712" s="1">
        <v>4680.0200000000004</v>
      </c>
      <c r="G712" s="1" t="s">
        <v>230</v>
      </c>
      <c r="H712" s="2">
        <v>35642</v>
      </c>
      <c r="I712" s="2">
        <v>44400</v>
      </c>
      <c r="J712" s="1">
        <v>13.82</v>
      </c>
      <c r="K712" s="1">
        <f t="shared" si="24"/>
        <v>646.77876400000002</v>
      </c>
      <c r="L712" s="1">
        <f t="shared" si="25"/>
        <v>4033.2412360000003</v>
      </c>
    </row>
    <row r="713" spans="1:12" x14ac:dyDescent="0.35">
      <c r="A713" s="1">
        <v>1711</v>
      </c>
      <c r="B713" s="2">
        <v>44813</v>
      </c>
      <c r="C713" s="1" t="s">
        <v>14</v>
      </c>
      <c r="D713" s="1" t="s">
        <v>44</v>
      </c>
      <c r="E713" s="1" t="s">
        <v>16</v>
      </c>
      <c r="F713" s="1">
        <v>2860.6</v>
      </c>
      <c r="G713" s="1" t="s">
        <v>174</v>
      </c>
      <c r="H713" s="2">
        <v>38118</v>
      </c>
      <c r="I713" s="2">
        <v>44826</v>
      </c>
      <c r="J713" s="1">
        <v>25.1</v>
      </c>
      <c r="K713" s="1">
        <f t="shared" si="24"/>
        <v>718.01059999999995</v>
      </c>
      <c r="L713" s="1">
        <f t="shared" si="25"/>
        <v>2142.5893999999998</v>
      </c>
    </row>
    <row r="714" spans="1:12" x14ac:dyDescent="0.35">
      <c r="A714" s="1">
        <v>1712</v>
      </c>
      <c r="B714" s="2">
        <v>44722</v>
      </c>
      <c r="C714" s="1" t="s">
        <v>14</v>
      </c>
      <c r="D714" s="1" t="s">
        <v>69</v>
      </c>
      <c r="E714" s="1" t="s">
        <v>31</v>
      </c>
      <c r="F714" s="1">
        <v>202.8</v>
      </c>
      <c r="G714" s="1" t="s">
        <v>311</v>
      </c>
      <c r="H714" s="2">
        <v>29242</v>
      </c>
      <c r="I714" s="2">
        <v>44728</v>
      </c>
      <c r="J714" s="1">
        <v>48.41</v>
      </c>
      <c r="K714" s="1">
        <f t="shared" si="24"/>
        <v>98.175480000000007</v>
      </c>
      <c r="L714" s="1">
        <f t="shared" si="25"/>
        <v>104.62452</v>
      </c>
    </row>
    <row r="715" spans="1:12" x14ac:dyDescent="0.35">
      <c r="A715" s="1">
        <v>1713</v>
      </c>
      <c r="B715" s="2">
        <v>44443</v>
      </c>
      <c r="C715" s="1" t="s">
        <v>21</v>
      </c>
      <c r="D715" s="1" t="s">
        <v>102</v>
      </c>
      <c r="E715" s="1" t="s">
        <v>12</v>
      </c>
      <c r="F715" s="1">
        <v>540.61</v>
      </c>
      <c r="G715" s="1" t="s">
        <v>43</v>
      </c>
      <c r="H715" s="2">
        <v>33702</v>
      </c>
      <c r="I715" s="2">
        <v>44450</v>
      </c>
      <c r="J715" s="1">
        <v>7.72</v>
      </c>
      <c r="K715" s="1">
        <f t="shared" si="24"/>
        <v>41.735091999999995</v>
      </c>
      <c r="L715" s="1">
        <f t="shared" si="25"/>
        <v>498.874908</v>
      </c>
    </row>
    <row r="716" spans="1:12" x14ac:dyDescent="0.35">
      <c r="A716" s="1">
        <v>1714</v>
      </c>
      <c r="B716" s="2">
        <v>44594</v>
      </c>
      <c r="C716" s="1" t="s">
        <v>35</v>
      </c>
      <c r="D716" s="1" t="s">
        <v>65</v>
      </c>
      <c r="E716" s="1" t="s">
        <v>19</v>
      </c>
      <c r="F716" s="1">
        <v>3533.67</v>
      </c>
      <c r="G716" s="1" t="s">
        <v>289</v>
      </c>
      <c r="H716" s="2">
        <v>21923</v>
      </c>
      <c r="I716" s="2">
        <v>44607</v>
      </c>
      <c r="J716" s="1">
        <v>1.1299999999999999</v>
      </c>
      <c r="K716" s="1">
        <f t="shared" si="24"/>
        <v>39.930470999999997</v>
      </c>
      <c r="L716" s="1">
        <f t="shared" si="25"/>
        <v>3493.7395289999999</v>
      </c>
    </row>
    <row r="717" spans="1:12" x14ac:dyDescent="0.35">
      <c r="A717" s="1">
        <v>1715</v>
      </c>
      <c r="B717" s="2">
        <v>45049</v>
      </c>
      <c r="C717" s="1" t="s">
        <v>14</v>
      </c>
      <c r="D717" s="1" t="s">
        <v>11</v>
      </c>
      <c r="E717" s="1" t="s">
        <v>12</v>
      </c>
      <c r="F717" s="1">
        <v>2679.23</v>
      </c>
      <c r="G717" s="1" t="s">
        <v>113</v>
      </c>
      <c r="H717" s="2">
        <v>25579</v>
      </c>
      <c r="I717" s="2">
        <v>45059</v>
      </c>
      <c r="J717" s="1">
        <v>19.5</v>
      </c>
      <c r="K717" s="1">
        <f t="shared" si="24"/>
        <v>522.44984999999997</v>
      </c>
      <c r="L717" s="1">
        <f t="shared" si="25"/>
        <v>2156.78015</v>
      </c>
    </row>
    <row r="718" spans="1:12" x14ac:dyDescent="0.35">
      <c r="A718" s="1">
        <v>1716</v>
      </c>
      <c r="B718" s="2">
        <v>45214</v>
      </c>
      <c r="C718" s="1" t="s">
        <v>21</v>
      </c>
      <c r="D718" s="1" t="s">
        <v>69</v>
      </c>
      <c r="E718" s="1" t="s">
        <v>31</v>
      </c>
      <c r="F718" s="1">
        <v>4121.55</v>
      </c>
      <c r="G718" s="1" t="s">
        <v>248</v>
      </c>
      <c r="H718" s="2">
        <v>32685</v>
      </c>
      <c r="I718" s="2">
        <v>45223</v>
      </c>
      <c r="J718" s="1">
        <v>35.71</v>
      </c>
      <c r="K718" s="1">
        <f t="shared" si="24"/>
        <v>1471.8055050000003</v>
      </c>
      <c r="L718" s="1">
        <f t="shared" si="25"/>
        <v>2649.7444949999999</v>
      </c>
    </row>
    <row r="719" spans="1:12" x14ac:dyDescent="0.35">
      <c r="A719" s="1">
        <v>1717</v>
      </c>
      <c r="B719" s="2">
        <v>44535</v>
      </c>
      <c r="C719" s="1" t="s">
        <v>21</v>
      </c>
      <c r="D719" s="1" t="s">
        <v>88</v>
      </c>
      <c r="E719" s="1" t="s">
        <v>16</v>
      </c>
      <c r="F719" s="1">
        <v>3582.34</v>
      </c>
      <c r="G719" s="1" t="s">
        <v>113</v>
      </c>
      <c r="H719" s="2">
        <v>25579</v>
      </c>
      <c r="I719" s="2">
        <v>44540</v>
      </c>
      <c r="J719" s="1">
        <v>14.14</v>
      </c>
      <c r="K719" s="1">
        <f t="shared" si="24"/>
        <v>506.54287600000004</v>
      </c>
      <c r="L719" s="1">
        <f t="shared" si="25"/>
        <v>3075.7971240000002</v>
      </c>
    </row>
    <row r="720" spans="1:12" x14ac:dyDescent="0.35">
      <c r="A720" s="1">
        <v>1718</v>
      </c>
      <c r="B720" s="2">
        <v>45287</v>
      </c>
      <c r="C720" s="1" t="s">
        <v>21</v>
      </c>
      <c r="D720" s="1" t="s">
        <v>22</v>
      </c>
      <c r="E720" s="1" t="s">
        <v>19</v>
      </c>
      <c r="F720" s="1">
        <v>3131.27</v>
      </c>
      <c r="G720" s="1" t="s">
        <v>145</v>
      </c>
      <c r="H720" s="2">
        <v>23470</v>
      </c>
      <c r="I720" s="2">
        <v>45298</v>
      </c>
      <c r="J720" s="1">
        <v>45.69</v>
      </c>
      <c r="K720" s="1">
        <f t="shared" si="24"/>
        <v>1430.6772629999998</v>
      </c>
      <c r="L720" s="1">
        <f t="shared" si="25"/>
        <v>1700.5927370000002</v>
      </c>
    </row>
    <row r="721" spans="1:12" x14ac:dyDescent="0.35">
      <c r="A721" s="1">
        <v>1719</v>
      </c>
      <c r="B721" s="2">
        <v>45133</v>
      </c>
      <c r="C721" s="1" t="s">
        <v>14</v>
      </c>
      <c r="D721" s="1" t="s">
        <v>40</v>
      </c>
      <c r="E721" s="1" t="s">
        <v>16</v>
      </c>
      <c r="F721" s="1">
        <v>717.7</v>
      </c>
      <c r="G721" s="1" t="s">
        <v>295</v>
      </c>
      <c r="H721" s="2">
        <v>23369</v>
      </c>
      <c r="I721" s="2">
        <v>45135</v>
      </c>
      <c r="J721" s="1">
        <v>13.77</v>
      </c>
      <c r="K721" s="1">
        <f t="shared" si="24"/>
        <v>98.827290000000005</v>
      </c>
      <c r="L721" s="1">
        <f t="shared" si="25"/>
        <v>618.8727100000001</v>
      </c>
    </row>
    <row r="722" spans="1:12" x14ac:dyDescent="0.35">
      <c r="A722" s="1">
        <v>1720</v>
      </c>
      <c r="B722" s="2">
        <v>44377</v>
      </c>
      <c r="C722" s="1" t="s">
        <v>35</v>
      </c>
      <c r="D722" s="1" t="s">
        <v>11</v>
      </c>
      <c r="E722" s="1" t="s">
        <v>12</v>
      </c>
      <c r="F722" s="1">
        <v>3653.64</v>
      </c>
      <c r="G722" s="1" t="s">
        <v>312</v>
      </c>
      <c r="H722" s="2">
        <v>34765</v>
      </c>
      <c r="I722" s="2">
        <v>44380</v>
      </c>
      <c r="J722" s="1">
        <v>14.62</v>
      </c>
      <c r="K722" s="1">
        <f t="shared" si="24"/>
        <v>534.16216799999995</v>
      </c>
      <c r="L722" s="1">
        <f t="shared" si="25"/>
        <v>3119.477832</v>
      </c>
    </row>
    <row r="723" spans="1:12" x14ac:dyDescent="0.35">
      <c r="A723" s="1">
        <v>1721</v>
      </c>
      <c r="B723" s="2">
        <v>44779</v>
      </c>
      <c r="C723" s="1" t="s">
        <v>21</v>
      </c>
      <c r="D723" s="1" t="s">
        <v>55</v>
      </c>
      <c r="E723" s="1" t="s">
        <v>31</v>
      </c>
      <c r="F723" s="1">
        <v>4120.01</v>
      </c>
      <c r="G723" s="1" t="s">
        <v>283</v>
      </c>
      <c r="H723" s="2">
        <v>30117</v>
      </c>
      <c r="I723" s="2">
        <v>44782</v>
      </c>
      <c r="J723" s="1">
        <v>1.46</v>
      </c>
      <c r="K723" s="1">
        <f t="shared" si="24"/>
        <v>60.152146000000002</v>
      </c>
      <c r="L723" s="1">
        <f t="shared" si="25"/>
        <v>4059.8578540000003</v>
      </c>
    </row>
    <row r="724" spans="1:12" x14ac:dyDescent="0.35">
      <c r="A724" s="1">
        <v>1722</v>
      </c>
      <c r="B724" s="2">
        <v>44813</v>
      </c>
      <c r="C724" s="1" t="s">
        <v>14</v>
      </c>
      <c r="D724" s="1" t="s">
        <v>22</v>
      </c>
      <c r="E724" s="1" t="s">
        <v>19</v>
      </c>
      <c r="F724" s="1">
        <v>1738.91</v>
      </c>
      <c r="G724" s="1" t="s">
        <v>229</v>
      </c>
      <c r="H724" s="2">
        <v>37783</v>
      </c>
      <c r="I724" s="2">
        <v>44820</v>
      </c>
      <c r="J724" s="1">
        <v>3.04</v>
      </c>
      <c r="K724" s="1">
        <f t="shared" si="24"/>
        <v>52.862864000000002</v>
      </c>
      <c r="L724" s="1">
        <f t="shared" si="25"/>
        <v>1686.0471360000001</v>
      </c>
    </row>
    <row r="725" spans="1:12" x14ac:dyDescent="0.35">
      <c r="A725" s="1">
        <v>1723</v>
      </c>
      <c r="B725" s="2">
        <v>45657</v>
      </c>
      <c r="C725" s="1" t="s">
        <v>21</v>
      </c>
      <c r="D725" s="1" t="s">
        <v>36</v>
      </c>
      <c r="E725" s="1" t="s">
        <v>28</v>
      </c>
      <c r="F725" s="1">
        <v>3158.37</v>
      </c>
      <c r="G725" s="1" t="s">
        <v>37</v>
      </c>
      <c r="H725" s="2">
        <v>27534</v>
      </c>
      <c r="I725" s="2">
        <v>45666</v>
      </c>
      <c r="J725" s="1">
        <v>49.54</v>
      </c>
      <c r="K725" s="1">
        <f t="shared" si="24"/>
        <v>1564.6564980000001</v>
      </c>
      <c r="L725" s="1">
        <f t="shared" si="25"/>
        <v>1593.7135019999998</v>
      </c>
    </row>
    <row r="726" spans="1:12" x14ac:dyDescent="0.35">
      <c r="A726" s="1">
        <v>1724</v>
      </c>
      <c r="B726" s="2">
        <v>44535</v>
      </c>
      <c r="C726" s="1" t="s">
        <v>10</v>
      </c>
      <c r="D726" s="1" t="s">
        <v>69</v>
      </c>
      <c r="E726" s="1" t="s">
        <v>31</v>
      </c>
      <c r="F726" s="1">
        <v>3256.95</v>
      </c>
      <c r="G726" s="1" t="s">
        <v>83</v>
      </c>
      <c r="H726" s="2">
        <v>24673</v>
      </c>
      <c r="I726" s="2">
        <v>44546</v>
      </c>
      <c r="J726" s="1">
        <v>10.63</v>
      </c>
      <c r="K726" s="1">
        <f t="shared" si="24"/>
        <v>346.21378499999997</v>
      </c>
      <c r="L726" s="1">
        <f t="shared" si="25"/>
        <v>2910.7362149999999</v>
      </c>
    </row>
    <row r="727" spans="1:12" x14ac:dyDescent="0.35">
      <c r="A727" s="1">
        <v>1725</v>
      </c>
      <c r="B727" s="2">
        <v>44333</v>
      </c>
      <c r="C727" s="1" t="s">
        <v>14</v>
      </c>
      <c r="D727" s="1" t="s">
        <v>47</v>
      </c>
      <c r="E727" s="1" t="s">
        <v>12</v>
      </c>
      <c r="F727" s="1">
        <v>1874.15</v>
      </c>
      <c r="G727" s="1" t="s">
        <v>157</v>
      </c>
      <c r="H727" s="2">
        <v>37189</v>
      </c>
      <c r="I727" s="2">
        <v>44339</v>
      </c>
      <c r="J727" s="1">
        <v>4.95</v>
      </c>
      <c r="K727" s="1">
        <f t="shared" si="24"/>
        <v>92.770425000000003</v>
      </c>
      <c r="L727" s="1">
        <f t="shared" si="25"/>
        <v>1781.3795750000002</v>
      </c>
    </row>
    <row r="728" spans="1:12" x14ac:dyDescent="0.35">
      <c r="A728" s="1">
        <v>1726</v>
      </c>
      <c r="B728" s="2">
        <v>45492</v>
      </c>
      <c r="C728" s="1" t="s">
        <v>10</v>
      </c>
      <c r="D728" s="1" t="s">
        <v>58</v>
      </c>
      <c r="E728" s="1" t="s">
        <v>31</v>
      </c>
      <c r="F728" s="1">
        <v>154.96</v>
      </c>
      <c r="G728" s="1" t="s">
        <v>13</v>
      </c>
      <c r="H728" s="2">
        <v>24348</v>
      </c>
      <c r="I728" s="2">
        <v>45495</v>
      </c>
      <c r="J728" s="1">
        <v>21.2</v>
      </c>
      <c r="K728" s="1">
        <f t="shared" si="24"/>
        <v>32.851520000000001</v>
      </c>
      <c r="L728" s="1">
        <f t="shared" si="25"/>
        <v>122.10848000000001</v>
      </c>
    </row>
    <row r="729" spans="1:12" x14ac:dyDescent="0.35">
      <c r="A729" s="1">
        <v>1727</v>
      </c>
      <c r="B729" s="2">
        <v>45086</v>
      </c>
      <c r="C729" s="1" t="s">
        <v>14</v>
      </c>
      <c r="D729" s="1" t="s">
        <v>18</v>
      </c>
      <c r="E729" s="1" t="s">
        <v>19</v>
      </c>
      <c r="F729" s="1">
        <v>3947.62</v>
      </c>
      <c r="G729" s="1" t="s">
        <v>150</v>
      </c>
      <c r="H729" s="2">
        <v>31231</v>
      </c>
      <c r="I729" s="2">
        <v>45090</v>
      </c>
      <c r="J729" s="1">
        <v>19.93</v>
      </c>
      <c r="K729" s="1">
        <f t="shared" si="24"/>
        <v>786.76066600000001</v>
      </c>
      <c r="L729" s="1">
        <f t="shared" si="25"/>
        <v>3160.8593339999998</v>
      </c>
    </row>
    <row r="730" spans="1:12" x14ac:dyDescent="0.35">
      <c r="A730" s="1">
        <v>1728</v>
      </c>
      <c r="B730" s="2">
        <v>44521</v>
      </c>
      <c r="C730" s="1" t="s">
        <v>35</v>
      </c>
      <c r="D730" s="1" t="s">
        <v>18</v>
      </c>
      <c r="E730" s="1" t="s">
        <v>19</v>
      </c>
      <c r="F730" s="1">
        <v>1193.6600000000001</v>
      </c>
      <c r="G730" s="1" t="s">
        <v>60</v>
      </c>
      <c r="H730" s="2">
        <v>33482</v>
      </c>
      <c r="I730" s="2">
        <v>44530</v>
      </c>
      <c r="J730" s="1">
        <v>37.83</v>
      </c>
      <c r="K730" s="1">
        <f t="shared" si="24"/>
        <v>451.561578</v>
      </c>
      <c r="L730" s="1">
        <f t="shared" si="25"/>
        <v>742.09842200000003</v>
      </c>
    </row>
    <row r="731" spans="1:12" x14ac:dyDescent="0.35">
      <c r="A731" s="1">
        <v>1729</v>
      </c>
      <c r="B731" s="2">
        <v>45680</v>
      </c>
      <c r="C731" s="1" t="s">
        <v>21</v>
      </c>
      <c r="D731" s="1" t="s">
        <v>73</v>
      </c>
      <c r="E731" s="1" t="s">
        <v>28</v>
      </c>
      <c r="F731" s="1">
        <v>1844.63</v>
      </c>
      <c r="G731" s="1" t="s">
        <v>201</v>
      </c>
      <c r="H731" s="2">
        <v>23469</v>
      </c>
      <c r="I731" s="2">
        <v>45688</v>
      </c>
      <c r="J731" s="1">
        <v>42.25</v>
      </c>
      <c r="K731" s="1">
        <f t="shared" si="24"/>
        <v>779.35617500000001</v>
      </c>
      <c r="L731" s="1">
        <f t="shared" si="25"/>
        <v>1065.2738250000002</v>
      </c>
    </row>
    <row r="732" spans="1:12" x14ac:dyDescent="0.35">
      <c r="A732" s="1">
        <v>1730</v>
      </c>
      <c r="B732" s="2">
        <v>45873</v>
      </c>
      <c r="C732" s="1" t="s">
        <v>35</v>
      </c>
      <c r="D732" s="1" t="s">
        <v>36</v>
      </c>
      <c r="E732" s="1" t="s">
        <v>28</v>
      </c>
      <c r="F732" s="1">
        <v>4539.5600000000004</v>
      </c>
      <c r="G732" s="1" t="s">
        <v>42</v>
      </c>
      <c r="H732" s="2">
        <v>26027</v>
      </c>
      <c r="I732" s="2">
        <v>45879</v>
      </c>
      <c r="J732" s="1">
        <v>44.93</v>
      </c>
      <c r="K732" s="1">
        <f t="shared" si="24"/>
        <v>2039.6243080000002</v>
      </c>
      <c r="L732" s="1">
        <f t="shared" si="25"/>
        <v>2499.935692</v>
      </c>
    </row>
    <row r="733" spans="1:12" x14ac:dyDescent="0.35">
      <c r="A733" s="1">
        <v>1731</v>
      </c>
      <c r="B733" s="2">
        <v>45007</v>
      </c>
      <c r="C733" s="1" t="s">
        <v>14</v>
      </c>
      <c r="D733" s="1" t="s">
        <v>55</v>
      </c>
      <c r="E733" s="1" t="s">
        <v>31</v>
      </c>
      <c r="F733" s="1">
        <v>2167.87</v>
      </c>
      <c r="G733" s="1" t="s">
        <v>168</v>
      </c>
      <c r="H733" s="2">
        <v>37674</v>
      </c>
      <c r="I733" s="2">
        <v>45013</v>
      </c>
      <c r="J733" s="1">
        <v>43.08</v>
      </c>
      <c r="K733" s="1">
        <f t="shared" si="24"/>
        <v>933.91839599999992</v>
      </c>
      <c r="L733" s="1">
        <f t="shared" si="25"/>
        <v>1233.9516039999999</v>
      </c>
    </row>
    <row r="734" spans="1:12" x14ac:dyDescent="0.35">
      <c r="A734" s="1">
        <v>1732</v>
      </c>
      <c r="B734" s="2">
        <v>45568</v>
      </c>
      <c r="C734" s="1" t="s">
        <v>26</v>
      </c>
      <c r="D734" s="1" t="s">
        <v>44</v>
      </c>
      <c r="E734" s="1" t="s">
        <v>16</v>
      </c>
      <c r="F734" s="1">
        <v>4749.59</v>
      </c>
      <c r="G734" s="1" t="s">
        <v>236</v>
      </c>
      <c r="H734" s="2">
        <v>36099</v>
      </c>
      <c r="I734" s="2">
        <v>45579</v>
      </c>
      <c r="J734" s="1">
        <v>25.38</v>
      </c>
      <c r="K734" s="1">
        <f t="shared" si="24"/>
        <v>1205.4459419999998</v>
      </c>
      <c r="L734" s="1">
        <f t="shared" si="25"/>
        <v>3544.1440580000003</v>
      </c>
    </row>
    <row r="735" spans="1:12" x14ac:dyDescent="0.35">
      <c r="A735" s="1">
        <v>1733</v>
      </c>
      <c r="B735" s="2">
        <v>44153</v>
      </c>
      <c r="C735" s="1" t="s">
        <v>26</v>
      </c>
      <c r="D735" s="1" t="s">
        <v>44</v>
      </c>
      <c r="E735" s="1" t="s">
        <v>16</v>
      </c>
      <c r="F735" s="1">
        <v>2900.73</v>
      </c>
      <c r="G735" s="1" t="s">
        <v>313</v>
      </c>
      <c r="H735" s="2">
        <v>23039</v>
      </c>
      <c r="I735" s="2">
        <v>44165</v>
      </c>
      <c r="J735" s="1">
        <v>29.58</v>
      </c>
      <c r="K735" s="1">
        <f t="shared" si="24"/>
        <v>858.035934</v>
      </c>
      <c r="L735" s="1">
        <f t="shared" si="25"/>
        <v>2042.694066</v>
      </c>
    </row>
    <row r="736" spans="1:12" x14ac:dyDescent="0.35">
      <c r="A736" s="1">
        <v>1734</v>
      </c>
      <c r="B736" s="2">
        <v>45350</v>
      </c>
      <c r="C736" s="1" t="s">
        <v>14</v>
      </c>
      <c r="D736" s="1" t="s">
        <v>58</v>
      </c>
      <c r="E736" s="1" t="s">
        <v>31</v>
      </c>
      <c r="F736" s="1">
        <v>4400.9399999999996</v>
      </c>
      <c r="G736" s="1" t="s">
        <v>275</v>
      </c>
      <c r="H736" s="2">
        <v>38510</v>
      </c>
      <c r="I736" s="2">
        <v>45359</v>
      </c>
      <c r="J736" s="1">
        <v>45.6</v>
      </c>
      <c r="K736" s="1">
        <f t="shared" si="24"/>
        <v>2006.82864</v>
      </c>
      <c r="L736" s="1">
        <f t="shared" si="25"/>
        <v>2394.1113599999999</v>
      </c>
    </row>
    <row r="737" spans="1:12" x14ac:dyDescent="0.35">
      <c r="A737" s="1">
        <v>1735</v>
      </c>
      <c r="B737" s="2">
        <v>44139</v>
      </c>
      <c r="C737" s="1" t="s">
        <v>10</v>
      </c>
      <c r="D737" s="1" t="s">
        <v>15</v>
      </c>
      <c r="E737" s="1" t="s">
        <v>16</v>
      </c>
      <c r="F737" s="1">
        <v>4781.58</v>
      </c>
      <c r="G737" s="1" t="s">
        <v>138</v>
      </c>
      <c r="H737" s="2">
        <v>25948</v>
      </c>
      <c r="I737" s="2">
        <v>44145</v>
      </c>
      <c r="J737" s="1">
        <v>23.78</v>
      </c>
      <c r="K737" s="1">
        <f t="shared" si="24"/>
        <v>1137.059724</v>
      </c>
      <c r="L737" s="1">
        <f t="shared" si="25"/>
        <v>3644.5202760000002</v>
      </c>
    </row>
    <row r="738" spans="1:12" x14ac:dyDescent="0.35">
      <c r="A738" s="1">
        <v>1736</v>
      </c>
      <c r="B738" s="2">
        <v>45336</v>
      </c>
      <c r="C738" s="1" t="s">
        <v>14</v>
      </c>
      <c r="D738" s="1" t="s">
        <v>22</v>
      </c>
      <c r="E738" s="1" t="s">
        <v>19</v>
      </c>
      <c r="F738" s="1">
        <v>4708.16</v>
      </c>
      <c r="G738" s="1" t="s">
        <v>249</v>
      </c>
      <c r="H738" s="2">
        <v>28555</v>
      </c>
      <c r="I738" s="2">
        <v>45347</v>
      </c>
      <c r="J738" s="1">
        <v>20.18</v>
      </c>
      <c r="K738" s="1">
        <f t="shared" si="24"/>
        <v>950.10668799999996</v>
      </c>
      <c r="L738" s="1">
        <f t="shared" si="25"/>
        <v>3758.053312</v>
      </c>
    </row>
    <row r="739" spans="1:12" x14ac:dyDescent="0.35">
      <c r="A739" s="1">
        <v>1737</v>
      </c>
      <c r="B739" s="2">
        <v>44907</v>
      </c>
      <c r="C739" s="1" t="s">
        <v>14</v>
      </c>
      <c r="D739" s="1" t="s">
        <v>44</v>
      </c>
      <c r="E739" s="1" t="s">
        <v>16</v>
      </c>
      <c r="F739" s="1">
        <v>3127.56</v>
      </c>
      <c r="G739" s="1" t="s">
        <v>193</v>
      </c>
      <c r="H739" s="2">
        <v>26082</v>
      </c>
      <c r="I739" s="2">
        <v>44920</v>
      </c>
      <c r="J739" s="1">
        <v>11.71</v>
      </c>
      <c r="K739" s="1">
        <f t="shared" si="24"/>
        <v>366.23727600000001</v>
      </c>
      <c r="L739" s="1">
        <f t="shared" si="25"/>
        <v>2761.3227240000001</v>
      </c>
    </row>
    <row r="740" spans="1:12" x14ac:dyDescent="0.35">
      <c r="A740" s="1">
        <v>1738</v>
      </c>
      <c r="B740" s="2">
        <v>45705</v>
      </c>
      <c r="C740" s="1" t="s">
        <v>14</v>
      </c>
      <c r="D740" s="1" t="s">
        <v>24</v>
      </c>
      <c r="E740" s="1" t="s">
        <v>19</v>
      </c>
      <c r="F740" s="1">
        <v>1103.3499999999999</v>
      </c>
      <c r="G740" s="1" t="s">
        <v>105</v>
      </c>
      <c r="H740" s="2">
        <v>35889</v>
      </c>
      <c r="I740" s="2">
        <v>45716</v>
      </c>
      <c r="J740" s="1">
        <v>37.68</v>
      </c>
      <c r="K740" s="1">
        <f t="shared" si="24"/>
        <v>415.74227999999999</v>
      </c>
      <c r="L740" s="1">
        <f t="shared" si="25"/>
        <v>687.60771999999997</v>
      </c>
    </row>
    <row r="741" spans="1:12" x14ac:dyDescent="0.35">
      <c r="A741" s="1">
        <v>1739</v>
      </c>
      <c r="B741" s="2">
        <v>45610</v>
      </c>
      <c r="C741" s="1" t="s">
        <v>35</v>
      </c>
      <c r="D741" s="1" t="s">
        <v>71</v>
      </c>
      <c r="E741" s="1" t="s">
        <v>31</v>
      </c>
      <c r="F741" s="1">
        <v>4516.29</v>
      </c>
      <c r="G741" s="1" t="s">
        <v>54</v>
      </c>
      <c r="H741" s="2">
        <v>31082</v>
      </c>
      <c r="I741" s="2">
        <v>45613</v>
      </c>
      <c r="J741" s="1">
        <v>25.53</v>
      </c>
      <c r="K741" s="1">
        <f t="shared" si="24"/>
        <v>1153.0088370000001</v>
      </c>
      <c r="L741" s="1">
        <f t="shared" si="25"/>
        <v>3363.2811629999997</v>
      </c>
    </row>
    <row r="742" spans="1:12" x14ac:dyDescent="0.35">
      <c r="A742" s="1">
        <v>1740</v>
      </c>
      <c r="B742" s="2">
        <v>45856</v>
      </c>
      <c r="C742" s="1" t="s">
        <v>10</v>
      </c>
      <c r="D742" s="1" t="s">
        <v>18</v>
      </c>
      <c r="E742" s="1" t="s">
        <v>19</v>
      </c>
      <c r="F742" s="1">
        <v>2521.89</v>
      </c>
      <c r="G742" s="1" t="s">
        <v>279</v>
      </c>
      <c r="H742" s="2">
        <v>38934</v>
      </c>
      <c r="I742" s="2">
        <v>45864</v>
      </c>
      <c r="J742" s="1">
        <v>18.59</v>
      </c>
      <c r="K742" s="1">
        <f t="shared" si="24"/>
        <v>468.81935099999998</v>
      </c>
      <c r="L742" s="1">
        <f t="shared" si="25"/>
        <v>2053.0706489999998</v>
      </c>
    </row>
    <row r="743" spans="1:12" x14ac:dyDescent="0.35">
      <c r="A743" s="1">
        <v>1741</v>
      </c>
      <c r="B743" s="2">
        <v>44786</v>
      </c>
      <c r="C743" s="1" t="s">
        <v>10</v>
      </c>
      <c r="D743" s="1" t="s">
        <v>40</v>
      </c>
      <c r="E743" s="1" t="s">
        <v>16</v>
      </c>
      <c r="F743" s="1">
        <v>507.92</v>
      </c>
      <c r="G743" s="1" t="s">
        <v>173</v>
      </c>
      <c r="H743" s="2">
        <v>22016</v>
      </c>
      <c r="I743" s="2">
        <v>44790</v>
      </c>
      <c r="J743" s="1">
        <v>15.96</v>
      </c>
      <c r="K743" s="1">
        <f t="shared" si="24"/>
        <v>81.064032000000012</v>
      </c>
      <c r="L743" s="1">
        <f t="shared" si="25"/>
        <v>426.85596800000002</v>
      </c>
    </row>
    <row r="744" spans="1:12" x14ac:dyDescent="0.35">
      <c r="A744" s="1">
        <v>1742</v>
      </c>
      <c r="B744" s="2">
        <v>45859</v>
      </c>
      <c r="C744" s="1" t="s">
        <v>26</v>
      </c>
      <c r="D744" s="1" t="s">
        <v>47</v>
      </c>
      <c r="E744" s="1" t="s">
        <v>12</v>
      </c>
      <c r="F744" s="1">
        <v>3946.68</v>
      </c>
      <c r="G744" s="1" t="s">
        <v>187</v>
      </c>
      <c r="H744" s="2">
        <v>30778</v>
      </c>
      <c r="I744" s="2">
        <v>45865</v>
      </c>
      <c r="J744" s="1">
        <v>40.43</v>
      </c>
      <c r="K744" s="1">
        <f t="shared" si="24"/>
        <v>1595.6427239999998</v>
      </c>
      <c r="L744" s="1">
        <f t="shared" si="25"/>
        <v>2351.037276</v>
      </c>
    </row>
    <row r="745" spans="1:12" x14ac:dyDescent="0.35">
      <c r="A745" s="1">
        <v>1743</v>
      </c>
      <c r="B745" s="2">
        <v>44234</v>
      </c>
      <c r="C745" s="1" t="s">
        <v>26</v>
      </c>
      <c r="D745" s="1" t="s">
        <v>24</v>
      </c>
      <c r="E745" s="1" t="s">
        <v>19</v>
      </c>
      <c r="F745" s="1">
        <v>2930.76</v>
      </c>
      <c r="G745" s="1" t="s">
        <v>263</v>
      </c>
      <c r="H745" s="2">
        <v>35629</v>
      </c>
      <c r="I745" s="2">
        <v>44247</v>
      </c>
      <c r="J745" s="1">
        <v>29.79</v>
      </c>
      <c r="K745" s="1">
        <f t="shared" si="24"/>
        <v>873.0734040000001</v>
      </c>
      <c r="L745" s="1">
        <f t="shared" si="25"/>
        <v>2057.686596</v>
      </c>
    </row>
    <row r="746" spans="1:12" x14ac:dyDescent="0.35">
      <c r="A746" s="1">
        <v>1744</v>
      </c>
      <c r="B746" s="2">
        <v>45828</v>
      </c>
      <c r="C746" s="1" t="s">
        <v>14</v>
      </c>
      <c r="D746" s="1" t="s">
        <v>69</v>
      </c>
      <c r="E746" s="1" t="s">
        <v>12</v>
      </c>
      <c r="F746" s="1">
        <v>774.89</v>
      </c>
      <c r="G746" s="1" t="s">
        <v>266</v>
      </c>
      <c r="H746" s="2">
        <v>32604</v>
      </c>
      <c r="I746" s="2">
        <v>45838</v>
      </c>
      <c r="J746" s="1">
        <v>26.39</v>
      </c>
      <c r="K746" s="1">
        <f t="shared" si="24"/>
        <v>204.49347100000003</v>
      </c>
      <c r="L746" s="1">
        <f t="shared" si="25"/>
        <v>570.39652899999999</v>
      </c>
    </row>
    <row r="747" spans="1:12" x14ac:dyDescent="0.35">
      <c r="A747" s="1">
        <v>1745</v>
      </c>
      <c r="B747" s="2">
        <v>45477</v>
      </c>
      <c r="C747" s="1" t="s">
        <v>10</v>
      </c>
      <c r="D747" s="1" t="s">
        <v>61</v>
      </c>
      <c r="E747" s="1" t="s">
        <v>19</v>
      </c>
      <c r="F747" s="1">
        <v>1967.8</v>
      </c>
      <c r="G747" s="1" t="s">
        <v>314</v>
      </c>
      <c r="H747" s="2">
        <v>31569</v>
      </c>
      <c r="I747" s="2">
        <v>45486</v>
      </c>
      <c r="J747" s="1">
        <v>32.020000000000003</v>
      </c>
      <c r="K747" s="1">
        <f t="shared" si="24"/>
        <v>630.08956000000012</v>
      </c>
      <c r="L747" s="1">
        <f t="shared" si="25"/>
        <v>1337.7104399999998</v>
      </c>
    </row>
    <row r="748" spans="1:12" x14ac:dyDescent="0.35">
      <c r="A748" s="1">
        <v>1746</v>
      </c>
      <c r="B748" s="2">
        <v>45711</v>
      </c>
      <c r="C748" s="1" t="s">
        <v>21</v>
      </c>
      <c r="D748" s="1" t="s">
        <v>49</v>
      </c>
      <c r="E748" s="1" t="s">
        <v>12</v>
      </c>
      <c r="F748" s="1">
        <v>653.76</v>
      </c>
      <c r="G748" s="1" t="s">
        <v>311</v>
      </c>
      <c r="H748" s="2">
        <v>29242</v>
      </c>
      <c r="I748" s="2">
        <v>45716</v>
      </c>
      <c r="J748" s="1">
        <v>27.02</v>
      </c>
      <c r="K748" s="1">
        <f t="shared" si="24"/>
        <v>176.64595199999999</v>
      </c>
      <c r="L748" s="1">
        <f t="shared" si="25"/>
        <v>477.11404800000003</v>
      </c>
    </row>
    <row r="749" spans="1:12" x14ac:dyDescent="0.35">
      <c r="A749" s="1">
        <v>1747</v>
      </c>
      <c r="B749" s="2">
        <v>45233</v>
      </c>
      <c r="C749" s="1" t="s">
        <v>21</v>
      </c>
      <c r="D749" s="1" t="s">
        <v>22</v>
      </c>
      <c r="E749" s="1" t="s">
        <v>19</v>
      </c>
      <c r="F749" s="1">
        <v>1925.73</v>
      </c>
      <c r="G749" s="1" t="s">
        <v>179</v>
      </c>
      <c r="H749" s="2">
        <v>30356</v>
      </c>
      <c r="I749" s="2">
        <v>45239</v>
      </c>
      <c r="J749" s="1">
        <v>21.89</v>
      </c>
      <c r="K749" s="1">
        <f t="shared" si="24"/>
        <v>421.54229700000002</v>
      </c>
      <c r="L749" s="1">
        <f t="shared" si="25"/>
        <v>1504.1877030000001</v>
      </c>
    </row>
    <row r="750" spans="1:12" x14ac:dyDescent="0.35">
      <c r="A750" s="1">
        <v>1748</v>
      </c>
      <c r="B750" s="2">
        <v>45877</v>
      </c>
      <c r="C750" s="1" t="s">
        <v>26</v>
      </c>
      <c r="D750" s="1" t="s">
        <v>65</v>
      </c>
      <c r="E750" s="1" t="s">
        <v>19</v>
      </c>
      <c r="F750" s="1">
        <v>4083.89</v>
      </c>
      <c r="G750" s="1" t="s">
        <v>315</v>
      </c>
      <c r="H750" s="2">
        <v>32330</v>
      </c>
      <c r="I750" s="2">
        <v>45879</v>
      </c>
      <c r="J750" s="1">
        <v>38.56</v>
      </c>
      <c r="K750" s="1">
        <f t="shared" si="24"/>
        <v>1574.7479839999999</v>
      </c>
      <c r="L750" s="1">
        <f t="shared" si="25"/>
        <v>2509.1420159999998</v>
      </c>
    </row>
    <row r="751" spans="1:12" x14ac:dyDescent="0.35">
      <c r="A751" s="1">
        <v>1749</v>
      </c>
      <c r="B751" s="2">
        <v>45202</v>
      </c>
      <c r="C751" s="1" t="s">
        <v>26</v>
      </c>
      <c r="D751" s="1" t="s">
        <v>58</v>
      </c>
      <c r="E751" s="1" t="s">
        <v>31</v>
      </c>
      <c r="F751" s="1">
        <v>3999.39</v>
      </c>
      <c r="G751" s="1" t="s">
        <v>276</v>
      </c>
      <c r="H751" s="2">
        <v>33394</v>
      </c>
      <c r="I751" s="2">
        <v>45207</v>
      </c>
      <c r="J751" s="1">
        <v>48.78</v>
      </c>
      <c r="K751" s="1">
        <f t="shared" si="24"/>
        <v>1950.9024420000001</v>
      </c>
      <c r="L751" s="1">
        <f t="shared" si="25"/>
        <v>2048.4875579999998</v>
      </c>
    </row>
    <row r="752" spans="1:12" x14ac:dyDescent="0.35">
      <c r="A752" s="1">
        <v>1750</v>
      </c>
      <c r="B752" s="2">
        <v>44989</v>
      </c>
      <c r="C752" s="1" t="s">
        <v>21</v>
      </c>
      <c r="D752" s="1" t="s">
        <v>53</v>
      </c>
      <c r="E752" s="1" t="s">
        <v>28</v>
      </c>
      <c r="F752" s="1">
        <v>1126.92</v>
      </c>
      <c r="G752" s="1" t="s">
        <v>166</v>
      </c>
      <c r="H752" s="2">
        <v>27879</v>
      </c>
      <c r="I752" s="2">
        <v>44990</v>
      </c>
      <c r="J752" s="1">
        <v>7.35</v>
      </c>
      <c r="K752" s="1">
        <f t="shared" si="24"/>
        <v>82.828620000000001</v>
      </c>
      <c r="L752" s="1">
        <f t="shared" si="25"/>
        <v>1044.0913800000001</v>
      </c>
    </row>
    <row r="753" spans="1:12" x14ac:dyDescent="0.35">
      <c r="A753" s="1">
        <v>1751</v>
      </c>
      <c r="B753" s="2">
        <v>44450</v>
      </c>
      <c r="C753" s="1" t="s">
        <v>10</v>
      </c>
      <c r="D753" s="1" t="s">
        <v>18</v>
      </c>
      <c r="E753" s="1" t="s">
        <v>19</v>
      </c>
      <c r="F753" s="1">
        <v>2959.72</v>
      </c>
      <c r="G753" s="1" t="s">
        <v>316</v>
      </c>
      <c r="H753" s="2">
        <v>36087</v>
      </c>
      <c r="I753" s="2">
        <v>44453</v>
      </c>
      <c r="J753" s="1">
        <v>13.94</v>
      </c>
      <c r="K753" s="1">
        <f t="shared" si="24"/>
        <v>412.58496799999995</v>
      </c>
      <c r="L753" s="1">
        <f t="shared" si="25"/>
        <v>2547.1350319999997</v>
      </c>
    </row>
    <row r="754" spans="1:12" x14ac:dyDescent="0.35">
      <c r="A754" s="1">
        <v>1752</v>
      </c>
      <c r="B754" s="2">
        <v>44174</v>
      </c>
      <c r="C754" s="1" t="s">
        <v>10</v>
      </c>
      <c r="D754" s="1" t="s">
        <v>58</v>
      </c>
      <c r="E754" s="1" t="s">
        <v>31</v>
      </c>
      <c r="F754" s="1">
        <v>3761.77</v>
      </c>
      <c r="G754" s="1" t="s">
        <v>195</v>
      </c>
      <c r="H754" s="2">
        <v>28065</v>
      </c>
      <c r="I754" s="2">
        <v>44188</v>
      </c>
      <c r="J754" s="1">
        <v>24.9</v>
      </c>
      <c r="K754" s="1">
        <f t="shared" si="24"/>
        <v>936.68073000000004</v>
      </c>
      <c r="L754" s="1">
        <f t="shared" si="25"/>
        <v>2825.0892699999999</v>
      </c>
    </row>
    <row r="755" spans="1:12" x14ac:dyDescent="0.35">
      <c r="A755" s="1">
        <v>1753</v>
      </c>
      <c r="B755" s="2">
        <v>44883</v>
      </c>
      <c r="C755" s="1" t="s">
        <v>21</v>
      </c>
      <c r="D755" s="1" t="s">
        <v>69</v>
      </c>
      <c r="E755" s="1" t="s">
        <v>31</v>
      </c>
      <c r="F755" s="1">
        <v>4614.51</v>
      </c>
      <c r="G755" s="1" t="s">
        <v>171</v>
      </c>
      <c r="H755" s="2">
        <v>31261</v>
      </c>
      <c r="I755" s="2">
        <v>44896</v>
      </c>
      <c r="J755" s="1">
        <v>34.75</v>
      </c>
      <c r="K755" s="1">
        <f t="shared" si="24"/>
        <v>1603.5422249999999</v>
      </c>
      <c r="L755" s="1">
        <f t="shared" si="25"/>
        <v>3010.9677750000001</v>
      </c>
    </row>
    <row r="756" spans="1:12" x14ac:dyDescent="0.35">
      <c r="A756" s="1">
        <v>1754</v>
      </c>
      <c r="B756" s="2">
        <v>45139</v>
      </c>
      <c r="C756" s="1" t="s">
        <v>14</v>
      </c>
      <c r="D756" s="1" t="s">
        <v>40</v>
      </c>
      <c r="E756" s="1" t="s">
        <v>16</v>
      </c>
      <c r="F756" s="1">
        <v>3877.12</v>
      </c>
      <c r="G756" s="1" t="s">
        <v>317</v>
      </c>
      <c r="H756" s="2">
        <v>32196</v>
      </c>
      <c r="I756" s="2">
        <v>45145</v>
      </c>
      <c r="J756" s="1">
        <v>34.380000000000003</v>
      </c>
      <c r="K756" s="1">
        <f t="shared" si="24"/>
        <v>1332.9538560000001</v>
      </c>
      <c r="L756" s="1">
        <f t="shared" si="25"/>
        <v>2544.1661439999998</v>
      </c>
    </row>
    <row r="757" spans="1:12" x14ac:dyDescent="0.35">
      <c r="A757" s="1">
        <v>1755</v>
      </c>
      <c r="B757" s="2">
        <v>45562</v>
      </c>
      <c r="C757" s="1" t="s">
        <v>14</v>
      </c>
      <c r="D757" s="1" t="s">
        <v>69</v>
      </c>
      <c r="E757" s="1" t="s">
        <v>12</v>
      </c>
      <c r="F757" s="1">
        <v>3026.11</v>
      </c>
      <c r="G757" s="1" t="s">
        <v>318</v>
      </c>
      <c r="H757" s="2">
        <v>29040</v>
      </c>
      <c r="I757" s="2">
        <v>45567</v>
      </c>
      <c r="J757" s="1">
        <v>16.989999999999998</v>
      </c>
      <c r="K757" s="1">
        <f t="shared" si="24"/>
        <v>514.13608899999997</v>
      </c>
      <c r="L757" s="1">
        <f t="shared" si="25"/>
        <v>2511.973911</v>
      </c>
    </row>
    <row r="758" spans="1:12" x14ac:dyDescent="0.35">
      <c r="A758" s="1">
        <v>1756</v>
      </c>
      <c r="B758" s="2">
        <v>44801</v>
      </c>
      <c r="C758" s="1" t="s">
        <v>21</v>
      </c>
      <c r="D758" s="1" t="s">
        <v>53</v>
      </c>
      <c r="E758" s="1" t="s">
        <v>28</v>
      </c>
      <c r="F758" s="1">
        <v>3805.23</v>
      </c>
      <c r="G758" s="1" t="s">
        <v>319</v>
      </c>
      <c r="H758" s="2">
        <v>36068</v>
      </c>
      <c r="I758" s="2">
        <v>44803</v>
      </c>
      <c r="J758" s="1">
        <v>27.67</v>
      </c>
      <c r="K758" s="1">
        <f t="shared" si="24"/>
        <v>1052.9071409999999</v>
      </c>
      <c r="L758" s="1">
        <f t="shared" si="25"/>
        <v>2752.3228589999999</v>
      </c>
    </row>
    <row r="759" spans="1:12" x14ac:dyDescent="0.35">
      <c r="A759" s="1">
        <v>1757</v>
      </c>
      <c r="B759" s="2">
        <v>45771</v>
      </c>
      <c r="C759" s="1" t="s">
        <v>26</v>
      </c>
      <c r="D759" s="1" t="s">
        <v>47</v>
      </c>
      <c r="E759" s="1" t="s">
        <v>12</v>
      </c>
      <c r="F759" s="1">
        <v>2560.04</v>
      </c>
      <c r="G759" s="1" t="s">
        <v>182</v>
      </c>
      <c r="H759" s="2">
        <v>24719</v>
      </c>
      <c r="I759" s="2">
        <v>45784</v>
      </c>
      <c r="J759" s="1">
        <v>41.04</v>
      </c>
      <c r="K759" s="1">
        <f t="shared" si="24"/>
        <v>1050.640416</v>
      </c>
      <c r="L759" s="1">
        <f t="shared" si="25"/>
        <v>1509.399584</v>
      </c>
    </row>
    <row r="760" spans="1:12" x14ac:dyDescent="0.35">
      <c r="A760" s="1">
        <v>1758</v>
      </c>
      <c r="B760" s="2">
        <v>44125</v>
      </c>
      <c r="C760" s="1" t="s">
        <v>14</v>
      </c>
      <c r="D760" s="1" t="s">
        <v>55</v>
      </c>
      <c r="E760" s="1" t="s">
        <v>31</v>
      </c>
      <c r="F760" s="1">
        <v>4390.6899999999996</v>
      </c>
      <c r="G760" s="1" t="s">
        <v>197</v>
      </c>
      <c r="H760" s="2">
        <v>26001</v>
      </c>
      <c r="I760" s="2">
        <v>44131</v>
      </c>
      <c r="J760" s="1">
        <v>2.13</v>
      </c>
      <c r="K760" s="1">
        <f t="shared" si="24"/>
        <v>93.521696999999989</v>
      </c>
      <c r="L760" s="1">
        <f t="shared" si="25"/>
        <v>4297.1683029999995</v>
      </c>
    </row>
    <row r="761" spans="1:12" x14ac:dyDescent="0.35">
      <c r="A761" s="1">
        <v>1759</v>
      </c>
      <c r="B761" s="2">
        <v>44527</v>
      </c>
      <c r="C761" s="1" t="s">
        <v>21</v>
      </c>
      <c r="D761" s="1" t="s">
        <v>49</v>
      </c>
      <c r="E761" s="1" t="s">
        <v>12</v>
      </c>
      <c r="F761" s="1">
        <v>2663.45</v>
      </c>
      <c r="G761" s="1" t="s">
        <v>29</v>
      </c>
      <c r="H761" s="2">
        <v>24033</v>
      </c>
      <c r="I761" s="2">
        <v>44539</v>
      </c>
      <c r="J761" s="1">
        <v>22.44</v>
      </c>
      <c r="K761" s="1">
        <f t="shared" si="24"/>
        <v>597.67818</v>
      </c>
      <c r="L761" s="1">
        <f t="shared" si="25"/>
        <v>2065.7718199999999</v>
      </c>
    </row>
    <row r="762" spans="1:12" x14ac:dyDescent="0.35">
      <c r="A762" s="1">
        <v>1760</v>
      </c>
      <c r="B762" s="2">
        <v>45011</v>
      </c>
      <c r="C762" s="1" t="s">
        <v>10</v>
      </c>
      <c r="D762" s="1" t="s">
        <v>47</v>
      </c>
      <c r="E762" s="1" t="s">
        <v>12</v>
      </c>
      <c r="F762" s="1">
        <v>4430.37</v>
      </c>
      <c r="G762" s="1" t="s">
        <v>42</v>
      </c>
      <c r="H762" s="2">
        <v>26027</v>
      </c>
      <c r="I762" s="2">
        <v>45025</v>
      </c>
      <c r="J762" s="1">
        <v>32.93</v>
      </c>
      <c r="K762" s="1">
        <f t="shared" si="24"/>
        <v>1458.9208409999999</v>
      </c>
      <c r="L762" s="1">
        <f t="shared" si="25"/>
        <v>2971.4491589999998</v>
      </c>
    </row>
    <row r="763" spans="1:12" x14ac:dyDescent="0.35">
      <c r="A763" s="1">
        <v>1761</v>
      </c>
      <c r="B763" s="2">
        <v>44245</v>
      </c>
      <c r="C763" s="1" t="s">
        <v>21</v>
      </c>
      <c r="D763" s="1" t="s">
        <v>15</v>
      </c>
      <c r="E763" s="1" t="s">
        <v>16</v>
      </c>
      <c r="F763" s="1">
        <v>2568.0700000000002</v>
      </c>
      <c r="G763" s="1" t="s">
        <v>262</v>
      </c>
      <c r="H763" s="2">
        <v>36590</v>
      </c>
      <c r="I763" s="2">
        <v>44254</v>
      </c>
      <c r="J763" s="1">
        <v>20.55</v>
      </c>
      <c r="K763" s="1">
        <f t="shared" si="24"/>
        <v>527.73838500000011</v>
      </c>
      <c r="L763" s="1">
        <f t="shared" si="25"/>
        <v>2040.3316150000001</v>
      </c>
    </row>
    <row r="764" spans="1:12" x14ac:dyDescent="0.35">
      <c r="A764" s="1">
        <v>1762</v>
      </c>
      <c r="B764" s="2">
        <v>44655</v>
      </c>
      <c r="C764" s="1" t="s">
        <v>14</v>
      </c>
      <c r="D764" s="1" t="s">
        <v>44</v>
      </c>
      <c r="E764" s="1" t="s">
        <v>16</v>
      </c>
      <c r="F764" s="1">
        <v>429.92</v>
      </c>
      <c r="G764" s="1" t="s">
        <v>264</v>
      </c>
      <c r="H764" s="2">
        <v>30232</v>
      </c>
      <c r="I764" s="2">
        <v>44668</v>
      </c>
      <c r="J764" s="1">
        <v>5.82</v>
      </c>
      <c r="K764" s="1">
        <f t="shared" si="24"/>
        <v>25.021344000000003</v>
      </c>
      <c r="L764" s="1">
        <f t="shared" si="25"/>
        <v>404.89865600000002</v>
      </c>
    </row>
    <row r="765" spans="1:12" x14ac:dyDescent="0.35">
      <c r="A765" s="1">
        <v>1763</v>
      </c>
      <c r="B765" s="2">
        <v>44063</v>
      </c>
      <c r="C765" s="1" t="s">
        <v>10</v>
      </c>
      <c r="D765" s="1" t="s">
        <v>71</v>
      </c>
      <c r="E765" s="1" t="s">
        <v>31</v>
      </c>
      <c r="F765" s="1">
        <v>965.67</v>
      </c>
      <c r="G765" s="1" t="s">
        <v>230</v>
      </c>
      <c r="H765" s="2">
        <v>35642</v>
      </c>
      <c r="I765" s="2">
        <v>44071</v>
      </c>
      <c r="J765" s="1">
        <v>13.52</v>
      </c>
      <c r="K765" s="1">
        <f t="shared" si="24"/>
        <v>130.55858399999997</v>
      </c>
      <c r="L765" s="1">
        <f t="shared" si="25"/>
        <v>835.11141599999996</v>
      </c>
    </row>
    <row r="766" spans="1:12" x14ac:dyDescent="0.35">
      <c r="A766" s="1">
        <v>1764</v>
      </c>
      <c r="B766" s="2">
        <v>44839</v>
      </c>
      <c r="C766" s="1" t="s">
        <v>14</v>
      </c>
      <c r="D766" s="1" t="s">
        <v>33</v>
      </c>
      <c r="E766" s="1" t="s">
        <v>16</v>
      </c>
      <c r="F766" s="1">
        <v>1984.75</v>
      </c>
      <c r="G766" s="1" t="s">
        <v>170</v>
      </c>
      <c r="H766" s="2">
        <v>34205</v>
      </c>
      <c r="I766" s="2">
        <v>44852</v>
      </c>
      <c r="J766" s="1">
        <v>25.56</v>
      </c>
      <c r="K766" s="1">
        <f t="shared" si="24"/>
        <v>507.3021</v>
      </c>
      <c r="L766" s="1">
        <f t="shared" si="25"/>
        <v>1477.4479000000001</v>
      </c>
    </row>
    <row r="767" spans="1:12" x14ac:dyDescent="0.35">
      <c r="A767" s="1">
        <v>1765</v>
      </c>
      <c r="B767" s="2">
        <v>45761</v>
      </c>
      <c r="C767" s="1" t="s">
        <v>21</v>
      </c>
      <c r="D767" s="1" t="s">
        <v>102</v>
      </c>
      <c r="E767" s="1" t="s">
        <v>12</v>
      </c>
      <c r="F767" s="1">
        <v>371.15</v>
      </c>
      <c r="G767" s="1" t="s">
        <v>218</v>
      </c>
      <c r="H767" s="2">
        <v>29792</v>
      </c>
      <c r="I767" s="2">
        <v>45764</v>
      </c>
      <c r="J767" s="1">
        <v>13.58</v>
      </c>
      <c r="K767" s="1">
        <f t="shared" si="24"/>
        <v>50.402169999999998</v>
      </c>
      <c r="L767" s="1">
        <f t="shared" si="25"/>
        <v>320.74782999999996</v>
      </c>
    </row>
    <row r="768" spans="1:12" x14ac:dyDescent="0.35">
      <c r="A768" s="1">
        <v>1766</v>
      </c>
      <c r="B768" s="2">
        <v>45791</v>
      </c>
      <c r="C768" s="1" t="s">
        <v>21</v>
      </c>
      <c r="D768" s="1" t="s">
        <v>69</v>
      </c>
      <c r="E768" s="1" t="s">
        <v>12</v>
      </c>
      <c r="F768" s="1">
        <v>2705.32</v>
      </c>
      <c r="G768" s="1" t="s">
        <v>290</v>
      </c>
      <c r="H768" s="2">
        <v>31764</v>
      </c>
      <c r="I768" s="2">
        <v>45794</v>
      </c>
      <c r="J768" s="1">
        <v>33.67</v>
      </c>
      <c r="K768" s="1">
        <f t="shared" si="24"/>
        <v>910.88124400000004</v>
      </c>
      <c r="L768" s="1">
        <f t="shared" si="25"/>
        <v>1794.438756</v>
      </c>
    </row>
    <row r="769" spans="1:12" x14ac:dyDescent="0.35">
      <c r="A769" s="1">
        <v>1767</v>
      </c>
      <c r="B769" s="2">
        <v>44746</v>
      </c>
      <c r="C769" s="1" t="s">
        <v>26</v>
      </c>
      <c r="D769" s="1" t="s">
        <v>18</v>
      </c>
      <c r="E769" s="1" t="s">
        <v>19</v>
      </c>
      <c r="F769" s="1">
        <v>843.92</v>
      </c>
      <c r="G769" s="1" t="s">
        <v>76</v>
      </c>
      <c r="H769" s="2">
        <v>37049</v>
      </c>
      <c r="I769" s="2">
        <v>44753</v>
      </c>
      <c r="J769" s="1">
        <v>45.25</v>
      </c>
      <c r="K769" s="1">
        <f t="shared" si="24"/>
        <v>381.87380000000002</v>
      </c>
      <c r="L769" s="1">
        <f t="shared" si="25"/>
        <v>462.04619999999994</v>
      </c>
    </row>
    <row r="770" spans="1:12" x14ac:dyDescent="0.35">
      <c r="A770" s="1">
        <v>1768</v>
      </c>
      <c r="B770" s="2">
        <v>45739</v>
      </c>
      <c r="C770" s="1" t="s">
        <v>26</v>
      </c>
      <c r="D770" s="1" t="s">
        <v>22</v>
      </c>
      <c r="E770" s="1" t="s">
        <v>19</v>
      </c>
      <c r="F770" s="1">
        <v>551.48</v>
      </c>
      <c r="G770" s="1" t="s">
        <v>168</v>
      </c>
      <c r="H770" s="2">
        <v>37674</v>
      </c>
      <c r="I770" s="2">
        <v>45748</v>
      </c>
      <c r="J770" s="1">
        <v>27.97</v>
      </c>
      <c r="K770" s="1">
        <f t="shared" si="24"/>
        <v>154.24895600000002</v>
      </c>
      <c r="L770" s="1">
        <f t="shared" si="25"/>
        <v>397.231044</v>
      </c>
    </row>
    <row r="771" spans="1:12" x14ac:dyDescent="0.35">
      <c r="A771" s="1">
        <v>1769</v>
      </c>
      <c r="B771" s="2">
        <v>45072</v>
      </c>
      <c r="C771" s="1" t="s">
        <v>14</v>
      </c>
      <c r="D771" s="1" t="s">
        <v>36</v>
      </c>
      <c r="E771" s="1" t="s">
        <v>28</v>
      </c>
      <c r="F771" s="1">
        <v>2238.04</v>
      </c>
      <c r="G771" s="1" t="s">
        <v>230</v>
      </c>
      <c r="H771" s="2">
        <v>35642</v>
      </c>
      <c r="I771" s="2">
        <v>45086</v>
      </c>
      <c r="J771" s="1">
        <v>11.51</v>
      </c>
      <c r="K771" s="1">
        <f t="shared" ref="K771:K834" si="26">F771*J771%</f>
        <v>257.59840399999996</v>
      </c>
      <c r="L771" s="1">
        <f t="shared" ref="L771:L834" si="27">F771-K771</f>
        <v>1980.4415960000001</v>
      </c>
    </row>
    <row r="772" spans="1:12" x14ac:dyDescent="0.35">
      <c r="A772" s="1">
        <v>1770</v>
      </c>
      <c r="B772" s="2">
        <v>45391</v>
      </c>
      <c r="C772" s="1" t="s">
        <v>21</v>
      </c>
      <c r="D772" s="1" t="s">
        <v>11</v>
      </c>
      <c r="E772" s="1" t="s">
        <v>12</v>
      </c>
      <c r="F772" s="1">
        <v>2417.52</v>
      </c>
      <c r="G772" s="1" t="s">
        <v>37</v>
      </c>
      <c r="H772" s="2">
        <v>27534</v>
      </c>
      <c r="I772" s="2">
        <v>45393</v>
      </c>
      <c r="J772" s="1">
        <v>25.77</v>
      </c>
      <c r="K772" s="1">
        <f t="shared" si="26"/>
        <v>622.99490399999991</v>
      </c>
      <c r="L772" s="1">
        <f t="shared" si="27"/>
        <v>1794.5250960000001</v>
      </c>
    </row>
    <row r="773" spans="1:12" x14ac:dyDescent="0.35">
      <c r="A773" s="1">
        <v>1771</v>
      </c>
      <c r="B773" s="2">
        <v>45843</v>
      </c>
      <c r="C773" s="1" t="s">
        <v>21</v>
      </c>
      <c r="D773" s="1" t="s">
        <v>49</v>
      </c>
      <c r="E773" s="1" t="s">
        <v>12</v>
      </c>
      <c r="F773" s="1">
        <v>960.47</v>
      </c>
      <c r="G773" s="1" t="s">
        <v>241</v>
      </c>
      <c r="H773" s="2">
        <v>31880</v>
      </c>
      <c r="I773" s="2">
        <v>45847</v>
      </c>
      <c r="J773" s="1">
        <v>2.1800000000000002</v>
      </c>
      <c r="K773" s="1">
        <f t="shared" si="26"/>
        <v>20.938245999999999</v>
      </c>
      <c r="L773" s="1">
        <f t="shared" si="27"/>
        <v>939.53175399999998</v>
      </c>
    </row>
    <row r="774" spans="1:12" x14ac:dyDescent="0.35">
      <c r="A774" s="1">
        <v>1772</v>
      </c>
      <c r="B774" s="2">
        <v>44233</v>
      </c>
      <c r="C774" s="1" t="s">
        <v>14</v>
      </c>
      <c r="D774" s="1" t="s">
        <v>15</v>
      </c>
      <c r="E774" s="1" t="s">
        <v>16</v>
      </c>
      <c r="F774" s="1">
        <v>390.05</v>
      </c>
      <c r="G774" s="1" t="s">
        <v>79</v>
      </c>
      <c r="H774" s="2">
        <v>28675</v>
      </c>
      <c r="I774" s="2">
        <v>44235</v>
      </c>
      <c r="J774" s="1">
        <v>34.19</v>
      </c>
      <c r="K774" s="1">
        <f t="shared" si="26"/>
        <v>133.35809499999999</v>
      </c>
      <c r="L774" s="1">
        <f t="shared" si="27"/>
        <v>256.69190500000002</v>
      </c>
    </row>
    <row r="775" spans="1:12" x14ac:dyDescent="0.35">
      <c r="A775" s="1">
        <v>1773</v>
      </c>
      <c r="B775" s="2">
        <v>45104</v>
      </c>
      <c r="C775" s="1" t="s">
        <v>35</v>
      </c>
      <c r="D775" s="1" t="s">
        <v>27</v>
      </c>
      <c r="E775" s="1" t="s">
        <v>28</v>
      </c>
      <c r="F775" s="1">
        <v>3826.79</v>
      </c>
      <c r="G775" s="1" t="s">
        <v>309</v>
      </c>
      <c r="H775" s="2">
        <v>23838</v>
      </c>
      <c r="I775" s="2">
        <v>45113</v>
      </c>
      <c r="J775" s="1">
        <v>29.62</v>
      </c>
      <c r="K775" s="1">
        <f t="shared" si="26"/>
        <v>1133.4951980000001</v>
      </c>
      <c r="L775" s="1">
        <f t="shared" si="27"/>
        <v>2693.2948019999999</v>
      </c>
    </row>
    <row r="776" spans="1:12" x14ac:dyDescent="0.35">
      <c r="A776" s="1">
        <v>1774</v>
      </c>
      <c r="B776" s="2">
        <v>45090</v>
      </c>
      <c r="C776" s="1" t="s">
        <v>10</v>
      </c>
      <c r="D776" s="1" t="s">
        <v>40</v>
      </c>
      <c r="E776" s="1" t="s">
        <v>16</v>
      </c>
      <c r="F776" s="1">
        <v>3560.29</v>
      </c>
      <c r="G776" s="1" t="s">
        <v>109</v>
      </c>
      <c r="H776" s="2">
        <v>26011</v>
      </c>
      <c r="I776" s="2">
        <v>45094</v>
      </c>
      <c r="J776" s="1">
        <v>9.93</v>
      </c>
      <c r="K776" s="1">
        <f t="shared" si="26"/>
        <v>353.53679699999998</v>
      </c>
      <c r="L776" s="1">
        <f t="shared" si="27"/>
        <v>3206.7532030000002</v>
      </c>
    </row>
    <row r="777" spans="1:12" x14ac:dyDescent="0.35">
      <c r="A777" s="1">
        <v>1775</v>
      </c>
      <c r="B777" s="2">
        <v>45359</v>
      </c>
      <c r="C777" s="1" t="s">
        <v>26</v>
      </c>
      <c r="D777" s="1" t="s">
        <v>61</v>
      </c>
      <c r="E777" s="1" t="s">
        <v>19</v>
      </c>
      <c r="F777" s="1">
        <v>4924.91</v>
      </c>
      <c r="G777" s="1" t="s">
        <v>90</v>
      </c>
      <c r="H777" s="2">
        <v>29348</v>
      </c>
      <c r="I777" s="2">
        <v>45362</v>
      </c>
      <c r="J777" s="1">
        <v>9.5399999999999991</v>
      </c>
      <c r="K777" s="1">
        <f t="shared" si="26"/>
        <v>469.83641399999993</v>
      </c>
      <c r="L777" s="1">
        <f t="shared" si="27"/>
        <v>4455.0735859999995</v>
      </c>
    </row>
    <row r="778" spans="1:12" x14ac:dyDescent="0.35">
      <c r="A778" s="1">
        <v>1776</v>
      </c>
      <c r="B778" s="2">
        <v>45169</v>
      </c>
      <c r="C778" s="1" t="s">
        <v>35</v>
      </c>
      <c r="D778" s="1" t="s">
        <v>65</v>
      </c>
      <c r="E778" s="1" t="s">
        <v>19</v>
      </c>
      <c r="F778" s="1">
        <v>1299.29</v>
      </c>
      <c r="G778" s="1" t="s">
        <v>104</v>
      </c>
      <c r="H778" s="2">
        <v>24852</v>
      </c>
      <c r="I778" s="2">
        <v>45176</v>
      </c>
      <c r="J778" s="1">
        <v>6.68</v>
      </c>
      <c r="K778" s="1">
        <f t="shared" si="26"/>
        <v>86.792571999999993</v>
      </c>
      <c r="L778" s="1">
        <f t="shared" si="27"/>
        <v>1212.4974279999999</v>
      </c>
    </row>
    <row r="779" spans="1:12" x14ac:dyDescent="0.35">
      <c r="A779" s="1">
        <v>1777</v>
      </c>
      <c r="B779" s="2">
        <v>44671</v>
      </c>
      <c r="C779" s="1" t="s">
        <v>35</v>
      </c>
      <c r="D779" s="1" t="s">
        <v>22</v>
      </c>
      <c r="E779" s="1" t="s">
        <v>19</v>
      </c>
      <c r="F779" s="1">
        <v>1760.76</v>
      </c>
      <c r="G779" s="1" t="s">
        <v>308</v>
      </c>
      <c r="H779" s="2">
        <v>35336</v>
      </c>
      <c r="I779" s="2">
        <v>44681</v>
      </c>
      <c r="J779" s="1">
        <v>39.549999999999997</v>
      </c>
      <c r="K779" s="1">
        <f t="shared" si="26"/>
        <v>696.3805799999999</v>
      </c>
      <c r="L779" s="1">
        <f t="shared" si="27"/>
        <v>1064.3794200000002</v>
      </c>
    </row>
    <row r="780" spans="1:12" x14ac:dyDescent="0.35">
      <c r="A780" s="1">
        <v>1778</v>
      </c>
      <c r="B780" s="2">
        <v>44901</v>
      </c>
      <c r="C780" s="1" t="s">
        <v>14</v>
      </c>
      <c r="D780" s="1" t="s">
        <v>44</v>
      </c>
      <c r="E780" s="1" t="s">
        <v>16</v>
      </c>
      <c r="F780" s="1">
        <v>2990.03</v>
      </c>
      <c r="G780" s="1" t="s">
        <v>93</v>
      </c>
      <c r="H780" s="2">
        <v>33984</v>
      </c>
      <c r="I780" s="2">
        <v>44904</v>
      </c>
      <c r="J780" s="1">
        <v>29.8</v>
      </c>
      <c r="K780" s="1">
        <f t="shared" si="26"/>
        <v>891.02894000000003</v>
      </c>
      <c r="L780" s="1">
        <f t="shared" si="27"/>
        <v>2099.0010600000001</v>
      </c>
    </row>
    <row r="781" spans="1:12" x14ac:dyDescent="0.35">
      <c r="A781" s="1">
        <v>1779</v>
      </c>
      <c r="B781" s="2">
        <v>44284</v>
      </c>
      <c r="C781" s="1" t="s">
        <v>14</v>
      </c>
      <c r="D781" s="1" t="s">
        <v>47</v>
      </c>
      <c r="E781" s="1" t="s">
        <v>12</v>
      </c>
      <c r="F781" s="1">
        <v>1216.47</v>
      </c>
      <c r="G781" s="1" t="s">
        <v>117</v>
      </c>
      <c r="H781" s="2">
        <v>23513</v>
      </c>
      <c r="I781" s="2">
        <v>44286</v>
      </c>
      <c r="J781" s="1">
        <v>29.78</v>
      </c>
      <c r="K781" s="1">
        <f t="shared" si="26"/>
        <v>362.26476600000001</v>
      </c>
      <c r="L781" s="1">
        <f t="shared" si="27"/>
        <v>854.20523400000002</v>
      </c>
    </row>
    <row r="782" spans="1:12" x14ac:dyDescent="0.35">
      <c r="A782" s="1">
        <v>1780</v>
      </c>
      <c r="B782" s="2">
        <v>45320</v>
      </c>
      <c r="C782" s="1" t="s">
        <v>26</v>
      </c>
      <c r="D782" s="1" t="s">
        <v>61</v>
      </c>
      <c r="E782" s="1" t="s">
        <v>19</v>
      </c>
      <c r="F782" s="1">
        <v>2788.33</v>
      </c>
      <c r="G782" s="1" t="s">
        <v>207</v>
      </c>
      <c r="H782" s="2">
        <v>23988</v>
      </c>
      <c r="I782" s="2">
        <v>45329</v>
      </c>
      <c r="J782" s="1">
        <v>28.84</v>
      </c>
      <c r="K782" s="1">
        <f t="shared" si="26"/>
        <v>804.15437199999997</v>
      </c>
      <c r="L782" s="1">
        <f t="shared" si="27"/>
        <v>1984.175628</v>
      </c>
    </row>
    <row r="783" spans="1:12" x14ac:dyDescent="0.35">
      <c r="A783" s="1">
        <v>1781</v>
      </c>
      <c r="B783" s="2">
        <v>44278</v>
      </c>
      <c r="C783" s="1" t="s">
        <v>14</v>
      </c>
      <c r="D783" s="1" t="s">
        <v>33</v>
      </c>
      <c r="E783" s="1" t="s">
        <v>16</v>
      </c>
      <c r="F783" s="1">
        <v>3877.12</v>
      </c>
      <c r="G783" s="1" t="s">
        <v>185</v>
      </c>
      <c r="H783" s="2">
        <v>36384</v>
      </c>
      <c r="I783" s="2">
        <v>44282</v>
      </c>
      <c r="J783" s="1">
        <v>2.7</v>
      </c>
      <c r="K783" s="1">
        <f t="shared" si="26"/>
        <v>104.68224000000001</v>
      </c>
      <c r="L783" s="1">
        <f t="shared" si="27"/>
        <v>3772.4377599999998</v>
      </c>
    </row>
    <row r="784" spans="1:12" x14ac:dyDescent="0.35">
      <c r="A784" s="1">
        <v>1782</v>
      </c>
      <c r="B784" s="2">
        <v>44700</v>
      </c>
      <c r="C784" s="1" t="s">
        <v>35</v>
      </c>
      <c r="D784" s="1" t="s">
        <v>36</v>
      </c>
      <c r="E784" s="1" t="s">
        <v>28</v>
      </c>
      <c r="F784" s="1">
        <v>1889.33</v>
      </c>
      <c r="G784" s="1" t="s">
        <v>86</v>
      </c>
      <c r="H784" s="2">
        <v>37858</v>
      </c>
      <c r="I784" s="2">
        <v>44707</v>
      </c>
      <c r="J784" s="1">
        <v>49.28</v>
      </c>
      <c r="K784" s="1">
        <f t="shared" si="26"/>
        <v>931.061824</v>
      </c>
      <c r="L784" s="1">
        <f t="shared" si="27"/>
        <v>958.26817599999993</v>
      </c>
    </row>
    <row r="785" spans="1:12" x14ac:dyDescent="0.35">
      <c r="A785" s="1">
        <v>1783</v>
      </c>
      <c r="B785" s="2">
        <v>44504</v>
      </c>
      <c r="C785" s="1" t="s">
        <v>21</v>
      </c>
      <c r="D785" s="1" t="s">
        <v>33</v>
      </c>
      <c r="E785" s="1" t="s">
        <v>16</v>
      </c>
      <c r="F785" s="1">
        <v>2085.2600000000002</v>
      </c>
      <c r="G785" s="1" t="s">
        <v>114</v>
      </c>
      <c r="H785" s="2">
        <v>28543</v>
      </c>
      <c r="I785" s="2">
        <v>44508</v>
      </c>
      <c r="J785" s="1">
        <v>30.59</v>
      </c>
      <c r="K785" s="1">
        <f t="shared" si="26"/>
        <v>637.88103400000011</v>
      </c>
      <c r="L785" s="1">
        <f t="shared" si="27"/>
        <v>1447.3789660000002</v>
      </c>
    </row>
    <row r="786" spans="1:12" x14ac:dyDescent="0.35">
      <c r="A786" s="1">
        <v>1784</v>
      </c>
      <c r="B786" s="2">
        <v>45793</v>
      </c>
      <c r="C786" s="1" t="s">
        <v>14</v>
      </c>
      <c r="D786" s="1" t="s">
        <v>33</v>
      </c>
      <c r="E786" s="1" t="s">
        <v>16</v>
      </c>
      <c r="F786" s="1">
        <v>2041.7</v>
      </c>
      <c r="G786" s="1" t="s">
        <v>221</v>
      </c>
      <c r="H786" s="2">
        <v>35658</v>
      </c>
      <c r="I786" s="2">
        <v>45802</v>
      </c>
      <c r="J786" s="1">
        <v>47.56</v>
      </c>
      <c r="K786" s="1">
        <f t="shared" si="26"/>
        <v>971.03252000000009</v>
      </c>
      <c r="L786" s="1">
        <f t="shared" si="27"/>
        <v>1070.6674800000001</v>
      </c>
    </row>
    <row r="787" spans="1:12" x14ac:dyDescent="0.35">
      <c r="A787" s="1">
        <v>1785</v>
      </c>
      <c r="B787" s="2">
        <v>44064</v>
      </c>
      <c r="C787" s="1" t="s">
        <v>21</v>
      </c>
      <c r="D787" s="1" t="s">
        <v>36</v>
      </c>
      <c r="E787" s="1" t="s">
        <v>28</v>
      </c>
      <c r="F787" s="1">
        <v>2279.2800000000002</v>
      </c>
      <c r="G787" s="1" t="s">
        <v>13</v>
      </c>
      <c r="H787" s="2">
        <v>24348</v>
      </c>
      <c r="I787" s="2">
        <v>44075</v>
      </c>
      <c r="J787" s="1">
        <v>41.99</v>
      </c>
      <c r="K787" s="1">
        <f t="shared" si="26"/>
        <v>957.06967200000008</v>
      </c>
      <c r="L787" s="1">
        <f t="shared" si="27"/>
        <v>1322.2103280000001</v>
      </c>
    </row>
    <row r="788" spans="1:12" x14ac:dyDescent="0.35">
      <c r="A788" s="1">
        <v>1786</v>
      </c>
      <c r="B788" s="2">
        <v>44748</v>
      </c>
      <c r="C788" s="1" t="s">
        <v>26</v>
      </c>
      <c r="D788" s="1" t="s">
        <v>40</v>
      </c>
      <c r="E788" s="1" t="s">
        <v>16</v>
      </c>
      <c r="F788" s="1">
        <v>3051.55</v>
      </c>
      <c r="G788" s="1" t="s">
        <v>313</v>
      </c>
      <c r="H788" s="2">
        <v>23039</v>
      </c>
      <c r="I788" s="2">
        <v>44761</v>
      </c>
      <c r="J788" s="1">
        <v>47.53</v>
      </c>
      <c r="K788" s="1">
        <f t="shared" si="26"/>
        <v>1450.4017150000002</v>
      </c>
      <c r="L788" s="1">
        <f t="shared" si="27"/>
        <v>1601.148285</v>
      </c>
    </row>
    <row r="789" spans="1:12" x14ac:dyDescent="0.35">
      <c r="A789" s="1">
        <v>1787</v>
      </c>
      <c r="B789" s="2">
        <v>44505</v>
      </c>
      <c r="C789" s="1" t="s">
        <v>14</v>
      </c>
      <c r="D789" s="1" t="s">
        <v>11</v>
      </c>
      <c r="E789" s="1" t="s">
        <v>12</v>
      </c>
      <c r="F789" s="1">
        <v>1103.06</v>
      </c>
      <c r="G789" s="1" t="s">
        <v>68</v>
      </c>
      <c r="H789" s="2">
        <v>22079</v>
      </c>
      <c r="I789" s="2">
        <v>44516</v>
      </c>
      <c r="J789" s="1">
        <v>22.74</v>
      </c>
      <c r="K789" s="1">
        <f t="shared" si="26"/>
        <v>250.83584399999998</v>
      </c>
      <c r="L789" s="1">
        <f t="shared" si="27"/>
        <v>852.22415599999999</v>
      </c>
    </row>
    <row r="790" spans="1:12" x14ac:dyDescent="0.35">
      <c r="A790" s="1">
        <v>1788</v>
      </c>
      <c r="B790" s="2">
        <v>44890</v>
      </c>
      <c r="C790" s="1" t="s">
        <v>10</v>
      </c>
      <c r="D790" s="1" t="s">
        <v>36</v>
      </c>
      <c r="E790" s="1" t="s">
        <v>28</v>
      </c>
      <c r="F790" s="1">
        <v>3882.31</v>
      </c>
      <c r="G790" s="1" t="s">
        <v>149</v>
      </c>
      <c r="H790" s="2">
        <v>26155</v>
      </c>
      <c r="I790" s="2">
        <v>44891</v>
      </c>
      <c r="J790" s="1">
        <v>17.09</v>
      </c>
      <c r="K790" s="1">
        <f t="shared" si="26"/>
        <v>663.48677899999996</v>
      </c>
      <c r="L790" s="1">
        <f t="shared" si="27"/>
        <v>3218.8232210000001</v>
      </c>
    </row>
    <row r="791" spans="1:12" x14ac:dyDescent="0.35">
      <c r="A791" s="1">
        <v>1789</v>
      </c>
      <c r="B791" s="2">
        <v>44335</v>
      </c>
      <c r="C791" s="1" t="s">
        <v>35</v>
      </c>
      <c r="D791" s="1" t="s">
        <v>36</v>
      </c>
      <c r="E791" s="1" t="s">
        <v>28</v>
      </c>
      <c r="F791" s="1">
        <v>3352.72</v>
      </c>
      <c r="G791" s="1" t="s">
        <v>320</v>
      </c>
      <c r="H791" s="2">
        <v>26300</v>
      </c>
      <c r="I791" s="2">
        <v>44340</v>
      </c>
      <c r="J791" s="1">
        <v>45.35</v>
      </c>
      <c r="K791" s="1">
        <f t="shared" si="26"/>
        <v>1520.4585199999999</v>
      </c>
      <c r="L791" s="1">
        <f t="shared" si="27"/>
        <v>1832.2614799999999</v>
      </c>
    </row>
    <row r="792" spans="1:12" x14ac:dyDescent="0.35">
      <c r="A792" s="1">
        <v>1790</v>
      </c>
      <c r="B792" s="2">
        <v>44244</v>
      </c>
      <c r="C792" s="1" t="s">
        <v>21</v>
      </c>
      <c r="D792" s="1" t="s">
        <v>33</v>
      </c>
      <c r="E792" s="1" t="s">
        <v>16</v>
      </c>
      <c r="F792" s="1">
        <v>4373.0600000000004</v>
      </c>
      <c r="G792" s="1" t="s">
        <v>151</v>
      </c>
      <c r="H792" s="2">
        <v>34427</v>
      </c>
      <c r="I792" s="2">
        <v>44251</v>
      </c>
      <c r="J792" s="1">
        <v>23.79</v>
      </c>
      <c r="K792" s="1">
        <f t="shared" si="26"/>
        <v>1040.3509740000002</v>
      </c>
      <c r="L792" s="1">
        <f t="shared" si="27"/>
        <v>3332.7090260000004</v>
      </c>
    </row>
    <row r="793" spans="1:12" x14ac:dyDescent="0.35">
      <c r="A793" s="1">
        <v>1791</v>
      </c>
      <c r="B793" s="2">
        <v>45323</v>
      </c>
      <c r="C793" s="1" t="s">
        <v>14</v>
      </c>
      <c r="D793" s="1" t="s">
        <v>40</v>
      </c>
      <c r="E793" s="1" t="s">
        <v>16</v>
      </c>
      <c r="F793" s="1">
        <v>193.34</v>
      </c>
      <c r="G793" s="1" t="s">
        <v>233</v>
      </c>
      <c r="H793" s="2">
        <v>38826</v>
      </c>
      <c r="I793" s="2">
        <v>45326</v>
      </c>
      <c r="J793" s="1">
        <v>25.31</v>
      </c>
      <c r="K793" s="1">
        <f t="shared" si="26"/>
        <v>48.934353999999999</v>
      </c>
      <c r="L793" s="1">
        <f t="shared" si="27"/>
        <v>144.40564599999999</v>
      </c>
    </row>
    <row r="794" spans="1:12" x14ac:dyDescent="0.35">
      <c r="A794" s="1">
        <v>1792</v>
      </c>
      <c r="B794" s="2">
        <v>44751</v>
      </c>
      <c r="C794" s="1" t="s">
        <v>10</v>
      </c>
      <c r="D794" s="1" t="s">
        <v>71</v>
      </c>
      <c r="E794" s="1" t="s">
        <v>31</v>
      </c>
      <c r="F794" s="1">
        <v>557.03</v>
      </c>
      <c r="G794" s="1" t="s">
        <v>193</v>
      </c>
      <c r="H794" s="2">
        <v>26082</v>
      </c>
      <c r="I794" s="2">
        <v>44752</v>
      </c>
      <c r="J794" s="1">
        <v>22.2</v>
      </c>
      <c r="K794" s="1">
        <f t="shared" si="26"/>
        <v>123.66065999999999</v>
      </c>
      <c r="L794" s="1">
        <f t="shared" si="27"/>
        <v>433.36933999999997</v>
      </c>
    </row>
    <row r="795" spans="1:12" x14ac:dyDescent="0.35">
      <c r="A795" s="1">
        <v>1793</v>
      </c>
      <c r="B795" s="2">
        <v>45466</v>
      </c>
      <c r="C795" s="1" t="s">
        <v>21</v>
      </c>
      <c r="D795" s="1" t="s">
        <v>69</v>
      </c>
      <c r="E795" s="1" t="s">
        <v>12</v>
      </c>
      <c r="F795" s="1">
        <v>682.1</v>
      </c>
      <c r="G795" s="1" t="s">
        <v>210</v>
      </c>
      <c r="H795" s="2">
        <v>27550</v>
      </c>
      <c r="I795" s="2">
        <v>45474</v>
      </c>
      <c r="J795" s="1">
        <v>33.54</v>
      </c>
      <c r="K795" s="1">
        <f t="shared" si="26"/>
        <v>228.77634</v>
      </c>
      <c r="L795" s="1">
        <f t="shared" si="27"/>
        <v>453.32366000000002</v>
      </c>
    </row>
    <row r="796" spans="1:12" x14ac:dyDescent="0.35">
      <c r="A796" s="1">
        <v>1794</v>
      </c>
      <c r="B796" s="2">
        <v>45176</v>
      </c>
      <c r="C796" s="1" t="s">
        <v>26</v>
      </c>
      <c r="D796" s="1" t="s">
        <v>71</v>
      </c>
      <c r="E796" s="1" t="s">
        <v>31</v>
      </c>
      <c r="F796" s="1">
        <v>4084.74</v>
      </c>
      <c r="G796" s="1" t="s">
        <v>304</v>
      </c>
      <c r="H796" s="2">
        <v>36246</v>
      </c>
      <c r="I796" s="2">
        <v>45177</v>
      </c>
      <c r="J796" s="1">
        <v>8.34</v>
      </c>
      <c r="K796" s="1">
        <f t="shared" si="26"/>
        <v>340.66731599999997</v>
      </c>
      <c r="L796" s="1">
        <f t="shared" si="27"/>
        <v>3744.0726839999998</v>
      </c>
    </row>
    <row r="797" spans="1:12" x14ac:dyDescent="0.35">
      <c r="A797" s="1">
        <v>1795</v>
      </c>
      <c r="B797" s="2">
        <v>44504</v>
      </c>
      <c r="C797" s="1" t="s">
        <v>35</v>
      </c>
      <c r="D797" s="1" t="s">
        <v>18</v>
      </c>
      <c r="E797" s="1" t="s">
        <v>19</v>
      </c>
      <c r="F797" s="1">
        <v>3311.08</v>
      </c>
      <c r="G797" s="1" t="s">
        <v>94</v>
      </c>
      <c r="H797" s="2">
        <v>25516</v>
      </c>
      <c r="I797" s="2">
        <v>44513</v>
      </c>
      <c r="J797" s="1">
        <v>36.19</v>
      </c>
      <c r="K797" s="1">
        <f t="shared" si="26"/>
        <v>1198.2798519999999</v>
      </c>
      <c r="L797" s="1">
        <f t="shared" si="27"/>
        <v>2112.8001480000003</v>
      </c>
    </row>
    <row r="798" spans="1:12" x14ac:dyDescent="0.35">
      <c r="A798" s="1">
        <v>1796</v>
      </c>
      <c r="B798" s="2">
        <v>44792</v>
      </c>
      <c r="C798" s="1" t="s">
        <v>21</v>
      </c>
      <c r="D798" s="1" t="s">
        <v>40</v>
      </c>
      <c r="E798" s="1" t="s">
        <v>16</v>
      </c>
      <c r="F798" s="1">
        <v>1488.13</v>
      </c>
      <c r="G798" s="1" t="s">
        <v>321</v>
      </c>
      <c r="H798" s="2">
        <v>22467</v>
      </c>
      <c r="I798" s="2">
        <v>44804</v>
      </c>
      <c r="J798" s="1">
        <v>16.190000000000001</v>
      </c>
      <c r="K798" s="1">
        <f t="shared" si="26"/>
        <v>240.92824700000006</v>
      </c>
      <c r="L798" s="1">
        <f t="shared" si="27"/>
        <v>1247.2017530000001</v>
      </c>
    </row>
    <row r="799" spans="1:12" x14ac:dyDescent="0.35">
      <c r="A799" s="1">
        <v>1797</v>
      </c>
      <c r="B799" s="2">
        <v>45085</v>
      </c>
      <c r="C799" s="1" t="s">
        <v>14</v>
      </c>
      <c r="D799" s="1" t="s">
        <v>88</v>
      </c>
      <c r="E799" s="1" t="s">
        <v>16</v>
      </c>
      <c r="F799" s="1">
        <v>1292.26</v>
      </c>
      <c r="G799" s="1" t="s">
        <v>298</v>
      </c>
      <c r="H799" s="2">
        <v>30410</v>
      </c>
      <c r="I799" s="2">
        <v>45086</v>
      </c>
      <c r="J799" s="1">
        <v>39.590000000000003</v>
      </c>
      <c r="K799" s="1">
        <f t="shared" si="26"/>
        <v>511.60573400000004</v>
      </c>
      <c r="L799" s="1">
        <f t="shared" si="27"/>
        <v>780.65426600000001</v>
      </c>
    </row>
    <row r="800" spans="1:12" x14ac:dyDescent="0.35">
      <c r="A800" s="1">
        <v>1798</v>
      </c>
      <c r="B800" s="2">
        <v>44283</v>
      </c>
      <c r="C800" s="1" t="s">
        <v>14</v>
      </c>
      <c r="D800" s="1" t="s">
        <v>53</v>
      </c>
      <c r="E800" s="1" t="s">
        <v>28</v>
      </c>
      <c r="F800" s="1">
        <v>460.63</v>
      </c>
      <c r="G800" s="1" t="s">
        <v>308</v>
      </c>
      <c r="H800" s="2">
        <v>35336</v>
      </c>
      <c r="I800" s="2">
        <v>44285</v>
      </c>
      <c r="J800" s="1">
        <v>23.3</v>
      </c>
      <c r="K800" s="1">
        <f t="shared" si="26"/>
        <v>107.32679</v>
      </c>
      <c r="L800" s="1">
        <f t="shared" si="27"/>
        <v>353.30320999999998</v>
      </c>
    </row>
    <row r="801" spans="1:12" x14ac:dyDescent="0.35">
      <c r="A801" s="1">
        <v>1799</v>
      </c>
      <c r="B801" s="2">
        <v>44246</v>
      </c>
      <c r="C801" s="1" t="s">
        <v>21</v>
      </c>
      <c r="D801" s="1" t="s">
        <v>36</v>
      </c>
      <c r="E801" s="1" t="s">
        <v>28</v>
      </c>
      <c r="F801" s="1">
        <v>3103.07</v>
      </c>
      <c r="G801" s="1" t="s">
        <v>121</v>
      </c>
      <c r="H801" s="2">
        <v>24580</v>
      </c>
      <c r="I801" s="2">
        <v>44260</v>
      </c>
      <c r="J801" s="1">
        <v>7.78</v>
      </c>
      <c r="K801" s="1">
        <f t="shared" si="26"/>
        <v>241.41884600000003</v>
      </c>
      <c r="L801" s="1">
        <f t="shared" si="27"/>
        <v>2861.6511540000001</v>
      </c>
    </row>
    <row r="802" spans="1:12" x14ac:dyDescent="0.35">
      <c r="A802" s="1">
        <v>1800</v>
      </c>
      <c r="B802" s="2">
        <v>44679</v>
      </c>
      <c r="C802" s="1" t="s">
        <v>35</v>
      </c>
      <c r="D802" s="1" t="s">
        <v>27</v>
      </c>
      <c r="E802" s="1" t="s">
        <v>28</v>
      </c>
      <c r="F802" s="1">
        <v>2611.02</v>
      </c>
      <c r="G802" s="1" t="s">
        <v>263</v>
      </c>
      <c r="H802" s="2">
        <v>35629</v>
      </c>
      <c r="I802" s="2">
        <v>44693</v>
      </c>
      <c r="J802" s="1">
        <v>25.45</v>
      </c>
      <c r="K802" s="1">
        <f t="shared" si="26"/>
        <v>664.50459000000001</v>
      </c>
      <c r="L802" s="1">
        <f t="shared" si="27"/>
        <v>1946.51541</v>
      </c>
    </row>
    <row r="803" spans="1:12" x14ac:dyDescent="0.35">
      <c r="A803" s="1">
        <v>1801</v>
      </c>
      <c r="B803" s="2">
        <v>45314</v>
      </c>
      <c r="C803" s="1" t="s">
        <v>10</v>
      </c>
      <c r="D803" s="1" t="s">
        <v>53</v>
      </c>
      <c r="E803" s="1" t="s">
        <v>28</v>
      </c>
      <c r="F803" s="1">
        <v>3379.46</v>
      </c>
      <c r="G803" s="1" t="s">
        <v>322</v>
      </c>
      <c r="H803" s="2">
        <v>36924</v>
      </c>
      <c r="I803" s="2">
        <v>45325</v>
      </c>
      <c r="J803" s="1">
        <v>7.14</v>
      </c>
      <c r="K803" s="1">
        <f t="shared" si="26"/>
        <v>241.29344399999997</v>
      </c>
      <c r="L803" s="1">
        <f t="shared" si="27"/>
        <v>3138.1665560000001</v>
      </c>
    </row>
    <row r="804" spans="1:12" x14ac:dyDescent="0.35">
      <c r="A804" s="1">
        <v>1802</v>
      </c>
      <c r="B804" s="2">
        <v>44594</v>
      </c>
      <c r="C804" s="1" t="s">
        <v>14</v>
      </c>
      <c r="D804" s="1" t="s">
        <v>18</v>
      </c>
      <c r="E804" s="1" t="s">
        <v>19</v>
      </c>
      <c r="F804" s="1">
        <v>4233.68</v>
      </c>
      <c r="G804" s="1" t="s">
        <v>288</v>
      </c>
      <c r="H804" s="2">
        <v>29810</v>
      </c>
      <c r="I804" s="2">
        <v>44595</v>
      </c>
      <c r="J804" s="1">
        <v>28.97</v>
      </c>
      <c r="K804" s="1">
        <f t="shared" si="26"/>
        <v>1226.4970960000001</v>
      </c>
      <c r="L804" s="1">
        <f t="shared" si="27"/>
        <v>3007.1829040000002</v>
      </c>
    </row>
    <row r="805" spans="1:12" x14ac:dyDescent="0.35">
      <c r="A805" s="1">
        <v>1803</v>
      </c>
      <c r="B805" s="2">
        <v>44989</v>
      </c>
      <c r="C805" s="1" t="s">
        <v>21</v>
      </c>
      <c r="D805" s="1" t="s">
        <v>24</v>
      </c>
      <c r="E805" s="1" t="s">
        <v>19</v>
      </c>
      <c r="F805" s="1">
        <v>3698.7</v>
      </c>
      <c r="G805" s="1" t="s">
        <v>183</v>
      </c>
      <c r="H805" s="2">
        <v>32359</v>
      </c>
      <c r="I805" s="2">
        <v>44994</v>
      </c>
      <c r="J805" s="1">
        <v>23.36</v>
      </c>
      <c r="K805" s="1">
        <f t="shared" si="26"/>
        <v>864.01631999999995</v>
      </c>
      <c r="L805" s="1">
        <f t="shared" si="27"/>
        <v>2834.6836800000001</v>
      </c>
    </row>
    <row r="806" spans="1:12" x14ac:dyDescent="0.35">
      <c r="A806" s="1">
        <v>1804</v>
      </c>
      <c r="B806" s="2">
        <v>44236</v>
      </c>
      <c r="C806" s="1" t="s">
        <v>14</v>
      </c>
      <c r="D806" s="1" t="s">
        <v>69</v>
      </c>
      <c r="E806" s="1" t="s">
        <v>12</v>
      </c>
      <c r="F806" s="1">
        <v>4909.8900000000003</v>
      </c>
      <c r="G806" s="1" t="s">
        <v>169</v>
      </c>
      <c r="H806" s="2">
        <v>37894</v>
      </c>
      <c r="I806" s="2">
        <v>44239</v>
      </c>
      <c r="J806" s="1">
        <v>28.79</v>
      </c>
      <c r="K806" s="1">
        <f t="shared" si="26"/>
        <v>1413.557331</v>
      </c>
      <c r="L806" s="1">
        <f t="shared" si="27"/>
        <v>3496.3326690000004</v>
      </c>
    </row>
    <row r="807" spans="1:12" x14ac:dyDescent="0.35">
      <c r="A807" s="1">
        <v>1805</v>
      </c>
      <c r="B807" s="2">
        <v>45758</v>
      </c>
      <c r="C807" s="1" t="s">
        <v>21</v>
      </c>
      <c r="D807" s="1" t="s">
        <v>30</v>
      </c>
      <c r="E807" s="1" t="s">
        <v>31</v>
      </c>
      <c r="F807" s="1">
        <v>1486.41</v>
      </c>
      <c r="G807" s="1" t="s">
        <v>113</v>
      </c>
      <c r="H807" s="2">
        <v>25579</v>
      </c>
      <c r="I807" s="2">
        <v>45765</v>
      </c>
      <c r="J807" s="1">
        <v>20.07</v>
      </c>
      <c r="K807" s="1">
        <f t="shared" si="26"/>
        <v>298.32248700000002</v>
      </c>
      <c r="L807" s="1">
        <f t="shared" si="27"/>
        <v>1188.0875129999999</v>
      </c>
    </row>
    <row r="808" spans="1:12" x14ac:dyDescent="0.35">
      <c r="A808" s="1">
        <v>1806</v>
      </c>
      <c r="B808" s="2">
        <v>45010</v>
      </c>
      <c r="C808" s="1" t="s">
        <v>21</v>
      </c>
      <c r="D808" s="1" t="s">
        <v>40</v>
      </c>
      <c r="E808" s="1" t="s">
        <v>16</v>
      </c>
      <c r="F808" s="1">
        <v>3827.4</v>
      </c>
      <c r="G808" s="1" t="s">
        <v>260</v>
      </c>
      <c r="H808" s="2">
        <v>38628</v>
      </c>
      <c r="I808" s="2">
        <v>45012</v>
      </c>
      <c r="J808" s="1">
        <v>40.19</v>
      </c>
      <c r="K808" s="1">
        <f t="shared" si="26"/>
        <v>1538.23206</v>
      </c>
      <c r="L808" s="1">
        <f t="shared" si="27"/>
        <v>2289.1679400000003</v>
      </c>
    </row>
    <row r="809" spans="1:12" x14ac:dyDescent="0.35">
      <c r="A809" s="1">
        <v>1807</v>
      </c>
      <c r="B809" s="2">
        <v>45319</v>
      </c>
      <c r="C809" s="1" t="s">
        <v>10</v>
      </c>
      <c r="D809" s="1" t="s">
        <v>88</v>
      </c>
      <c r="E809" s="1" t="s">
        <v>16</v>
      </c>
      <c r="F809" s="1">
        <v>129.44999999999999</v>
      </c>
      <c r="G809" s="1" t="s">
        <v>70</v>
      </c>
      <c r="H809" s="2">
        <v>30887</v>
      </c>
      <c r="I809" s="2">
        <v>45323</v>
      </c>
      <c r="J809" s="1">
        <v>11.55</v>
      </c>
      <c r="K809" s="1">
        <f t="shared" si="26"/>
        <v>14.951474999999999</v>
      </c>
      <c r="L809" s="1">
        <f t="shared" si="27"/>
        <v>114.49852499999999</v>
      </c>
    </row>
    <row r="810" spans="1:12" x14ac:dyDescent="0.35">
      <c r="A810" s="1">
        <v>1808</v>
      </c>
      <c r="B810" s="2">
        <v>44173</v>
      </c>
      <c r="C810" s="1" t="s">
        <v>14</v>
      </c>
      <c r="D810" s="1" t="s">
        <v>69</v>
      </c>
      <c r="E810" s="1" t="s">
        <v>12</v>
      </c>
      <c r="F810" s="1">
        <v>1619.92</v>
      </c>
      <c r="G810" s="1" t="s">
        <v>119</v>
      </c>
      <c r="H810" s="2">
        <v>34954</v>
      </c>
      <c r="I810" s="2">
        <v>44176</v>
      </c>
      <c r="J810" s="1">
        <v>43.03</v>
      </c>
      <c r="K810" s="1">
        <f t="shared" si="26"/>
        <v>697.05157600000007</v>
      </c>
      <c r="L810" s="1">
        <f t="shared" si="27"/>
        <v>922.868424</v>
      </c>
    </row>
    <row r="811" spans="1:12" x14ac:dyDescent="0.35">
      <c r="A811" s="1">
        <v>1809</v>
      </c>
      <c r="B811" s="2">
        <v>44697</v>
      </c>
      <c r="C811" s="1" t="s">
        <v>14</v>
      </c>
      <c r="D811" s="1" t="s">
        <v>38</v>
      </c>
      <c r="E811" s="1" t="s">
        <v>28</v>
      </c>
      <c r="F811" s="1">
        <v>3749.82</v>
      </c>
      <c r="G811" s="1" t="s">
        <v>132</v>
      </c>
      <c r="H811" s="2">
        <v>34364</v>
      </c>
      <c r="I811" s="2">
        <v>44706</v>
      </c>
      <c r="J811" s="1">
        <v>11.58</v>
      </c>
      <c r="K811" s="1">
        <f t="shared" si="26"/>
        <v>434.22915600000005</v>
      </c>
      <c r="L811" s="1">
        <f t="shared" si="27"/>
        <v>3315.5908440000003</v>
      </c>
    </row>
    <row r="812" spans="1:12" x14ac:dyDescent="0.35">
      <c r="A812" s="1">
        <v>1810</v>
      </c>
      <c r="B812" s="2">
        <v>45867</v>
      </c>
      <c r="C812" s="1" t="s">
        <v>21</v>
      </c>
      <c r="D812" s="1" t="s">
        <v>33</v>
      </c>
      <c r="E812" s="1" t="s">
        <v>16</v>
      </c>
      <c r="F812" s="1">
        <v>3858.01</v>
      </c>
      <c r="G812" s="1" t="s">
        <v>181</v>
      </c>
      <c r="H812" s="2">
        <v>25222</v>
      </c>
      <c r="I812" s="2">
        <v>45876</v>
      </c>
      <c r="J812" s="1">
        <v>24.94</v>
      </c>
      <c r="K812" s="1">
        <f t="shared" si="26"/>
        <v>962.18769400000008</v>
      </c>
      <c r="L812" s="1">
        <f t="shared" si="27"/>
        <v>2895.822306</v>
      </c>
    </row>
    <row r="813" spans="1:12" x14ac:dyDescent="0.35">
      <c r="A813" s="1">
        <v>1811</v>
      </c>
      <c r="B813" s="2">
        <v>44834</v>
      </c>
      <c r="C813" s="1" t="s">
        <v>21</v>
      </c>
      <c r="D813" s="1" t="s">
        <v>22</v>
      </c>
      <c r="E813" s="1" t="s">
        <v>19</v>
      </c>
      <c r="F813" s="1">
        <v>170.75</v>
      </c>
      <c r="G813" s="1" t="s">
        <v>105</v>
      </c>
      <c r="H813" s="2">
        <v>35889</v>
      </c>
      <c r="I813" s="2">
        <v>44841</v>
      </c>
      <c r="J813" s="1">
        <v>15.62</v>
      </c>
      <c r="K813" s="1">
        <f t="shared" si="26"/>
        <v>26.671150000000001</v>
      </c>
      <c r="L813" s="1">
        <f t="shared" si="27"/>
        <v>144.07884999999999</v>
      </c>
    </row>
    <row r="814" spans="1:12" x14ac:dyDescent="0.35">
      <c r="A814" s="1">
        <v>1812</v>
      </c>
      <c r="B814" s="2">
        <v>44424</v>
      </c>
      <c r="C814" s="1" t="s">
        <v>26</v>
      </c>
      <c r="D814" s="1" t="s">
        <v>69</v>
      </c>
      <c r="E814" s="1" t="s">
        <v>31</v>
      </c>
      <c r="F814" s="1">
        <v>2457.6999999999998</v>
      </c>
      <c r="G814" s="1" t="s">
        <v>210</v>
      </c>
      <c r="H814" s="2">
        <v>27550</v>
      </c>
      <c r="I814" s="2">
        <v>44425</v>
      </c>
      <c r="J814" s="1">
        <v>27.07</v>
      </c>
      <c r="K814" s="1">
        <f t="shared" si="26"/>
        <v>665.2993899999999</v>
      </c>
      <c r="L814" s="1">
        <f t="shared" si="27"/>
        <v>1792.4006099999999</v>
      </c>
    </row>
    <row r="815" spans="1:12" x14ac:dyDescent="0.35">
      <c r="A815" s="1">
        <v>1813</v>
      </c>
      <c r="B815" s="2">
        <v>45559</v>
      </c>
      <c r="C815" s="1" t="s">
        <v>14</v>
      </c>
      <c r="D815" s="1" t="s">
        <v>47</v>
      </c>
      <c r="E815" s="1" t="s">
        <v>12</v>
      </c>
      <c r="F815" s="1">
        <v>2847.95</v>
      </c>
      <c r="G815" s="1" t="s">
        <v>299</v>
      </c>
      <c r="H815" s="2">
        <v>25863</v>
      </c>
      <c r="I815" s="2">
        <v>45563</v>
      </c>
      <c r="J815" s="1">
        <v>10.87</v>
      </c>
      <c r="K815" s="1">
        <f t="shared" si="26"/>
        <v>309.57216499999993</v>
      </c>
      <c r="L815" s="1">
        <f t="shared" si="27"/>
        <v>2538.3778349999998</v>
      </c>
    </row>
    <row r="816" spans="1:12" x14ac:dyDescent="0.35">
      <c r="A816" s="1">
        <v>1814</v>
      </c>
      <c r="B816" s="2">
        <v>44257</v>
      </c>
      <c r="C816" s="1" t="s">
        <v>14</v>
      </c>
      <c r="D816" s="1" t="s">
        <v>69</v>
      </c>
      <c r="E816" s="1" t="s">
        <v>31</v>
      </c>
      <c r="F816" s="1">
        <v>4804.79</v>
      </c>
      <c r="G816" s="1" t="s">
        <v>111</v>
      </c>
      <c r="H816" s="2">
        <v>34704</v>
      </c>
      <c r="I816" s="2">
        <v>44264</v>
      </c>
      <c r="J816" s="1">
        <v>2.2000000000000002</v>
      </c>
      <c r="K816" s="1">
        <f t="shared" si="26"/>
        <v>105.70538000000001</v>
      </c>
      <c r="L816" s="1">
        <f t="shared" si="27"/>
        <v>4699.0846199999996</v>
      </c>
    </row>
    <row r="817" spans="1:12" x14ac:dyDescent="0.35">
      <c r="A817" s="1">
        <v>1815</v>
      </c>
      <c r="B817" s="2">
        <v>44162</v>
      </c>
      <c r="C817" s="1" t="s">
        <v>35</v>
      </c>
      <c r="D817" s="1" t="s">
        <v>69</v>
      </c>
      <c r="E817" s="1" t="s">
        <v>31</v>
      </c>
      <c r="F817" s="1">
        <v>864.39</v>
      </c>
      <c r="G817" s="1" t="s">
        <v>256</v>
      </c>
      <c r="H817" s="2">
        <v>34537</v>
      </c>
      <c r="I817" s="2">
        <v>44176</v>
      </c>
      <c r="J817" s="1">
        <v>5.48</v>
      </c>
      <c r="K817" s="1">
        <f t="shared" si="26"/>
        <v>47.368572</v>
      </c>
      <c r="L817" s="1">
        <f t="shared" si="27"/>
        <v>817.02142800000001</v>
      </c>
    </row>
    <row r="818" spans="1:12" x14ac:dyDescent="0.35">
      <c r="A818" s="1">
        <v>1816</v>
      </c>
      <c r="B818" s="2">
        <v>45004</v>
      </c>
      <c r="C818" s="1" t="s">
        <v>14</v>
      </c>
      <c r="D818" s="1" t="s">
        <v>69</v>
      </c>
      <c r="E818" s="1" t="s">
        <v>12</v>
      </c>
      <c r="F818" s="1">
        <v>2142.34</v>
      </c>
      <c r="G818" s="1" t="s">
        <v>193</v>
      </c>
      <c r="H818" s="2">
        <v>26082</v>
      </c>
      <c r="I818" s="2">
        <v>45015</v>
      </c>
      <c r="J818" s="1">
        <v>31.97</v>
      </c>
      <c r="K818" s="1">
        <f t="shared" si="26"/>
        <v>684.90609800000004</v>
      </c>
      <c r="L818" s="1">
        <f t="shared" si="27"/>
        <v>1457.4339020000002</v>
      </c>
    </row>
    <row r="819" spans="1:12" x14ac:dyDescent="0.35">
      <c r="A819" s="1">
        <v>1817</v>
      </c>
      <c r="B819" s="2">
        <v>44803</v>
      </c>
      <c r="C819" s="1" t="s">
        <v>35</v>
      </c>
      <c r="D819" s="1" t="s">
        <v>69</v>
      </c>
      <c r="E819" s="1" t="s">
        <v>31</v>
      </c>
      <c r="F819" s="1">
        <v>1944.47</v>
      </c>
      <c r="G819" s="1" t="s">
        <v>323</v>
      </c>
      <c r="H819" s="2">
        <v>33840</v>
      </c>
      <c r="I819" s="2">
        <v>44814</v>
      </c>
      <c r="J819" s="1">
        <v>41.62</v>
      </c>
      <c r="K819" s="1">
        <f t="shared" si="26"/>
        <v>809.28841399999988</v>
      </c>
      <c r="L819" s="1">
        <f t="shared" si="27"/>
        <v>1135.1815860000002</v>
      </c>
    </row>
    <row r="820" spans="1:12" x14ac:dyDescent="0.35">
      <c r="A820" s="1">
        <v>1818</v>
      </c>
      <c r="B820" s="2">
        <v>44499</v>
      </c>
      <c r="C820" s="1" t="s">
        <v>14</v>
      </c>
      <c r="D820" s="1" t="s">
        <v>65</v>
      </c>
      <c r="E820" s="1" t="s">
        <v>19</v>
      </c>
      <c r="F820" s="1">
        <v>791.35</v>
      </c>
      <c r="G820" s="1" t="s">
        <v>128</v>
      </c>
      <c r="H820" s="2">
        <v>37961</v>
      </c>
      <c r="I820" s="2">
        <v>44506</v>
      </c>
      <c r="J820" s="1">
        <v>40.1</v>
      </c>
      <c r="K820" s="1">
        <f t="shared" si="26"/>
        <v>317.33135000000004</v>
      </c>
      <c r="L820" s="1">
        <f t="shared" si="27"/>
        <v>474.01864999999998</v>
      </c>
    </row>
    <row r="821" spans="1:12" x14ac:dyDescent="0.35">
      <c r="A821" s="1">
        <v>1819</v>
      </c>
      <c r="B821" s="2">
        <v>44970</v>
      </c>
      <c r="C821" s="1" t="s">
        <v>35</v>
      </c>
      <c r="D821" s="1" t="s">
        <v>24</v>
      </c>
      <c r="E821" s="1" t="s">
        <v>19</v>
      </c>
      <c r="F821" s="1">
        <v>2156.0700000000002</v>
      </c>
      <c r="G821" s="1" t="s">
        <v>301</v>
      </c>
      <c r="H821" s="2">
        <v>31775</v>
      </c>
      <c r="I821" s="2">
        <v>44983</v>
      </c>
      <c r="J821" s="1">
        <v>27.96</v>
      </c>
      <c r="K821" s="1">
        <f t="shared" si="26"/>
        <v>602.83717200000012</v>
      </c>
      <c r="L821" s="1">
        <f t="shared" si="27"/>
        <v>1553.2328280000002</v>
      </c>
    </row>
    <row r="822" spans="1:12" x14ac:dyDescent="0.35">
      <c r="A822" s="1">
        <v>1820</v>
      </c>
      <c r="B822" s="2">
        <v>44680</v>
      </c>
      <c r="C822" s="1" t="s">
        <v>10</v>
      </c>
      <c r="D822" s="1" t="s">
        <v>24</v>
      </c>
      <c r="E822" s="1" t="s">
        <v>19</v>
      </c>
      <c r="F822" s="1">
        <v>4278.82</v>
      </c>
      <c r="G822" s="1" t="s">
        <v>197</v>
      </c>
      <c r="H822" s="2">
        <v>26001</v>
      </c>
      <c r="I822" s="2">
        <v>44683</v>
      </c>
      <c r="J822" s="1">
        <v>14.22</v>
      </c>
      <c r="K822" s="1">
        <f t="shared" si="26"/>
        <v>608.44820399999992</v>
      </c>
      <c r="L822" s="1">
        <f t="shared" si="27"/>
        <v>3670.3717959999999</v>
      </c>
    </row>
    <row r="823" spans="1:12" x14ac:dyDescent="0.35">
      <c r="A823" s="1">
        <v>1821</v>
      </c>
      <c r="B823" s="2">
        <v>44864</v>
      </c>
      <c r="C823" s="1" t="s">
        <v>21</v>
      </c>
      <c r="D823" s="1" t="s">
        <v>58</v>
      </c>
      <c r="E823" s="1" t="s">
        <v>31</v>
      </c>
      <c r="F823" s="1">
        <v>984.14</v>
      </c>
      <c r="G823" s="1" t="s">
        <v>83</v>
      </c>
      <c r="H823" s="2">
        <v>24673</v>
      </c>
      <c r="I823" s="2">
        <v>44875</v>
      </c>
      <c r="J823" s="1">
        <v>42.34</v>
      </c>
      <c r="K823" s="1">
        <f t="shared" si="26"/>
        <v>416.68487600000003</v>
      </c>
      <c r="L823" s="1">
        <f t="shared" si="27"/>
        <v>567.45512399999996</v>
      </c>
    </row>
    <row r="824" spans="1:12" x14ac:dyDescent="0.35">
      <c r="A824" s="1">
        <v>1822</v>
      </c>
      <c r="B824" s="2">
        <v>44451</v>
      </c>
      <c r="C824" s="1" t="s">
        <v>21</v>
      </c>
      <c r="D824" s="1" t="s">
        <v>58</v>
      </c>
      <c r="E824" s="1" t="s">
        <v>31</v>
      </c>
      <c r="F824" s="1">
        <v>4405.46</v>
      </c>
      <c r="G824" s="1" t="s">
        <v>278</v>
      </c>
      <c r="H824" s="2">
        <v>36036</v>
      </c>
      <c r="I824" s="2">
        <v>44465</v>
      </c>
      <c r="J824" s="1">
        <v>7.38</v>
      </c>
      <c r="K824" s="1">
        <f t="shared" si="26"/>
        <v>325.12294800000001</v>
      </c>
      <c r="L824" s="1">
        <f t="shared" si="27"/>
        <v>4080.3370519999999</v>
      </c>
    </row>
    <row r="825" spans="1:12" x14ac:dyDescent="0.35">
      <c r="A825" s="1">
        <v>1823</v>
      </c>
      <c r="B825" s="2">
        <v>45363</v>
      </c>
      <c r="C825" s="1" t="s">
        <v>10</v>
      </c>
      <c r="D825" s="1" t="s">
        <v>11</v>
      </c>
      <c r="E825" s="1" t="s">
        <v>12</v>
      </c>
      <c r="F825" s="1">
        <v>559.32000000000005</v>
      </c>
      <c r="G825" s="1" t="s">
        <v>192</v>
      </c>
      <c r="H825" s="2">
        <v>33626</v>
      </c>
      <c r="I825" s="2">
        <v>45375</v>
      </c>
      <c r="J825" s="1">
        <v>2.1800000000000002</v>
      </c>
      <c r="K825" s="1">
        <f t="shared" si="26"/>
        <v>12.193176000000001</v>
      </c>
      <c r="L825" s="1">
        <f t="shared" si="27"/>
        <v>547.12682400000006</v>
      </c>
    </row>
    <row r="826" spans="1:12" x14ac:dyDescent="0.35">
      <c r="A826" s="1">
        <v>1824</v>
      </c>
      <c r="B826" s="2">
        <v>44296</v>
      </c>
      <c r="C826" s="1" t="s">
        <v>35</v>
      </c>
      <c r="D826" s="1" t="s">
        <v>69</v>
      </c>
      <c r="E826" s="1" t="s">
        <v>31</v>
      </c>
      <c r="F826" s="1">
        <v>613.32000000000005</v>
      </c>
      <c r="G826" s="1" t="s">
        <v>87</v>
      </c>
      <c r="H826" s="2">
        <v>36012</v>
      </c>
      <c r="I826" s="2">
        <v>44298</v>
      </c>
      <c r="J826" s="1">
        <v>15.05</v>
      </c>
      <c r="K826" s="1">
        <f t="shared" si="26"/>
        <v>92.304659999999998</v>
      </c>
      <c r="L826" s="1">
        <f t="shared" si="27"/>
        <v>521.01534000000004</v>
      </c>
    </row>
    <row r="827" spans="1:12" x14ac:dyDescent="0.35">
      <c r="A827" s="1">
        <v>1825</v>
      </c>
      <c r="B827" s="2">
        <v>44660</v>
      </c>
      <c r="C827" s="1" t="s">
        <v>10</v>
      </c>
      <c r="D827" s="1" t="s">
        <v>102</v>
      </c>
      <c r="E827" s="1" t="s">
        <v>12</v>
      </c>
      <c r="F827" s="1">
        <v>3209.4</v>
      </c>
      <c r="G827" s="1" t="s">
        <v>254</v>
      </c>
      <c r="H827" s="2">
        <v>29366</v>
      </c>
      <c r="I827" s="2">
        <v>44674</v>
      </c>
      <c r="J827" s="1">
        <v>14.74</v>
      </c>
      <c r="K827" s="1">
        <f t="shared" si="26"/>
        <v>473.06556</v>
      </c>
      <c r="L827" s="1">
        <f t="shared" si="27"/>
        <v>2736.3344400000001</v>
      </c>
    </row>
    <row r="828" spans="1:12" x14ac:dyDescent="0.35">
      <c r="A828" s="1">
        <v>1826</v>
      </c>
      <c r="B828" s="2">
        <v>45630</v>
      </c>
      <c r="C828" s="1" t="s">
        <v>14</v>
      </c>
      <c r="D828" s="1" t="s">
        <v>73</v>
      </c>
      <c r="E828" s="1" t="s">
        <v>28</v>
      </c>
      <c r="F828" s="1">
        <v>405.71</v>
      </c>
      <c r="G828" s="1" t="s">
        <v>295</v>
      </c>
      <c r="H828" s="2">
        <v>23369</v>
      </c>
      <c r="I828" s="2">
        <v>45632</v>
      </c>
      <c r="J828" s="1">
        <v>40.61</v>
      </c>
      <c r="K828" s="1">
        <f t="shared" si="26"/>
        <v>164.75883099999999</v>
      </c>
      <c r="L828" s="1">
        <f t="shared" si="27"/>
        <v>240.95116899999999</v>
      </c>
    </row>
    <row r="829" spans="1:12" x14ac:dyDescent="0.35">
      <c r="A829" s="1">
        <v>1827</v>
      </c>
      <c r="B829" s="2">
        <v>45011</v>
      </c>
      <c r="C829" s="1" t="s">
        <v>21</v>
      </c>
      <c r="D829" s="1" t="s">
        <v>44</v>
      </c>
      <c r="E829" s="1" t="s">
        <v>16</v>
      </c>
      <c r="F829" s="1">
        <v>3345.58</v>
      </c>
      <c r="G829" s="1" t="s">
        <v>74</v>
      </c>
      <c r="H829" s="2">
        <v>31224</v>
      </c>
      <c r="I829" s="2">
        <v>45019</v>
      </c>
      <c r="J829" s="1">
        <v>17.25</v>
      </c>
      <c r="K829" s="1">
        <f t="shared" si="26"/>
        <v>577.11254999999994</v>
      </c>
      <c r="L829" s="1">
        <f t="shared" si="27"/>
        <v>2768.4674500000001</v>
      </c>
    </row>
    <row r="830" spans="1:12" x14ac:dyDescent="0.35">
      <c r="A830" s="1">
        <v>1828</v>
      </c>
      <c r="B830" s="2">
        <v>44512</v>
      </c>
      <c r="C830" s="1" t="s">
        <v>21</v>
      </c>
      <c r="D830" s="1" t="s">
        <v>24</v>
      </c>
      <c r="E830" s="1" t="s">
        <v>19</v>
      </c>
      <c r="F830" s="1">
        <v>4628.91</v>
      </c>
      <c r="G830" s="1" t="s">
        <v>62</v>
      </c>
      <c r="H830" s="2">
        <v>22870</v>
      </c>
      <c r="I830" s="2">
        <v>44524</v>
      </c>
      <c r="J830" s="1">
        <v>34.04</v>
      </c>
      <c r="K830" s="1">
        <f t="shared" si="26"/>
        <v>1575.6809639999999</v>
      </c>
      <c r="L830" s="1">
        <f t="shared" si="27"/>
        <v>3053.2290359999997</v>
      </c>
    </row>
    <row r="831" spans="1:12" x14ac:dyDescent="0.35">
      <c r="A831" s="1">
        <v>1829</v>
      </c>
      <c r="B831" s="2">
        <v>44826</v>
      </c>
      <c r="C831" s="1" t="s">
        <v>21</v>
      </c>
      <c r="D831" s="1" t="s">
        <v>33</v>
      </c>
      <c r="E831" s="1" t="s">
        <v>16</v>
      </c>
      <c r="F831" s="1">
        <v>2240.89</v>
      </c>
      <c r="G831" s="1" t="s">
        <v>251</v>
      </c>
      <c r="H831" s="2">
        <v>25440</v>
      </c>
      <c r="I831" s="2">
        <v>44836</v>
      </c>
      <c r="J831" s="1">
        <v>2.46</v>
      </c>
      <c r="K831" s="1">
        <f t="shared" si="26"/>
        <v>55.125893999999995</v>
      </c>
      <c r="L831" s="1">
        <f t="shared" si="27"/>
        <v>2185.7641060000001</v>
      </c>
    </row>
    <row r="832" spans="1:12" x14ac:dyDescent="0.35">
      <c r="A832" s="1">
        <v>1830</v>
      </c>
      <c r="B832" s="2">
        <v>44398</v>
      </c>
      <c r="C832" s="1" t="s">
        <v>10</v>
      </c>
      <c r="D832" s="1" t="s">
        <v>53</v>
      </c>
      <c r="E832" s="1" t="s">
        <v>28</v>
      </c>
      <c r="F832" s="1">
        <v>2312.25</v>
      </c>
      <c r="G832" s="1" t="s">
        <v>269</v>
      </c>
      <c r="H832" s="2">
        <v>30976</v>
      </c>
      <c r="I832" s="2">
        <v>44408</v>
      </c>
      <c r="J832" s="1">
        <v>8.42</v>
      </c>
      <c r="K832" s="1">
        <f t="shared" si="26"/>
        <v>194.69145</v>
      </c>
      <c r="L832" s="1">
        <f t="shared" si="27"/>
        <v>2117.5585500000002</v>
      </c>
    </row>
    <row r="833" spans="1:12" x14ac:dyDescent="0.35">
      <c r="A833" s="1">
        <v>1831</v>
      </c>
      <c r="B833" s="2">
        <v>45459</v>
      </c>
      <c r="C833" s="1" t="s">
        <v>14</v>
      </c>
      <c r="D833" s="1" t="s">
        <v>65</v>
      </c>
      <c r="E833" s="1" t="s">
        <v>19</v>
      </c>
      <c r="F833" s="1">
        <v>2924.35</v>
      </c>
      <c r="G833" s="1" t="s">
        <v>271</v>
      </c>
      <c r="H833" s="2">
        <v>22796</v>
      </c>
      <c r="I833" s="2">
        <v>45466</v>
      </c>
      <c r="J833" s="1">
        <v>28.88</v>
      </c>
      <c r="K833" s="1">
        <f t="shared" si="26"/>
        <v>844.55228</v>
      </c>
      <c r="L833" s="1">
        <f t="shared" si="27"/>
        <v>2079.79772</v>
      </c>
    </row>
    <row r="834" spans="1:12" x14ac:dyDescent="0.35">
      <c r="A834" s="1">
        <v>1832</v>
      </c>
      <c r="B834" s="2">
        <v>44476</v>
      </c>
      <c r="C834" s="1" t="s">
        <v>35</v>
      </c>
      <c r="D834" s="1" t="s">
        <v>22</v>
      </c>
      <c r="E834" s="1" t="s">
        <v>19</v>
      </c>
      <c r="F834" s="1">
        <v>367.38</v>
      </c>
      <c r="G834" s="1" t="s">
        <v>241</v>
      </c>
      <c r="H834" s="2">
        <v>31880</v>
      </c>
      <c r="I834" s="2">
        <v>44483</v>
      </c>
      <c r="J834" s="1">
        <v>34.29</v>
      </c>
      <c r="K834" s="1">
        <f t="shared" si="26"/>
        <v>125.97460199999999</v>
      </c>
      <c r="L834" s="1">
        <f t="shared" si="27"/>
        <v>241.40539799999999</v>
      </c>
    </row>
    <row r="835" spans="1:12" x14ac:dyDescent="0.35">
      <c r="A835" s="1">
        <v>1833</v>
      </c>
      <c r="B835" s="2">
        <v>45659</v>
      </c>
      <c r="C835" s="1" t="s">
        <v>10</v>
      </c>
      <c r="D835" s="1" t="s">
        <v>58</v>
      </c>
      <c r="E835" s="1" t="s">
        <v>31</v>
      </c>
      <c r="F835" s="1">
        <v>4576.63</v>
      </c>
      <c r="G835" s="1" t="s">
        <v>96</v>
      </c>
      <c r="H835" s="2">
        <v>36236</v>
      </c>
      <c r="I835" s="2">
        <v>45671</v>
      </c>
      <c r="J835" s="1">
        <v>18.88</v>
      </c>
      <c r="K835" s="1">
        <f t="shared" ref="K835:K898" si="28">F835*J835%</f>
        <v>864.06774399999995</v>
      </c>
      <c r="L835" s="1">
        <f t="shared" ref="L835:L898" si="29">F835-K835</f>
        <v>3712.5622560000002</v>
      </c>
    </row>
    <row r="836" spans="1:12" x14ac:dyDescent="0.35">
      <c r="A836" s="1">
        <v>1834</v>
      </c>
      <c r="B836" s="2">
        <v>45874</v>
      </c>
      <c r="C836" s="1" t="s">
        <v>26</v>
      </c>
      <c r="D836" s="1" t="s">
        <v>69</v>
      </c>
      <c r="E836" s="1" t="s">
        <v>12</v>
      </c>
      <c r="F836" s="1">
        <v>4328.8599999999997</v>
      </c>
      <c r="G836" s="1" t="s">
        <v>269</v>
      </c>
      <c r="H836" s="2">
        <v>30976</v>
      </c>
      <c r="I836" s="2">
        <v>45882</v>
      </c>
      <c r="J836" s="1">
        <v>2.94</v>
      </c>
      <c r="K836" s="1">
        <f t="shared" si="28"/>
        <v>127.26848399999999</v>
      </c>
      <c r="L836" s="1">
        <f t="shared" si="29"/>
        <v>4201.5915159999995</v>
      </c>
    </row>
    <row r="837" spans="1:12" x14ac:dyDescent="0.35">
      <c r="A837" s="1">
        <v>1835</v>
      </c>
      <c r="B837" s="2">
        <v>44960</v>
      </c>
      <c r="C837" s="1" t="s">
        <v>21</v>
      </c>
      <c r="D837" s="1" t="s">
        <v>33</v>
      </c>
      <c r="E837" s="1" t="s">
        <v>16</v>
      </c>
      <c r="F837" s="1">
        <v>916.62</v>
      </c>
      <c r="G837" s="1" t="s">
        <v>99</v>
      </c>
      <c r="H837" s="2">
        <v>26397</v>
      </c>
      <c r="I837" s="2">
        <v>44961</v>
      </c>
      <c r="J837" s="1">
        <v>34.35</v>
      </c>
      <c r="K837" s="1">
        <f t="shared" si="28"/>
        <v>314.85897</v>
      </c>
      <c r="L837" s="1">
        <f t="shared" si="29"/>
        <v>601.76103000000001</v>
      </c>
    </row>
    <row r="838" spans="1:12" x14ac:dyDescent="0.35">
      <c r="A838" s="1">
        <v>1836</v>
      </c>
      <c r="B838" s="2">
        <v>44353</v>
      </c>
      <c r="C838" s="1" t="s">
        <v>14</v>
      </c>
      <c r="D838" s="1" t="s">
        <v>18</v>
      </c>
      <c r="E838" s="1" t="s">
        <v>19</v>
      </c>
      <c r="F838" s="1">
        <v>1358.61</v>
      </c>
      <c r="G838" s="1" t="s">
        <v>92</v>
      </c>
      <c r="H838" s="2">
        <v>24544</v>
      </c>
      <c r="I838" s="2">
        <v>44355</v>
      </c>
      <c r="J838" s="1">
        <v>34.119999999999997</v>
      </c>
      <c r="K838" s="1">
        <f t="shared" si="28"/>
        <v>463.55773199999987</v>
      </c>
      <c r="L838" s="1">
        <f t="shared" si="29"/>
        <v>895.05226800000003</v>
      </c>
    </row>
    <row r="839" spans="1:12" x14ac:dyDescent="0.35">
      <c r="A839" s="1">
        <v>1837</v>
      </c>
      <c r="B839" s="2">
        <v>44285</v>
      </c>
      <c r="C839" s="1" t="s">
        <v>21</v>
      </c>
      <c r="D839" s="1" t="s">
        <v>30</v>
      </c>
      <c r="E839" s="1" t="s">
        <v>31</v>
      </c>
      <c r="F839" s="1">
        <v>243.73</v>
      </c>
      <c r="G839" s="1" t="s">
        <v>280</v>
      </c>
      <c r="H839" s="2">
        <v>29181</v>
      </c>
      <c r="I839" s="2">
        <v>44289</v>
      </c>
      <c r="J839" s="1">
        <v>24.17</v>
      </c>
      <c r="K839" s="1">
        <f t="shared" si="28"/>
        <v>58.909541000000004</v>
      </c>
      <c r="L839" s="1">
        <f t="shared" si="29"/>
        <v>184.82045899999997</v>
      </c>
    </row>
    <row r="840" spans="1:12" x14ac:dyDescent="0.35">
      <c r="A840" s="1">
        <v>1838</v>
      </c>
      <c r="B840" s="2">
        <v>45254</v>
      </c>
      <c r="C840" s="1" t="s">
        <v>21</v>
      </c>
      <c r="D840" s="1" t="s">
        <v>65</v>
      </c>
      <c r="E840" s="1" t="s">
        <v>19</v>
      </c>
      <c r="F840" s="1">
        <v>990.39</v>
      </c>
      <c r="G840" s="1" t="s">
        <v>233</v>
      </c>
      <c r="H840" s="2">
        <v>38826</v>
      </c>
      <c r="I840" s="2">
        <v>45256</v>
      </c>
      <c r="J840" s="1">
        <v>36.47</v>
      </c>
      <c r="K840" s="1">
        <f t="shared" si="28"/>
        <v>361.19523299999997</v>
      </c>
      <c r="L840" s="1">
        <f t="shared" si="29"/>
        <v>629.19476699999996</v>
      </c>
    </row>
    <row r="841" spans="1:12" x14ac:dyDescent="0.35">
      <c r="A841" s="1">
        <v>1839</v>
      </c>
      <c r="B841" s="2">
        <v>45605</v>
      </c>
      <c r="C841" s="1" t="s">
        <v>21</v>
      </c>
      <c r="D841" s="1" t="s">
        <v>38</v>
      </c>
      <c r="E841" s="1" t="s">
        <v>28</v>
      </c>
      <c r="F841" s="1">
        <v>2593.1999999999998</v>
      </c>
      <c r="G841" s="1" t="s">
        <v>66</v>
      </c>
      <c r="H841" s="2">
        <v>33192</v>
      </c>
      <c r="I841" s="2">
        <v>45613</v>
      </c>
      <c r="J841" s="1">
        <v>10.55</v>
      </c>
      <c r="K841" s="1">
        <f t="shared" si="28"/>
        <v>273.58260000000001</v>
      </c>
      <c r="L841" s="1">
        <f t="shared" si="29"/>
        <v>2319.6173999999996</v>
      </c>
    </row>
    <row r="842" spans="1:12" x14ac:dyDescent="0.35">
      <c r="A842" s="1">
        <v>1840</v>
      </c>
      <c r="B842" s="2">
        <v>44110</v>
      </c>
      <c r="C842" s="1" t="s">
        <v>35</v>
      </c>
      <c r="D842" s="1" t="s">
        <v>33</v>
      </c>
      <c r="E842" s="1" t="s">
        <v>16</v>
      </c>
      <c r="F842" s="1">
        <v>1090.21</v>
      </c>
      <c r="G842" s="1" t="s">
        <v>313</v>
      </c>
      <c r="H842" s="2">
        <v>23039</v>
      </c>
      <c r="I842" s="2">
        <v>44121</v>
      </c>
      <c r="J842" s="1">
        <v>39.01</v>
      </c>
      <c r="K842" s="1">
        <f t="shared" si="28"/>
        <v>425.29092100000003</v>
      </c>
      <c r="L842" s="1">
        <f t="shared" si="29"/>
        <v>664.91907900000001</v>
      </c>
    </row>
    <row r="843" spans="1:12" x14ac:dyDescent="0.35">
      <c r="A843" s="1">
        <v>1841</v>
      </c>
      <c r="B843" s="2">
        <v>44368</v>
      </c>
      <c r="C843" s="1" t="s">
        <v>35</v>
      </c>
      <c r="D843" s="1" t="s">
        <v>73</v>
      </c>
      <c r="E843" s="1" t="s">
        <v>28</v>
      </c>
      <c r="F843" s="1">
        <v>3523.01</v>
      </c>
      <c r="G843" s="1" t="s">
        <v>270</v>
      </c>
      <c r="H843" s="2">
        <v>23245</v>
      </c>
      <c r="I843" s="2">
        <v>44379</v>
      </c>
      <c r="J843" s="1">
        <v>22.07</v>
      </c>
      <c r="K843" s="1">
        <f t="shared" si="28"/>
        <v>777.52830700000004</v>
      </c>
      <c r="L843" s="1">
        <f t="shared" si="29"/>
        <v>2745.4816930000002</v>
      </c>
    </row>
    <row r="844" spans="1:12" x14ac:dyDescent="0.35">
      <c r="A844" s="1">
        <v>1842</v>
      </c>
      <c r="B844" s="2">
        <v>45356</v>
      </c>
      <c r="C844" s="1" t="s">
        <v>26</v>
      </c>
      <c r="D844" s="1" t="s">
        <v>44</v>
      </c>
      <c r="E844" s="1" t="s">
        <v>16</v>
      </c>
      <c r="F844" s="1">
        <v>107.9</v>
      </c>
      <c r="G844" s="1" t="s">
        <v>281</v>
      </c>
      <c r="H844" s="2">
        <v>37927</v>
      </c>
      <c r="I844" s="2">
        <v>45370</v>
      </c>
      <c r="J844" s="1">
        <v>13.2</v>
      </c>
      <c r="K844" s="1">
        <f t="shared" si="28"/>
        <v>14.242800000000001</v>
      </c>
      <c r="L844" s="1">
        <f t="shared" si="29"/>
        <v>93.657200000000003</v>
      </c>
    </row>
    <row r="845" spans="1:12" x14ac:dyDescent="0.35">
      <c r="A845" s="1">
        <v>1843</v>
      </c>
      <c r="B845" s="2">
        <v>44543</v>
      </c>
      <c r="C845" s="1" t="s">
        <v>21</v>
      </c>
      <c r="D845" s="1" t="s">
        <v>53</v>
      </c>
      <c r="E845" s="1" t="s">
        <v>28</v>
      </c>
      <c r="F845" s="1">
        <v>1622.49</v>
      </c>
      <c r="G845" s="1" t="s">
        <v>195</v>
      </c>
      <c r="H845" s="2">
        <v>28065</v>
      </c>
      <c r="I845" s="2">
        <v>44547</v>
      </c>
      <c r="J845" s="1">
        <v>3.71</v>
      </c>
      <c r="K845" s="1">
        <f t="shared" si="28"/>
        <v>60.194379000000005</v>
      </c>
      <c r="L845" s="1">
        <f t="shared" si="29"/>
        <v>1562.295621</v>
      </c>
    </row>
    <row r="846" spans="1:12" x14ac:dyDescent="0.35">
      <c r="A846" s="1">
        <v>1844</v>
      </c>
      <c r="B846" s="2">
        <v>44966</v>
      </c>
      <c r="C846" s="1" t="s">
        <v>14</v>
      </c>
      <c r="D846" s="1" t="s">
        <v>38</v>
      </c>
      <c r="E846" s="1" t="s">
        <v>28</v>
      </c>
      <c r="F846" s="1">
        <v>2212.08</v>
      </c>
      <c r="G846" s="1" t="s">
        <v>97</v>
      </c>
      <c r="H846" s="2">
        <v>24706</v>
      </c>
      <c r="I846" s="2">
        <v>44970</v>
      </c>
      <c r="J846" s="1">
        <v>27.15</v>
      </c>
      <c r="K846" s="1">
        <f t="shared" si="28"/>
        <v>600.57971999999995</v>
      </c>
      <c r="L846" s="1">
        <f t="shared" si="29"/>
        <v>1611.50028</v>
      </c>
    </row>
    <row r="847" spans="1:12" x14ac:dyDescent="0.35">
      <c r="A847" s="1">
        <v>1845</v>
      </c>
      <c r="B847" s="2">
        <v>45409</v>
      </c>
      <c r="C847" s="1" t="s">
        <v>14</v>
      </c>
      <c r="D847" s="1" t="s">
        <v>22</v>
      </c>
      <c r="E847" s="1" t="s">
        <v>19</v>
      </c>
      <c r="F847" s="1">
        <v>3809.6</v>
      </c>
      <c r="G847" s="1" t="s">
        <v>261</v>
      </c>
      <c r="H847" s="2">
        <v>23920</v>
      </c>
      <c r="I847" s="2">
        <v>45414</v>
      </c>
      <c r="J847" s="1">
        <v>1.83</v>
      </c>
      <c r="K847" s="1">
        <f t="shared" si="28"/>
        <v>69.715680000000006</v>
      </c>
      <c r="L847" s="1">
        <f t="shared" si="29"/>
        <v>3739.8843200000001</v>
      </c>
    </row>
    <row r="848" spans="1:12" x14ac:dyDescent="0.35">
      <c r="A848" s="1">
        <v>1846</v>
      </c>
      <c r="B848" s="2">
        <v>44952</v>
      </c>
      <c r="C848" s="1" t="s">
        <v>10</v>
      </c>
      <c r="D848" s="1" t="s">
        <v>30</v>
      </c>
      <c r="E848" s="1" t="s">
        <v>31</v>
      </c>
      <c r="F848" s="1">
        <v>3256.35</v>
      </c>
      <c r="G848" s="1" t="s">
        <v>249</v>
      </c>
      <c r="H848" s="2">
        <v>28555</v>
      </c>
      <c r="I848" s="2">
        <v>44958</v>
      </c>
      <c r="J848" s="1">
        <v>24.45</v>
      </c>
      <c r="K848" s="1">
        <f t="shared" si="28"/>
        <v>796.17757499999993</v>
      </c>
      <c r="L848" s="1">
        <f t="shared" si="29"/>
        <v>2460.1724249999997</v>
      </c>
    </row>
    <row r="849" spans="1:12" x14ac:dyDescent="0.35">
      <c r="A849" s="1">
        <v>1847</v>
      </c>
      <c r="B849" s="2">
        <v>44849</v>
      </c>
      <c r="C849" s="1" t="s">
        <v>21</v>
      </c>
      <c r="D849" s="1" t="s">
        <v>33</v>
      </c>
      <c r="E849" s="1" t="s">
        <v>16</v>
      </c>
      <c r="F849" s="1">
        <v>2688.59</v>
      </c>
      <c r="G849" s="1" t="s">
        <v>158</v>
      </c>
      <c r="H849" s="2">
        <v>34871</v>
      </c>
      <c r="I849" s="2">
        <v>44861</v>
      </c>
      <c r="J849" s="1">
        <v>38.090000000000003</v>
      </c>
      <c r="K849" s="1">
        <f t="shared" si="28"/>
        <v>1024.0839310000001</v>
      </c>
      <c r="L849" s="1">
        <f t="shared" si="29"/>
        <v>1664.506069</v>
      </c>
    </row>
    <row r="850" spans="1:12" x14ac:dyDescent="0.35">
      <c r="A850" s="1">
        <v>1848</v>
      </c>
      <c r="B850" s="2">
        <v>44156</v>
      </c>
      <c r="C850" s="1" t="s">
        <v>21</v>
      </c>
      <c r="D850" s="1" t="s">
        <v>18</v>
      </c>
      <c r="E850" s="1" t="s">
        <v>19</v>
      </c>
      <c r="F850" s="1">
        <v>3719.38</v>
      </c>
      <c r="G850" s="1" t="s">
        <v>264</v>
      </c>
      <c r="H850" s="2">
        <v>30232</v>
      </c>
      <c r="I850" s="2">
        <v>44169</v>
      </c>
      <c r="J850" s="1">
        <v>11</v>
      </c>
      <c r="K850" s="1">
        <f t="shared" si="28"/>
        <v>409.1318</v>
      </c>
      <c r="L850" s="1">
        <f t="shared" si="29"/>
        <v>3310.2482</v>
      </c>
    </row>
    <row r="851" spans="1:12" x14ac:dyDescent="0.35">
      <c r="A851" s="1">
        <v>1849</v>
      </c>
      <c r="B851" s="2">
        <v>45543</v>
      </c>
      <c r="C851" s="1" t="s">
        <v>26</v>
      </c>
      <c r="D851" s="1" t="s">
        <v>38</v>
      </c>
      <c r="E851" s="1" t="s">
        <v>28</v>
      </c>
      <c r="F851" s="1">
        <v>3753.68</v>
      </c>
      <c r="G851" s="1" t="s">
        <v>29</v>
      </c>
      <c r="H851" s="2">
        <v>24033</v>
      </c>
      <c r="I851" s="2">
        <v>45548</v>
      </c>
      <c r="J851" s="1">
        <v>4.47</v>
      </c>
      <c r="K851" s="1">
        <f t="shared" si="28"/>
        <v>167.78949599999999</v>
      </c>
      <c r="L851" s="1">
        <f t="shared" si="29"/>
        <v>3585.890504</v>
      </c>
    </row>
    <row r="852" spans="1:12" x14ac:dyDescent="0.35">
      <c r="A852" s="1">
        <v>1850</v>
      </c>
      <c r="B852" s="2">
        <v>44377</v>
      </c>
      <c r="C852" s="1" t="s">
        <v>10</v>
      </c>
      <c r="D852" s="1" t="s">
        <v>58</v>
      </c>
      <c r="E852" s="1" t="s">
        <v>31</v>
      </c>
      <c r="F852" s="1">
        <v>2546.6</v>
      </c>
      <c r="G852" s="1" t="s">
        <v>79</v>
      </c>
      <c r="H852" s="2">
        <v>28675</v>
      </c>
      <c r="I852" s="2">
        <v>44389</v>
      </c>
      <c r="J852" s="1">
        <v>20</v>
      </c>
      <c r="K852" s="1">
        <f t="shared" si="28"/>
        <v>509.32</v>
      </c>
      <c r="L852" s="1">
        <f t="shared" si="29"/>
        <v>2037.28</v>
      </c>
    </row>
    <row r="853" spans="1:12" x14ac:dyDescent="0.35">
      <c r="A853" s="1">
        <v>1851</v>
      </c>
      <c r="B853" s="2">
        <v>44300</v>
      </c>
      <c r="C853" s="1" t="s">
        <v>10</v>
      </c>
      <c r="D853" s="1" t="s">
        <v>27</v>
      </c>
      <c r="E853" s="1" t="s">
        <v>28</v>
      </c>
      <c r="F853" s="1">
        <v>2154.15</v>
      </c>
      <c r="G853" s="1" t="s">
        <v>115</v>
      </c>
      <c r="H853" s="2">
        <v>29486</v>
      </c>
      <c r="I853" s="2">
        <v>44302</v>
      </c>
      <c r="J853" s="1">
        <v>29.73</v>
      </c>
      <c r="K853" s="1">
        <f t="shared" si="28"/>
        <v>640.42879500000004</v>
      </c>
      <c r="L853" s="1">
        <f t="shared" si="29"/>
        <v>1513.7212050000001</v>
      </c>
    </row>
    <row r="854" spans="1:12" x14ac:dyDescent="0.35">
      <c r="A854" s="1">
        <v>1852</v>
      </c>
      <c r="B854" s="2">
        <v>45095</v>
      </c>
      <c r="C854" s="1" t="s">
        <v>26</v>
      </c>
      <c r="D854" s="1" t="s">
        <v>55</v>
      </c>
      <c r="E854" s="1" t="s">
        <v>31</v>
      </c>
      <c r="F854" s="1">
        <v>2704.11</v>
      </c>
      <c r="G854" s="1" t="s">
        <v>318</v>
      </c>
      <c r="H854" s="2">
        <v>29040</v>
      </c>
      <c r="I854" s="2">
        <v>45105</v>
      </c>
      <c r="J854" s="1">
        <v>47.58</v>
      </c>
      <c r="K854" s="1">
        <f t="shared" si="28"/>
        <v>1286.615538</v>
      </c>
      <c r="L854" s="1">
        <f t="shared" si="29"/>
        <v>1417.4944620000001</v>
      </c>
    </row>
    <row r="855" spans="1:12" x14ac:dyDescent="0.35">
      <c r="A855" s="1">
        <v>1853</v>
      </c>
      <c r="B855" s="2">
        <v>45761</v>
      </c>
      <c r="C855" s="1" t="s">
        <v>26</v>
      </c>
      <c r="D855" s="1" t="s">
        <v>44</v>
      </c>
      <c r="E855" s="1" t="s">
        <v>16</v>
      </c>
      <c r="F855" s="1">
        <v>4847.57</v>
      </c>
      <c r="G855" s="1" t="s">
        <v>129</v>
      </c>
      <c r="H855" s="2">
        <v>26668</v>
      </c>
      <c r="I855" s="2">
        <v>45774</v>
      </c>
      <c r="J855" s="1">
        <v>20.95</v>
      </c>
      <c r="K855" s="1">
        <f t="shared" si="28"/>
        <v>1015.5659149999999</v>
      </c>
      <c r="L855" s="1">
        <f t="shared" si="29"/>
        <v>3832.0040849999996</v>
      </c>
    </row>
    <row r="856" spans="1:12" x14ac:dyDescent="0.35">
      <c r="A856" s="1">
        <v>1854</v>
      </c>
      <c r="B856" s="2">
        <v>44775</v>
      </c>
      <c r="C856" s="1" t="s">
        <v>14</v>
      </c>
      <c r="D856" s="1" t="s">
        <v>102</v>
      </c>
      <c r="E856" s="1" t="s">
        <v>12</v>
      </c>
      <c r="F856" s="1">
        <v>1515.6</v>
      </c>
      <c r="G856" s="1" t="s">
        <v>288</v>
      </c>
      <c r="H856" s="2">
        <v>29810</v>
      </c>
      <c r="I856" s="2">
        <v>44776</v>
      </c>
      <c r="J856" s="1">
        <v>41.79</v>
      </c>
      <c r="K856" s="1">
        <f t="shared" si="28"/>
        <v>633.36923999999999</v>
      </c>
      <c r="L856" s="1">
        <f t="shared" si="29"/>
        <v>882.23075999999992</v>
      </c>
    </row>
    <row r="857" spans="1:12" x14ac:dyDescent="0.35">
      <c r="A857" s="1">
        <v>1855</v>
      </c>
      <c r="B857" s="2">
        <v>45325</v>
      </c>
      <c r="C857" s="1" t="s">
        <v>21</v>
      </c>
      <c r="D857" s="1" t="s">
        <v>40</v>
      </c>
      <c r="E857" s="1" t="s">
        <v>16</v>
      </c>
      <c r="F857" s="1">
        <v>3383.21</v>
      </c>
      <c r="G857" s="1" t="s">
        <v>90</v>
      </c>
      <c r="H857" s="2">
        <v>29348</v>
      </c>
      <c r="I857" s="2">
        <v>45339</v>
      </c>
      <c r="J857" s="1">
        <v>0.5</v>
      </c>
      <c r="K857" s="1">
        <f t="shared" si="28"/>
        <v>16.916050000000002</v>
      </c>
      <c r="L857" s="1">
        <f t="shared" si="29"/>
        <v>3366.2939500000002</v>
      </c>
    </row>
    <row r="858" spans="1:12" x14ac:dyDescent="0.35">
      <c r="A858" s="1">
        <v>1856</v>
      </c>
      <c r="B858" s="2">
        <v>45470</v>
      </c>
      <c r="C858" s="1" t="s">
        <v>21</v>
      </c>
      <c r="D858" s="1" t="s">
        <v>102</v>
      </c>
      <c r="E858" s="1" t="s">
        <v>12</v>
      </c>
      <c r="F858" s="1">
        <v>2564.0300000000002</v>
      </c>
      <c r="G858" s="1" t="s">
        <v>151</v>
      </c>
      <c r="H858" s="2">
        <v>34427</v>
      </c>
      <c r="I858" s="2">
        <v>45472</v>
      </c>
      <c r="J858" s="1">
        <v>18.93</v>
      </c>
      <c r="K858" s="1">
        <f t="shared" si="28"/>
        <v>485.370879</v>
      </c>
      <c r="L858" s="1">
        <f t="shared" si="29"/>
        <v>2078.6591210000001</v>
      </c>
    </row>
    <row r="859" spans="1:12" x14ac:dyDescent="0.35">
      <c r="A859" s="1">
        <v>1857</v>
      </c>
      <c r="B859" s="2">
        <v>44287</v>
      </c>
      <c r="C859" s="1" t="s">
        <v>35</v>
      </c>
      <c r="D859" s="1" t="s">
        <v>36</v>
      </c>
      <c r="E859" s="1" t="s">
        <v>28</v>
      </c>
      <c r="F859" s="1">
        <v>1906.35</v>
      </c>
      <c r="G859" s="1" t="s">
        <v>293</v>
      </c>
      <c r="H859" s="2">
        <v>26379</v>
      </c>
      <c r="I859" s="2">
        <v>44299</v>
      </c>
      <c r="J859" s="1">
        <v>49.06</v>
      </c>
      <c r="K859" s="1">
        <f t="shared" si="28"/>
        <v>935.25531000000001</v>
      </c>
      <c r="L859" s="1">
        <f t="shared" si="29"/>
        <v>971.0946899999999</v>
      </c>
    </row>
    <row r="860" spans="1:12" x14ac:dyDescent="0.35">
      <c r="A860" s="1">
        <v>1858</v>
      </c>
      <c r="B860" s="2">
        <v>44074</v>
      </c>
      <c r="C860" s="1" t="s">
        <v>26</v>
      </c>
      <c r="D860" s="1" t="s">
        <v>47</v>
      </c>
      <c r="E860" s="1" t="s">
        <v>12</v>
      </c>
      <c r="F860" s="1">
        <v>1614.92</v>
      </c>
      <c r="G860" s="1" t="s">
        <v>307</v>
      </c>
      <c r="H860" s="2">
        <v>30321</v>
      </c>
      <c r="I860" s="2">
        <v>44087</v>
      </c>
      <c r="J860" s="1">
        <v>30.95</v>
      </c>
      <c r="K860" s="1">
        <f t="shared" si="28"/>
        <v>499.81774000000001</v>
      </c>
      <c r="L860" s="1">
        <f t="shared" si="29"/>
        <v>1115.1022600000001</v>
      </c>
    </row>
    <row r="861" spans="1:12" x14ac:dyDescent="0.35">
      <c r="A861" s="1">
        <v>1859</v>
      </c>
      <c r="B861" s="2">
        <v>45255</v>
      </c>
      <c r="C861" s="1" t="s">
        <v>21</v>
      </c>
      <c r="D861" s="1" t="s">
        <v>30</v>
      </c>
      <c r="E861" s="1" t="s">
        <v>31</v>
      </c>
      <c r="F861" s="1">
        <v>3361.27</v>
      </c>
      <c r="G861" s="1" t="s">
        <v>152</v>
      </c>
      <c r="H861" s="2">
        <v>24792</v>
      </c>
      <c r="I861" s="2">
        <v>45261</v>
      </c>
      <c r="J861" s="1">
        <v>19.77</v>
      </c>
      <c r="K861" s="1">
        <f t="shared" si="28"/>
        <v>664.52307899999994</v>
      </c>
      <c r="L861" s="1">
        <f t="shared" si="29"/>
        <v>2696.7469209999999</v>
      </c>
    </row>
    <row r="862" spans="1:12" x14ac:dyDescent="0.35">
      <c r="A862" s="1">
        <v>1860</v>
      </c>
      <c r="B862" s="2">
        <v>44742</v>
      </c>
      <c r="C862" s="1" t="s">
        <v>10</v>
      </c>
      <c r="D862" s="1" t="s">
        <v>36</v>
      </c>
      <c r="E862" s="1" t="s">
        <v>28</v>
      </c>
      <c r="F862" s="1">
        <v>4381.4799999999996</v>
      </c>
      <c r="G862" s="1" t="s">
        <v>168</v>
      </c>
      <c r="H862" s="2">
        <v>37674</v>
      </c>
      <c r="I862" s="2">
        <v>44747</v>
      </c>
      <c r="J862" s="1">
        <v>34.39</v>
      </c>
      <c r="K862" s="1">
        <f t="shared" si="28"/>
        <v>1506.7909719999998</v>
      </c>
      <c r="L862" s="1">
        <f t="shared" si="29"/>
        <v>2874.6890279999998</v>
      </c>
    </row>
    <row r="863" spans="1:12" x14ac:dyDescent="0.35">
      <c r="A863" s="1">
        <v>1861</v>
      </c>
      <c r="B863" s="2">
        <v>45363</v>
      </c>
      <c r="C863" s="1" t="s">
        <v>10</v>
      </c>
      <c r="D863" s="1" t="s">
        <v>47</v>
      </c>
      <c r="E863" s="1" t="s">
        <v>12</v>
      </c>
      <c r="F863" s="1">
        <v>1228.29</v>
      </c>
      <c r="G863" s="1" t="s">
        <v>170</v>
      </c>
      <c r="H863" s="2">
        <v>34205</v>
      </c>
      <c r="I863" s="2">
        <v>45369</v>
      </c>
      <c r="J863" s="1">
        <v>37.17</v>
      </c>
      <c r="K863" s="1">
        <f t="shared" si="28"/>
        <v>456.55539300000004</v>
      </c>
      <c r="L863" s="1">
        <f t="shared" si="29"/>
        <v>771.73460699999987</v>
      </c>
    </row>
    <row r="864" spans="1:12" x14ac:dyDescent="0.35">
      <c r="A864" s="1">
        <v>1862</v>
      </c>
      <c r="B864" s="2">
        <v>45341</v>
      </c>
      <c r="C864" s="1" t="s">
        <v>35</v>
      </c>
      <c r="D864" s="1" t="s">
        <v>30</v>
      </c>
      <c r="E864" s="1" t="s">
        <v>31</v>
      </c>
      <c r="F864" s="1">
        <v>4132.25</v>
      </c>
      <c r="G864" s="1" t="s">
        <v>259</v>
      </c>
      <c r="H864" s="2">
        <v>29938</v>
      </c>
      <c r="I864" s="2">
        <v>45351</v>
      </c>
      <c r="J864" s="1">
        <v>5.89</v>
      </c>
      <c r="K864" s="1">
        <f t="shared" si="28"/>
        <v>243.38952499999996</v>
      </c>
      <c r="L864" s="1">
        <f t="shared" si="29"/>
        <v>3888.860475</v>
      </c>
    </row>
    <row r="865" spans="1:12" x14ac:dyDescent="0.35">
      <c r="A865" s="1">
        <v>1863</v>
      </c>
      <c r="B865" s="2">
        <v>45165</v>
      </c>
      <c r="C865" s="1" t="s">
        <v>21</v>
      </c>
      <c r="D865" s="1" t="s">
        <v>24</v>
      </c>
      <c r="E865" s="1" t="s">
        <v>19</v>
      </c>
      <c r="F865" s="1">
        <v>2580.6</v>
      </c>
      <c r="G865" s="1" t="s">
        <v>122</v>
      </c>
      <c r="H865" s="2">
        <v>29720</v>
      </c>
      <c r="I865" s="2">
        <v>45166</v>
      </c>
      <c r="J865" s="1">
        <v>43.12</v>
      </c>
      <c r="K865" s="1">
        <f t="shared" si="28"/>
        <v>1112.7547199999999</v>
      </c>
      <c r="L865" s="1">
        <f t="shared" si="29"/>
        <v>1467.84528</v>
      </c>
    </row>
    <row r="866" spans="1:12" x14ac:dyDescent="0.35">
      <c r="A866" s="1">
        <v>1864</v>
      </c>
      <c r="B866" s="2">
        <v>44130</v>
      </c>
      <c r="C866" s="1" t="s">
        <v>35</v>
      </c>
      <c r="D866" s="1" t="s">
        <v>71</v>
      </c>
      <c r="E866" s="1" t="s">
        <v>31</v>
      </c>
      <c r="F866" s="1">
        <v>3797.46</v>
      </c>
      <c r="G866" s="1" t="s">
        <v>39</v>
      </c>
      <c r="H866" s="2">
        <v>26282</v>
      </c>
      <c r="I866" s="2">
        <v>44133</v>
      </c>
      <c r="J866" s="1">
        <v>12.07</v>
      </c>
      <c r="K866" s="1">
        <f t="shared" si="28"/>
        <v>458.35342200000002</v>
      </c>
      <c r="L866" s="1">
        <f t="shared" si="29"/>
        <v>3339.1065779999999</v>
      </c>
    </row>
    <row r="867" spans="1:12" x14ac:dyDescent="0.35">
      <c r="A867" s="1">
        <v>1865</v>
      </c>
      <c r="B867" s="2">
        <v>44388</v>
      </c>
      <c r="C867" s="1" t="s">
        <v>26</v>
      </c>
      <c r="D867" s="1" t="s">
        <v>18</v>
      </c>
      <c r="E867" s="1" t="s">
        <v>19</v>
      </c>
      <c r="F867" s="1">
        <v>4549.6400000000003</v>
      </c>
      <c r="G867" s="1" t="s">
        <v>179</v>
      </c>
      <c r="H867" s="2">
        <v>30356</v>
      </c>
      <c r="I867" s="2">
        <v>44401</v>
      </c>
      <c r="J867" s="1">
        <v>10.16</v>
      </c>
      <c r="K867" s="1">
        <f t="shared" si="28"/>
        <v>462.243424</v>
      </c>
      <c r="L867" s="1">
        <f t="shared" si="29"/>
        <v>4087.3965760000001</v>
      </c>
    </row>
    <row r="868" spans="1:12" x14ac:dyDescent="0.35">
      <c r="A868" s="1">
        <v>1866</v>
      </c>
      <c r="B868" s="2">
        <v>45399</v>
      </c>
      <c r="C868" s="1" t="s">
        <v>10</v>
      </c>
      <c r="D868" s="1" t="s">
        <v>61</v>
      </c>
      <c r="E868" s="1" t="s">
        <v>19</v>
      </c>
      <c r="F868" s="1">
        <v>1168.96</v>
      </c>
      <c r="G868" s="1" t="s">
        <v>209</v>
      </c>
      <c r="H868" s="2">
        <v>28522</v>
      </c>
      <c r="I868" s="2">
        <v>45401</v>
      </c>
      <c r="J868" s="1">
        <v>28.15</v>
      </c>
      <c r="K868" s="1">
        <f t="shared" si="28"/>
        <v>329.06223999999997</v>
      </c>
      <c r="L868" s="1">
        <f t="shared" si="29"/>
        <v>839.89776000000006</v>
      </c>
    </row>
    <row r="869" spans="1:12" x14ac:dyDescent="0.35">
      <c r="A869" s="1">
        <v>1867</v>
      </c>
      <c r="B869" s="2">
        <v>44281</v>
      </c>
      <c r="C869" s="1" t="s">
        <v>26</v>
      </c>
      <c r="D869" s="1" t="s">
        <v>15</v>
      </c>
      <c r="E869" s="1" t="s">
        <v>16</v>
      </c>
      <c r="F869" s="1">
        <v>1671.07</v>
      </c>
      <c r="G869" s="1" t="s">
        <v>256</v>
      </c>
      <c r="H869" s="2">
        <v>34537</v>
      </c>
      <c r="I869" s="2">
        <v>44282</v>
      </c>
      <c r="J869" s="1">
        <v>24.73</v>
      </c>
      <c r="K869" s="1">
        <f t="shared" si="28"/>
        <v>413.25561099999999</v>
      </c>
      <c r="L869" s="1">
        <f t="shared" si="29"/>
        <v>1257.8143889999999</v>
      </c>
    </row>
    <row r="870" spans="1:12" x14ac:dyDescent="0.35">
      <c r="A870" s="1">
        <v>1868</v>
      </c>
      <c r="B870" s="2">
        <v>44618</v>
      </c>
      <c r="C870" s="1" t="s">
        <v>26</v>
      </c>
      <c r="D870" s="1" t="s">
        <v>40</v>
      </c>
      <c r="E870" s="1" t="s">
        <v>16</v>
      </c>
      <c r="F870" s="1">
        <v>937.21</v>
      </c>
      <c r="G870" s="1" t="s">
        <v>308</v>
      </c>
      <c r="H870" s="2">
        <v>35336</v>
      </c>
      <c r="I870" s="2">
        <v>44625</v>
      </c>
      <c r="J870" s="1">
        <v>17.100000000000001</v>
      </c>
      <c r="K870" s="1">
        <f t="shared" si="28"/>
        <v>160.26291000000001</v>
      </c>
      <c r="L870" s="1">
        <f t="shared" si="29"/>
        <v>776.94709</v>
      </c>
    </row>
    <row r="871" spans="1:12" x14ac:dyDescent="0.35">
      <c r="A871" s="1">
        <v>1869</v>
      </c>
      <c r="B871" s="2">
        <v>44481</v>
      </c>
      <c r="C871" s="1" t="s">
        <v>21</v>
      </c>
      <c r="D871" s="1" t="s">
        <v>18</v>
      </c>
      <c r="E871" s="1" t="s">
        <v>19</v>
      </c>
      <c r="F871" s="1">
        <v>2759.07</v>
      </c>
      <c r="G871" s="1" t="s">
        <v>48</v>
      </c>
      <c r="H871" s="2">
        <v>22315</v>
      </c>
      <c r="I871" s="2">
        <v>44487</v>
      </c>
      <c r="J871" s="1">
        <v>3.82</v>
      </c>
      <c r="K871" s="1">
        <f t="shared" si="28"/>
        <v>105.396474</v>
      </c>
      <c r="L871" s="1">
        <f t="shared" si="29"/>
        <v>2653.673526</v>
      </c>
    </row>
    <row r="872" spans="1:12" x14ac:dyDescent="0.35">
      <c r="A872" s="1">
        <v>1870</v>
      </c>
      <c r="B872" s="2">
        <v>44294</v>
      </c>
      <c r="C872" s="1" t="s">
        <v>35</v>
      </c>
      <c r="D872" s="1" t="s">
        <v>40</v>
      </c>
      <c r="E872" s="1" t="s">
        <v>16</v>
      </c>
      <c r="F872" s="1">
        <v>107.06</v>
      </c>
      <c r="G872" s="1" t="s">
        <v>99</v>
      </c>
      <c r="H872" s="2">
        <v>26397</v>
      </c>
      <c r="I872" s="2">
        <v>44308</v>
      </c>
      <c r="J872" s="1">
        <v>7.95</v>
      </c>
      <c r="K872" s="1">
        <f t="shared" si="28"/>
        <v>8.5112699999999997</v>
      </c>
      <c r="L872" s="1">
        <f t="shared" si="29"/>
        <v>98.548730000000006</v>
      </c>
    </row>
    <row r="873" spans="1:12" x14ac:dyDescent="0.35">
      <c r="A873" s="1">
        <v>1871</v>
      </c>
      <c r="B873" s="2">
        <v>44943</v>
      </c>
      <c r="C873" s="1" t="s">
        <v>21</v>
      </c>
      <c r="D873" s="1" t="s">
        <v>24</v>
      </c>
      <c r="E873" s="1" t="s">
        <v>19</v>
      </c>
      <c r="F873" s="1">
        <v>1991.2</v>
      </c>
      <c r="G873" s="1" t="s">
        <v>151</v>
      </c>
      <c r="H873" s="2">
        <v>34427</v>
      </c>
      <c r="I873" s="2">
        <v>44955</v>
      </c>
      <c r="J873" s="1">
        <v>36.869999999999997</v>
      </c>
      <c r="K873" s="1">
        <f t="shared" si="28"/>
        <v>734.15544</v>
      </c>
      <c r="L873" s="1">
        <f t="shared" si="29"/>
        <v>1257.04456</v>
      </c>
    </row>
    <row r="874" spans="1:12" x14ac:dyDescent="0.35">
      <c r="A874" s="1">
        <v>1872</v>
      </c>
      <c r="B874" s="2">
        <v>45225</v>
      </c>
      <c r="C874" s="1" t="s">
        <v>26</v>
      </c>
      <c r="D874" s="1" t="s">
        <v>27</v>
      </c>
      <c r="E874" s="1" t="s">
        <v>28</v>
      </c>
      <c r="F874" s="1">
        <v>4245.3900000000003</v>
      </c>
      <c r="G874" s="1" t="s">
        <v>17</v>
      </c>
      <c r="H874" s="2">
        <v>26484</v>
      </c>
      <c r="I874" s="2">
        <v>45239</v>
      </c>
      <c r="J874" s="1">
        <v>43.28</v>
      </c>
      <c r="K874" s="1">
        <f t="shared" si="28"/>
        <v>1837.4047920000003</v>
      </c>
      <c r="L874" s="1">
        <f t="shared" si="29"/>
        <v>2407.9852080000001</v>
      </c>
    </row>
    <row r="875" spans="1:12" x14ac:dyDescent="0.35">
      <c r="A875" s="1">
        <v>1873</v>
      </c>
      <c r="B875" s="2">
        <v>44844</v>
      </c>
      <c r="C875" s="1" t="s">
        <v>10</v>
      </c>
      <c r="D875" s="1" t="s">
        <v>47</v>
      </c>
      <c r="E875" s="1" t="s">
        <v>12</v>
      </c>
      <c r="F875" s="1">
        <v>824.63</v>
      </c>
      <c r="G875" s="1" t="s">
        <v>302</v>
      </c>
      <c r="H875" s="2">
        <v>32940</v>
      </c>
      <c r="I875" s="2">
        <v>44857</v>
      </c>
      <c r="J875" s="1">
        <v>18.21</v>
      </c>
      <c r="K875" s="1">
        <f t="shared" si="28"/>
        <v>150.16512300000002</v>
      </c>
      <c r="L875" s="1">
        <f t="shared" si="29"/>
        <v>674.464877</v>
      </c>
    </row>
    <row r="876" spans="1:12" x14ac:dyDescent="0.35">
      <c r="A876" s="1">
        <v>1874</v>
      </c>
      <c r="B876" s="2">
        <v>45511</v>
      </c>
      <c r="C876" s="1" t="s">
        <v>10</v>
      </c>
      <c r="D876" s="1" t="s">
        <v>27</v>
      </c>
      <c r="E876" s="1" t="s">
        <v>28</v>
      </c>
      <c r="F876" s="1">
        <v>3686.64</v>
      </c>
      <c r="G876" s="1" t="s">
        <v>128</v>
      </c>
      <c r="H876" s="2">
        <v>37961</v>
      </c>
      <c r="I876" s="2">
        <v>45515</v>
      </c>
      <c r="J876" s="1">
        <v>29.45</v>
      </c>
      <c r="K876" s="1">
        <f t="shared" si="28"/>
        <v>1085.7154799999998</v>
      </c>
      <c r="L876" s="1">
        <f t="shared" si="29"/>
        <v>2600.92452</v>
      </c>
    </row>
    <row r="877" spans="1:12" x14ac:dyDescent="0.35">
      <c r="A877" s="1">
        <v>1875</v>
      </c>
      <c r="B877" s="2">
        <v>44441</v>
      </c>
      <c r="C877" s="1" t="s">
        <v>35</v>
      </c>
      <c r="D877" s="1" t="s">
        <v>88</v>
      </c>
      <c r="E877" s="1" t="s">
        <v>16</v>
      </c>
      <c r="F877" s="1">
        <v>4552.8100000000004</v>
      </c>
      <c r="G877" s="1" t="s">
        <v>242</v>
      </c>
      <c r="H877" s="2">
        <v>21785</v>
      </c>
      <c r="I877" s="2">
        <v>44447</v>
      </c>
      <c r="J877" s="1">
        <v>24.52</v>
      </c>
      <c r="K877" s="1">
        <f t="shared" si="28"/>
        <v>1116.3490120000001</v>
      </c>
      <c r="L877" s="1">
        <f t="shared" si="29"/>
        <v>3436.4609880000003</v>
      </c>
    </row>
    <row r="878" spans="1:12" x14ac:dyDescent="0.35">
      <c r="A878" s="1">
        <v>1876</v>
      </c>
      <c r="B878" s="2">
        <v>44153</v>
      </c>
      <c r="C878" s="1" t="s">
        <v>14</v>
      </c>
      <c r="D878" s="1" t="s">
        <v>69</v>
      </c>
      <c r="E878" s="1" t="s">
        <v>12</v>
      </c>
      <c r="F878" s="1">
        <v>4191.99</v>
      </c>
      <c r="G878" s="1" t="s">
        <v>41</v>
      </c>
      <c r="H878" s="2">
        <v>35818</v>
      </c>
      <c r="I878" s="2">
        <v>44157</v>
      </c>
      <c r="J878" s="1">
        <v>49.69</v>
      </c>
      <c r="K878" s="1">
        <f t="shared" si="28"/>
        <v>2082.9998309999996</v>
      </c>
      <c r="L878" s="1">
        <f t="shared" si="29"/>
        <v>2108.9901690000002</v>
      </c>
    </row>
    <row r="879" spans="1:12" x14ac:dyDescent="0.35">
      <c r="A879" s="1">
        <v>1877</v>
      </c>
      <c r="B879" s="2">
        <v>45420</v>
      </c>
      <c r="C879" s="1" t="s">
        <v>21</v>
      </c>
      <c r="D879" s="1" t="s">
        <v>55</v>
      </c>
      <c r="E879" s="1" t="s">
        <v>31</v>
      </c>
      <c r="F879" s="1">
        <v>2333.7399999999998</v>
      </c>
      <c r="G879" s="1" t="s">
        <v>275</v>
      </c>
      <c r="H879" s="2">
        <v>38510</v>
      </c>
      <c r="I879" s="2">
        <v>45423</v>
      </c>
      <c r="J879" s="1">
        <v>19</v>
      </c>
      <c r="K879" s="1">
        <f t="shared" si="28"/>
        <v>443.41059999999999</v>
      </c>
      <c r="L879" s="1">
        <f t="shared" si="29"/>
        <v>1890.3293999999999</v>
      </c>
    </row>
    <row r="880" spans="1:12" x14ac:dyDescent="0.35">
      <c r="A880" s="1">
        <v>1878</v>
      </c>
      <c r="B880" s="2">
        <v>45672</v>
      </c>
      <c r="C880" s="1" t="s">
        <v>21</v>
      </c>
      <c r="D880" s="1" t="s">
        <v>58</v>
      </c>
      <c r="E880" s="1" t="s">
        <v>31</v>
      </c>
      <c r="F880" s="1">
        <v>2214.59</v>
      </c>
      <c r="G880" s="1" t="s">
        <v>246</v>
      </c>
      <c r="H880" s="2">
        <v>25815</v>
      </c>
      <c r="I880" s="2">
        <v>45680</v>
      </c>
      <c r="J880" s="1">
        <v>35.99</v>
      </c>
      <c r="K880" s="1">
        <f t="shared" si="28"/>
        <v>797.0309410000001</v>
      </c>
      <c r="L880" s="1">
        <f t="shared" si="29"/>
        <v>1417.5590590000002</v>
      </c>
    </row>
    <row r="881" spans="1:12" x14ac:dyDescent="0.35">
      <c r="A881" s="1">
        <v>1879</v>
      </c>
      <c r="B881" s="2">
        <v>45408</v>
      </c>
      <c r="C881" s="1" t="s">
        <v>35</v>
      </c>
      <c r="D881" s="1" t="s">
        <v>61</v>
      </c>
      <c r="E881" s="1" t="s">
        <v>19</v>
      </c>
      <c r="F881" s="1">
        <v>4760.96</v>
      </c>
      <c r="G881" s="1" t="s">
        <v>302</v>
      </c>
      <c r="H881" s="2">
        <v>32940</v>
      </c>
      <c r="I881" s="2">
        <v>45419</v>
      </c>
      <c r="J881" s="1">
        <v>35.76</v>
      </c>
      <c r="K881" s="1">
        <f t="shared" si="28"/>
        <v>1702.5192959999999</v>
      </c>
      <c r="L881" s="1">
        <f t="shared" si="29"/>
        <v>3058.4407040000001</v>
      </c>
    </row>
    <row r="882" spans="1:12" x14ac:dyDescent="0.35">
      <c r="A882" s="1">
        <v>1880</v>
      </c>
      <c r="B882" s="2">
        <v>45566</v>
      </c>
      <c r="C882" s="1" t="s">
        <v>10</v>
      </c>
      <c r="D882" s="1" t="s">
        <v>102</v>
      </c>
      <c r="E882" s="1" t="s">
        <v>12</v>
      </c>
      <c r="F882" s="1">
        <v>3235.85</v>
      </c>
      <c r="G882" s="1" t="s">
        <v>182</v>
      </c>
      <c r="H882" s="2">
        <v>24719</v>
      </c>
      <c r="I882" s="2">
        <v>45571</v>
      </c>
      <c r="J882" s="1">
        <v>45.02</v>
      </c>
      <c r="K882" s="1">
        <f t="shared" si="28"/>
        <v>1456.7796700000001</v>
      </c>
      <c r="L882" s="1">
        <f t="shared" si="29"/>
        <v>1779.0703299999998</v>
      </c>
    </row>
    <row r="883" spans="1:12" x14ac:dyDescent="0.35">
      <c r="A883" s="1">
        <v>1881</v>
      </c>
      <c r="B883" s="2">
        <v>44299</v>
      </c>
      <c r="C883" s="1" t="s">
        <v>21</v>
      </c>
      <c r="D883" s="1" t="s">
        <v>49</v>
      </c>
      <c r="E883" s="1" t="s">
        <v>12</v>
      </c>
      <c r="F883" s="1">
        <v>126.77</v>
      </c>
      <c r="G883" s="1" t="s">
        <v>60</v>
      </c>
      <c r="H883" s="2">
        <v>33482</v>
      </c>
      <c r="I883" s="2">
        <v>44306</v>
      </c>
      <c r="J883" s="1">
        <v>22.3</v>
      </c>
      <c r="K883" s="1">
        <f t="shared" si="28"/>
        <v>28.26971</v>
      </c>
      <c r="L883" s="1">
        <f t="shared" si="29"/>
        <v>98.500289999999993</v>
      </c>
    </row>
    <row r="884" spans="1:12" x14ac:dyDescent="0.35">
      <c r="A884" s="1">
        <v>1882</v>
      </c>
      <c r="B884" s="2">
        <v>44507</v>
      </c>
      <c r="C884" s="1" t="s">
        <v>10</v>
      </c>
      <c r="D884" s="1" t="s">
        <v>30</v>
      </c>
      <c r="E884" s="1" t="s">
        <v>31</v>
      </c>
      <c r="F884" s="1">
        <v>1293.52</v>
      </c>
      <c r="G884" s="1" t="s">
        <v>227</v>
      </c>
      <c r="H884" s="2">
        <v>34932</v>
      </c>
      <c r="I884" s="2">
        <v>44508</v>
      </c>
      <c r="J884" s="1">
        <v>14.31</v>
      </c>
      <c r="K884" s="1">
        <f t="shared" si="28"/>
        <v>185.102712</v>
      </c>
      <c r="L884" s="1">
        <f t="shared" si="29"/>
        <v>1108.4172880000001</v>
      </c>
    </row>
    <row r="885" spans="1:12" x14ac:dyDescent="0.35">
      <c r="A885" s="1">
        <v>1883</v>
      </c>
      <c r="B885" s="2">
        <v>45054</v>
      </c>
      <c r="C885" s="1" t="s">
        <v>35</v>
      </c>
      <c r="D885" s="1" t="s">
        <v>49</v>
      </c>
      <c r="E885" s="1" t="s">
        <v>12</v>
      </c>
      <c r="F885" s="1">
        <v>317.56</v>
      </c>
      <c r="G885" s="1" t="s">
        <v>156</v>
      </c>
      <c r="H885" s="2">
        <v>38693</v>
      </c>
      <c r="I885" s="2">
        <v>45061</v>
      </c>
      <c r="J885" s="1">
        <v>1.25</v>
      </c>
      <c r="K885" s="1">
        <f t="shared" si="28"/>
        <v>3.9695</v>
      </c>
      <c r="L885" s="1">
        <f t="shared" si="29"/>
        <v>313.59050000000002</v>
      </c>
    </row>
    <row r="886" spans="1:12" x14ac:dyDescent="0.35">
      <c r="A886" s="1">
        <v>1884</v>
      </c>
      <c r="B886" s="2">
        <v>45504</v>
      </c>
      <c r="C886" s="1" t="s">
        <v>35</v>
      </c>
      <c r="D886" s="1" t="s">
        <v>47</v>
      </c>
      <c r="E886" s="1" t="s">
        <v>12</v>
      </c>
      <c r="F886" s="1">
        <v>2637.23</v>
      </c>
      <c r="G886" s="1" t="s">
        <v>183</v>
      </c>
      <c r="H886" s="2">
        <v>32359</v>
      </c>
      <c r="I886" s="2">
        <v>45507</v>
      </c>
      <c r="J886" s="1">
        <v>31.36</v>
      </c>
      <c r="K886" s="1">
        <f t="shared" si="28"/>
        <v>827.03532799999994</v>
      </c>
      <c r="L886" s="1">
        <f t="shared" si="29"/>
        <v>1810.1946720000001</v>
      </c>
    </row>
    <row r="887" spans="1:12" x14ac:dyDescent="0.35">
      <c r="A887" s="1">
        <v>1885</v>
      </c>
      <c r="B887" s="2">
        <v>45328</v>
      </c>
      <c r="C887" s="1" t="s">
        <v>14</v>
      </c>
      <c r="D887" s="1" t="s">
        <v>22</v>
      </c>
      <c r="E887" s="1" t="s">
        <v>19</v>
      </c>
      <c r="F887" s="1">
        <v>224.05</v>
      </c>
      <c r="G887" s="1" t="s">
        <v>313</v>
      </c>
      <c r="H887" s="2">
        <v>23039</v>
      </c>
      <c r="I887" s="2">
        <v>45331</v>
      </c>
      <c r="J887" s="1">
        <v>32.409999999999997</v>
      </c>
      <c r="K887" s="1">
        <f t="shared" si="28"/>
        <v>72.614604999999997</v>
      </c>
      <c r="L887" s="1">
        <f t="shared" si="29"/>
        <v>151.43539500000003</v>
      </c>
    </row>
    <row r="888" spans="1:12" x14ac:dyDescent="0.35">
      <c r="A888" s="1">
        <v>1886</v>
      </c>
      <c r="B888" s="2">
        <v>44555</v>
      </c>
      <c r="C888" s="1" t="s">
        <v>21</v>
      </c>
      <c r="D888" s="1" t="s">
        <v>102</v>
      </c>
      <c r="E888" s="1" t="s">
        <v>12</v>
      </c>
      <c r="F888" s="1">
        <v>4477.01</v>
      </c>
      <c r="G888" s="1" t="s">
        <v>276</v>
      </c>
      <c r="H888" s="2">
        <v>33394</v>
      </c>
      <c r="I888" s="2">
        <v>44566</v>
      </c>
      <c r="J888" s="1">
        <v>47.62</v>
      </c>
      <c r="K888" s="1">
        <f t="shared" si="28"/>
        <v>2131.952162</v>
      </c>
      <c r="L888" s="1">
        <f t="shared" si="29"/>
        <v>2345.0578380000002</v>
      </c>
    </row>
    <row r="889" spans="1:12" x14ac:dyDescent="0.35">
      <c r="A889" s="1">
        <v>1887</v>
      </c>
      <c r="B889" s="2">
        <v>44535</v>
      </c>
      <c r="C889" s="1" t="s">
        <v>14</v>
      </c>
      <c r="D889" s="1" t="s">
        <v>33</v>
      </c>
      <c r="E889" s="1" t="s">
        <v>16</v>
      </c>
      <c r="F889" s="1">
        <v>3116.12</v>
      </c>
      <c r="G889" s="1" t="s">
        <v>105</v>
      </c>
      <c r="H889" s="2">
        <v>35889</v>
      </c>
      <c r="I889" s="2">
        <v>44548</v>
      </c>
      <c r="J889" s="1">
        <v>2.15</v>
      </c>
      <c r="K889" s="1">
        <f t="shared" si="28"/>
        <v>66.996579999999994</v>
      </c>
      <c r="L889" s="1">
        <f t="shared" si="29"/>
        <v>3049.1234199999999</v>
      </c>
    </row>
    <row r="890" spans="1:12" x14ac:dyDescent="0.35">
      <c r="A890" s="1">
        <v>1888</v>
      </c>
      <c r="B890" s="2">
        <v>45855</v>
      </c>
      <c r="C890" s="1" t="s">
        <v>14</v>
      </c>
      <c r="D890" s="1" t="s">
        <v>36</v>
      </c>
      <c r="E890" s="1" t="s">
        <v>28</v>
      </c>
      <c r="F890" s="1">
        <v>2568.29</v>
      </c>
      <c r="G890" s="1" t="s">
        <v>92</v>
      </c>
      <c r="H890" s="2">
        <v>24544</v>
      </c>
      <c r="I890" s="2">
        <v>45856</v>
      </c>
      <c r="J890" s="1">
        <v>45.28</v>
      </c>
      <c r="K890" s="1">
        <f t="shared" si="28"/>
        <v>1162.9217120000001</v>
      </c>
      <c r="L890" s="1">
        <f t="shared" si="29"/>
        <v>1405.3682879999999</v>
      </c>
    </row>
    <row r="891" spans="1:12" x14ac:dyDescent="0.35">
      <c r="A891" s="1">
        <v>1889</v>
      </c>
      <c r="B891" s="2">
        <v>45770</v>
      </c>
      <c r="C891" s="1" t="s">
        <v>26</v>
      </c>
      <c r="D891" s="1" t="s">
        <v>27</v>
      </c>
      <c r="E891" s="1" t="s">
        <v>28</v>
      </c>
      <c r="F891" s="1">
        <v>3969.72</v>
      </c>
      <c r="G891" s="1" t="s">
        <v>25</v>
      </c>
      <c r="H891" s="2">
        <v>33386</v>
      </c>
      <c r="I891" s="2">
        <v>45782</v>
      </c>
      <c r="J891" s="1">
        <v>27.89</v>
      </c>
      <c r="K891" s="1">
        <f t="shared" si="28"/>
        <v>1107.154908</v>
      </c>
      <c r="L891" s="1">
        <f t="shared" si="29"/>
        <v>2862.5650919999998</v>
      </c>
    </row>
    <row r="892" spans="1:12" x14ac:dyDescent="0.35">
      <c r="A892" s="1">
        <v>1890</v>
      </c>
      <c r="B892" s="2">
        <v>44206</v>
      </c>
      <c r="C892" s="1" t="s">
        <v>26</v>
      </c>
      <c r="D892" s="1" t="s">
        <v>61</v>
      </c>
      <c r="E892" s="1" t="s">
        <v>19</v>
      </c>
      <c r="F892" s="1">
        <v>1915.12</v>
      </c>
      <c r="G892" s="1" t="s">
        <v>138</v>
      </c>
      <c r="H892" s="2">
        <v>25948</v>
      </c>
      <c r="I892" s="2">
        <v>44209</v>
      </c>
      <c r="J892" s="1">
        <v>3.09</v>
      </c>
      <c r="K892" s="1">
        <f t="shared" si="28"/>
        <v>59.177207999999993</v>
      </c>
      <c r="L892" s="1">
        <f t="shared" si="29"/>
        <v>1855.9427919999998</v>
      </c>
    </row>
    <row r="893" spans="1:12" x14ac:dyDescent="0.35">
      <c r="A893" s="1">
        <v>1891</v>
      </c>
      <c r="B893" s="2">
        <v>44188</v>
      </c>
      <c r="C893" s="1" t="s">
        <v>35</v>
      </c>
      <c r="D893" s="1" t="s">
        <v>15</v>
      </c>
      <c r="E893" s="1" t="s">
        <v>16</v>
      </c>
      <c r="F893" s="1">
        <v>2591.71</v>
      </c>
      <c r="G893" s="1" t="s">
        <v>43</v>
      </c>
      <c r="H893" s="2">
        <v>33702</v>
      </c>
      <c r="I893" s="2">
        <v>44192</v>
      </c>
      <c r="J893" s="1">
        <v>19.28</v>
      </c>
      <c r="K893" s="1">
        <f t="shared" si="28"/>
        <v>499.68168800000001</v>
      </c>
      <c r="L893" s="1">
        <f t="shared" si="29"/>
        <v>2092.0283119999999</v>
      </c>
    </row>
    <row r="894" spans="1:12" x14ac:dyDescent="0.35">
      <c r="A894" s="1">
        <v>1892</v>
      </c>
      <c r="B894" s="2">
        <v>45271</v>
      </c>
      <c r="C894" s="1" t="s">
        <v>10</v>
      </c>
      <c r="D894" s="1" t="s">
        <v>27</v>
      </c>
      <c r="E894" s="1" t="s">
        <v>28</v>
      </c>
      <c r="F894" s="1">
        <v>1237.6600000000001</v>
      </c>
      <c r="G894" s="1" t="s">
        <v>135</v>
      </c>
      <c r="H894" s="2">
        <v>38018</v>
      </c>
      <c r="I894" s="2">
        <v>45272</v>
      </c>
      <c r="J894" s="1">
        <v>31.1</v>
      </c>
      <c r="K894" s="1">
        <f t="shared" si="28"/>
        <v>384.91226</v>
      </c>
      <c r="L894" s="1">
        <f t="shared" si="29"/>
        <v>852.74774000000002</v>
      </c>
    </row>
    <row r="895" spans="1:12" x14ac:dyDescent="0.35">
      <c r="A895" s="1">
        <v>1893</v>
      </c>
      <c r="B895" s="2">
        <v>44597</v>
      </c>
      <c r="C895" s="1" t="s">
        <v>35</v>
      </c>
      <c r="D895" s="1" t="s">
        <v>27</v>
      </c>
      <c r="E895" s="1" t="s">
        <v>28</v>
      </c>
      <c r="F895" s="1">
        <v>1953.69</v>
      </c>
      <c r="G895" s="1" t="s">
        <v>163</v>
      </c>
      <c r="H895" s="2">
        <v>30364</v>
      </c>
      <c r="I895" s="2">
        <v>44611</v>
      </c>
      <c r="J895" s="1">
        <v>32.869999999999997</v>
      </c>
      <c r="K895" s="1">
        <f t="shared" si="28"/>
        <v>642.17790300000001</v>
      </c>
      <c r="L895" s="1">
        <f t="shared" si="29"/>
        <v>1311.512097</v>
      </c>
    </row>
    <row r="896" spans="1:12" x14ac:dyDescent="0.35">
      <c r="A896" s="1">
        <v>1894</v>
      </c>
      <c r="B896" s="2">
        <v>45044</v>
      </c>
      <c r="C896" s="1" t="s">
        <v>14</v>
      </c>
      <c r="D896" s="1" t="s">
        <v>47</v>
      </c>
      <c r="E896" s="1" t="s">
        <v>12</v>
      </c>
      <c r="F896" s="1">
        <v>1348.53</v>
      </c>
      <c r="G896" s="1" t="s">
        <v>127</v>
      </c>
      <c r="H896" s="2">
        <v>31846</v>
      </c>
      <c r="I896" s="2">
        <v>45058</v>
      </c>
      <c r="J896" s="1">
        <v>37.67</v>
      </c>
      <c r="K896" s="1">
        <f t="shared" si="28"/>
        <v>507.99125100000003</v>
      </c>
      <c r="L896" s="1">
        <f t="shared" si="29"/>
        <v>840.53874899999994</v>
      </c>
    </row>
    <row r="897" spans="1:12" x14ac:dyDescent="0.35">
      <c r="A897" s="1">
        <v>1895</v>
      </c>
      <c r="B897" s="2">
        <v>45847</v>
      </c>
      <c r="C897" s="1" t="s">
        <v>26</v>
      </c>
      <c r="D897" s="1" t="s">
        <v>58</v>
      </c>
      <c r="E897" s="1" t="s">
        <v>31</v>
      </c>
      <c r="F897" s="1">
        <v>1426.01</v>
      </c>
      <c r="G897" s="1" t="s">
        <v>101</v>
      </c>
      <c r="H897" s="2">
        <v>31331</v>
      </c>
      <c r="I897" s="2">
        <v>45851</v>
      </c>
      <c r="J897" s="1">
        <v>26.73</v>
      </c>
      <c r="K897" s="1">
        <f t="shared" si="28"/>
        <v>381.17247299999997</v>
      </c>
      <c r="L897" s="1">
        <f t="shared" si="29"/>
        <v>1044.8375270000001</v>
      </c>
    </row>
    <row r="898" spans="1:12" x14ac:dyDescent="0.35">
      <c r="A898" s="1">
        <v>1896</v>
      </c>
      <c r="B898" s="2">
        <v>44786</v>
      </c>
      <c r="C898" s="1" t="s">
        <v>35</v>
      </c>
      <c r="D898" s="1" t="s">
        <v>53</v>
      </c>
      <c r="E898" s="1" t="s">
        <v>28</v>
      </c>
      <c r="F898" s="1">
        <v>4689.82</v>
      </c>
      <c r="G898" s="1" t="s">
        <v>317</v>
      </c>
      <c r="H898" s="2">
        <v>32196</v>
      </c>
      <c r="I898" s="2">
        <v>44796</v>
      </c>
      <c r="J898" s="1">
        <v>28.56</v>
      </c>
      <c r="K898" s="1">
        <f t="shared" si="28"/>
        <v>1339.4125919999997</v>
      </c>
      <c r="L898" s="1">
        <f t="shared" si="29"/>
        <v>3350.407408</v>
      </c>
    </row>
    <row r="899" spans="1:12" x14ac:dyDescent="0.35">
      <c r="A899" s="1">
        <v>1897</v>
      </c>
      <c r="B899" s="2">
        <v>44225</v>
      </c>
      <c r="C899" s="1" t="s">
        <v>21</v>
      </c>
      <c r="D899" s="1" t="s">
        <v>65</v>
      </c>
      <c r="E899" s="1" t="s">
        <v>19</v>
      </c>
      <c r="F899" s="1">
        <v>2668.25</v>
      </c>
      <c r="G899" s="1" t="s">
        <v>188</v>
      </c>
      <c r="H899" s="2">
        <v>31467</v>
      </c>
      <c r="I899" s="2">
        <v>44232</v>
      </c>
      <c r="J899" s="1">
        <v>16.52</v>
      </c>
      <c r="K899" s="1">
        <f t="shared" ref="K899:K962" si="30">F899*J899%</f>
        <v>440.79489999999998</v>
      </c>
      <c r="L899" s="1">
        <f t="shared" ref="L899:L962" si="31">F899-K899</f>
        <v>2227.4551000000001</v>
      </c>
    </row>
    <row r="900" spans="1:12" x14ac:dyDescent="0.35">
      <c r="A900" s="1">
        <v>1898</v>
      </c>
      <c r="B900" s="2">
        <v>44273</v>
      </c>
      <c r="C900" s="1" t="s">
        <v>35</v>
      </c>
      <c r="D900" s="1" t="s">
        <v>71</v>
      </c>
      <c r="E900" s="1" t="s">
        <v>31</v>
      </c>
      <c r="F900" s="1">
        <v>3591.29</v>
      </c>
      <c r="G900" s="1" t="s">
        <v>235</v>
      </c>
      <c r="H900" s="2">
        <v>36760</v>
      </c>
      <c r="I900" s="2">
        <v>44283</v>
      </c>
      <c r="J900" s="1">
        <v>11.69</v>
      </c>
      <c r="K900" s="1">
        <f t="shared" si="30"/>
        <v>419.82180099999994</v>
      </c>
      <c r="L900" s="1">
        <f t="shared" si="31"/>
        <v>3171.4681989999999</v>
      </c>
    </row>
    <row r="901" spans="1:12" x14ac:dyDescent="0.35">
      <c r="A901" s="1">
        <v>1899</v>
      </c>
      <c r="B901" s="2">
        <v>45325</v>
      </c>
      <c r="C901" s="1" t="s">
        <v>10</v>
      </c>
      <c r="D901" s="1" t="s">
        <v>88</v>
      </c>
      <c r="E901" s="1" t="s">
        <v>16</v>
      </c>
      <c r="F901" s="1">
        <v>1048.28</v>
      </c>
      <c r="G901" s="1" t="s">
        <v>204</v>
      </c>
      <c r="H901" s="2">
        <v>23718</v>
      </c>
      <c r="I901" s="2">
        <v>45326</v>
      </c>
      <c r="J901" s="1">
        <v>24.55</v>
      </c>
      <c r="K901" s="1">
        <f t="shared" si="30"/>
        <v>257.35273999999998</v>
      </c>
      <c r="L901" s="1">
        <f t="shared" si="31"/>
        <v>790.92725999999993</v>
      </c>
    </row>
    <row r="902" spans="1:12" x14ac:dyDescent="0.35">
      <c r="A902" s="1">
        <v>1900</v>
      </c>
      <c r="B902" s="2">
        <v>45824</v>
      </c>
      <c r="C902" s="1" t="s">
        <v>10</v>
      </c>
      <c r="D902" s="1" t="s">
        <v>27</v>
      </c>
      <c r="E902" s="1" t="s">
        <v>28</v>
      </c>
      <c r="F902" s="1">
        <v>3162.97</v>
      </c>
      <c r="G902" s="1" t="s">
        <v>236</v>
      </c>
      <c r="H902" s="2">
        <v>36099</v>
      </c>
      <c r="I902" s="2">
        <v>45836</v>
      </c>
      <c r="J902" s="1">
        <v>5.03</v>
      </c>
      <c r="K902" s="1">
        <f t="shared" si="30"/>
        <v>159.09739100000002</v>
      </c>
      <c r="L902" s="1">
        <f t="shared" si="31"/>
        <v>3003.872609</v>
      </c>
    </row>
    <row r="903" spans="1:12" x14ac:dyDescent="0.35">
      <c r="A903" s="1">
        <v>1901</v>
      </c>
      <c r="B903" s="2">
        <v>45510</v>
      </c>
      <c r="C903" s="1" t="s">
        <v>14</v>
      </c>
      <c r="D903" s="1" t="s">
        <v>44</v>
      </c>
      <c r="E903" s="1" t="s">
        <v>16</v>
      </c>
      <c r="F903" s="1">
        <v>1671.46</v>
      </c>
      <c r="G903" s="1" t="s">
        <v>42</v>
      </c>
      <c r="H903" s="2">
        <v>26027</v>
      </c>
      <c r="I903" s="2">
        <v>45523</v>
      </c>
      <c r="J903" s="1">
        <v>12.98</v>
      </c>
      <c r="K903" s="1">
        <f t="shared" si="30"/>
        <v>216.95550800000001</v>
      </c>
      <c r="L903" s="1">
        <f t="shared" si="31"/>
        <v>1454.504492</v>
      </c>
    </row>
    <row r="904" spans="1:12" x14ac:dyDescent="0.35">
      <c r="A904" s="1">
        <v>1902</v>
      </c>
      <c r="B904" s="2">
        <v>45722</v>
      </c>
      <c r="C904" s="1" t="s">
        <v>26</v>
      </c>
      <c r="D904" s="1" t="s">
        <v>40</v>
      </c>
      <c r="E904" s="1" t="s">
        <v>16</v>
      </c>
      <c r="F904" s="1">
        <v>4425.9799999999996</v>
      </c>
      <c r="G904" s="1" t="s">
        <v>105</v>
      </c>
      <c r="H904" s="2">
        <v>35889</v>
      </c>
      <c r="I904" s="2">
        <v>45731</v>
      </c>
      <c r="J904" s="1">
        <v>21.97</v>
      </c>
      <c r="K904" s="1">
        <f t="shared" si="30"/>
        <v>972.38780599999984</v>
      </c>
      <c r="L904" s="1">
        <f t="shared" si="31"/>
        <v>3453.5921939999998</v>
      </c>
    </row>
    <row r="905" spans="1:12" x14ac:dyDescent="0.35">
      <c r="A905" s="1">
        <v>1903</v>
      </c>
      <c r="B905" s="2">
        <v>45709</v>
      </c>
      <c r="C905" s="1" t="s">
        <v>26</v>
      </c>
      <c r="D905" s="1" t="s">
        <v>33</v>
      </c>
      <c r="E905" s="1" t="s">
        <v>16</v>
      </c>
      <c r="F905" s="1">
        <v>2140.41</v>
      </c>
      <c r="G905" s="1" t="s">
        <v>32</v>
      </c>
      <c r="H905" s="2">
        <v>27166</v>
      </c>
      <c r="I905" s="2">
        <v>45719</v>
      </c>
      <c r="J905" s="1">
        <v>38.58</v>
      </c>
      <c r="K905" s="1">
        <f t="shared" si="30"/>
        <v>825.77017799999987</v>
      </c>
      <c r="L905" s="1">
        <f t="shared" si="31"/>
        <v>1314.6398220000001</v>
      </c>
    </row>
    <row r="906" spans="1:12" x14ac:dyDescent="0.35">
      <c r="A906" s="1">
        <v>1904</v>
      </c>
      <c r="B906" s="2">
        <v>45077</v>
      </c>
      <c r="C906" s="1" t="s">
        <v>26</v>
      </c>
      <c r="D906" s="1" t="s">
        <v>22</v>
      </c>
      <c r="E906" s="1" t="s">
        <v>19</v>
      </c>
      <c r="F906" s="1">
        <v>3313.01</v>
      </c>
      <c r="G906" s="1" t="s">
        <v>290</v>
      </c>
      <c r="H906" s="2">
        <v>31764</v>
      </c>
      <c r="I906" s="2">
        <v>45090</v>
      </c>
      <c r="J906" s="1">
        <v>4.28</v>
      </c>
      <c r="K906" s="1">
        <f t="shared" si="30"/>
        <v>141.79682800000003</v>
      </c>
      <c r="L906" s="1">
        <f t="shared" si="31"/>
        <v>3171.2131720000002</v>
      </c>
    </row>
    <row r="907" spans="1:12" x14ac:dyDescent="0.35">
      <c r="A907" s="1">
        <v>1905</v>
      </c>
      <c r="B907" s="2">
        <v>44945</v>
      </c>
      <c r="C907" s="1" t="s">
        <v>14</v>
      </c>
      <c r="D907" s="1" t="s">
        <v>53</v>
      </c>
      <c r="E907" s="1" t="s">
        <v>28</v>
      </c>
      <c r="F907" s="1">
        <v>4965.43</v>
      </c>
      <c r="G907" s="1" t="s">
        <v>324</v>
      </c>
      <c r="H907" s="2">
        <v>28747</v>
      </c>
      <c r="I907" s="2">
        <v>44956</v>
      </c>
      <c r="J907" s="1">
        <v>23.85</v>
      </c>
      <c r="K907" s="1">
        <f t="shared" si="30"/>
        <v>1184.2550550000001</v>
      </c>
      <c r="L907" s="1">
        <f t="shared" si="31"/>
        <v>3781.1749450000002</v>
      </c>
    </row>
    <row r="908" spans="1:12" x14ac:dyDescent="0.35">
      <c r="A908" s="1">
        <v>1906</v>
      </c>
      <c r="B908" s="2">
        <v>44731</v>
      </c>
      <c r="C908" s="1" t="s">
        <v>10</v>
      </c>
      <c r="D908" s="1" t="s">
        <v>102</v>
      </c>
      <c r="E908" s="1" t="s">
        <v>12</v>
      </c>
      <c r="F908" s="1">
        <v>4140.05</v>
      </c>
      <c r="G908" s="1" t="s">
        <v>50</v>
      </c>
      <c r="H908" s="2">
        <v>22594</v>
      </c>
      <c r="I908" s="2">
        <v>44736</v>
      </c>
      <c r="J908" s="1">
        <v>0.33</v>
      </c>
      <c r="K908" s="1">
        <f t="shared" si="30"/>
        <v>13.662165</v>
      </c>
      <c r="L908" s="1">
        <f t="shared" si="31"/>
        <v>4126.3878350000005</v>
      </c>
    </row>
    <row r="909" spans="1:12" x14ac:dyDescent="0.35">
      <c r="A909" s="1">
        <v>1907</v>
      </c>
      <c r="B909" s="2">
        <v>45762</v>
      </c>
      <c r="C909" s="1" t="s">
        <v>21</v>
      </c>
      <c r="D909" s="1" t="s">
        <v>24</v>
      </c>
      <c r="E909" s="1" t="s">
        <v>19</v>
      </c>
      <c r="F909" s="1">
        <v>1722.88</v>
      </c>
      <c r="G909" s="1" t="s">
        <v>315</v>
      </c>
      <c r="H909" s="2">
        <v>32330</v>
      </c>
      <c r="I909" s="2">
        <v>45764</v>
      </c>
      <c r="J909" s="1">
        <v>27.61</v>
      </c>
      <c r="K909" s="1">
        <f t="shared" si="30"/>
        <v>475.68716800000004</v>
      </c>
      <c r="L909" s="1">
        <f t="shared" si="31"/>
        <v>1247.1928320000002</v>
      </c>
    </row>
    <row r="910" spans="1:12" x14ac:dyDescent="0.35">
      <c r="A910" s="1">
        <v>1908</v>
      </c>
      <c r="B910" s="2">
        <v>45286</v>
      </c>
      <c r="C910" s="1" t="s">
        <v>10</v>
      </c>
      <c r="D910" s="1" t="s">
        <v>47</v>
      </c>
      <c r="E910" s="1" t="s">
        <v>12</v>
      </c>
      <c r="F910" s="1">
        <v>1275.42</v>
      </c>
      <c r="G910" s="1" t="s">
        <v>195</v>
      </c>
      <c r="H910" s="2">
        <v>28065</v>
      </c>
      <c r="I910" s="2">
        <v>45296</v>
      </c>
      <c r="J910" s="1">
        <v>4.88</v>
      </c>
      <c r="K910" s="1">
        <f t="shared" si="30"/>
        <v>62.240496</v>
      </c>
      <c r="L910" s="1">
        <f t="shared" si="31"/>
        <v>1213.1795040000002</v>
      </c>
    </row>
    <row r="911" spans="1:12" x14ac:dyDescent="0.35">
      <c r="A911" s="1">
        <v>1909</v>
      </c>
      <c r="B911" s="2">
        <v>44909</v>
      </c>
      <c r="C911" s="1" t="s">
        <v>10</v>
      </c>
      <c r="D911" s="1" t="s">
        <v>24</v>
      </c>
      <c r="E911" s="1" t="s">
        <v>19</v>
      </c>
      <c r="F911" s="1">
        <v>3335.8</v>
      </c>
      <c r="G911" s="1" t="s">
        <v>120</v>
      </c>
      <c r="H911" s="2">
        <v>30820</v>
      </c>
      <c r="I911" s="2">
        <v>44917</v>
      </c>
      <c r="J911" s="1">
        <v>33.119999999999997</v>
      </c>
      <c r="K911" s="1">
        <f t="shared" si="30"/>
        <v>1104.8169600000001</v>
      </c>
      <c r="L911" s="1">
        <f t="shared" si="31"/>
        <v>2230.9830400000001</v>
      </c>
    </row>
    <row r="912" spans="1:12" x14ac:dyDescent="0.35">
      <c r="A912" s="1">
        <v>1910</v>
      </c>
      <c r="B912" s="2">
        <v>44597</v>
      </c>
      <c r="C912" s="1" t="s">
        <v>35</v>
      </c>
      <c r="D912" s="1" t="s">
        <v>15</v>
      </c>
      <c r="E912" s="1" t="s">
        <v>16</v>
      </c>
      <c r="F912" s="1">
        <v>387.6</v>
      </c>
      <c r="G912" s="1" t="s">
        <v>200</v>
      </c>
      <c r="H912" s="2">
        <v>30222</v>
      </c>
      <c r="I912" s="2">
        <v>44604</v>
      </c>
      <c r="J912" s="1">
        <v>26.01</v>
      </c>
      <c r="K912" s="1">
        <f t="shared" si="30"/>
        <v>100.81476000000001</v>
      </c>
      <c r="L912" s="1">
        <f t="shared" si="31"/>
        <v>286.78524000000004</v>
      </c>
    </row>
    <row r="913" spans="1:12" x14ac:dyDescent="0.35">
      <c r="A913" s="1">
        <v>1911</v>
      </c>
      <c r="B913" s="2">
        <v>45354</v>
      </c>
      <c r="C913" s="1" t="s">
        <v>14</v>
      </c>
      <c r="D913" s="1" t="s">
        <v>49</v>
      </c>
      <c r="E913" s="1" t="s">
        <v>12</v>
      </c>
      <c r="F913" s="1">
        <v>2218.13</v>
      </c>
      <c r="G913" s="1" t="s">
        <v>130</v>
      </c>
      <c r="H913" s="2">
        <v>38750</v>
      </c>
      <c r="I913" s="2">
        <v>45361</v>
      </c>
      <c r="J913" s="1">
        <v>42.31</v>
      </c>
      <c r="K913" s="1">
        <f t="shared" si="30"/>
        <v>938.49080300000014</v>
      </c>
      <c r="L913" s="1">
        <f t="shared" si="31"/>
        <v>1279.639197</v>
      </c>
    </row>
    <row r="914" spans="1:12" x14ac:dyDescent="0.35">
      <c r="A914" s="1">
        <v>1912</v>
      </c>
      <c r="B914" s="2">
        <v>44738</v>
      </c>
      <c r="C914" s="1" t="s">
        <v>10</v>
      </c>
      <c r="D914" s="1" t="s">
        <v>24</v>
      </c>
      <c r="E914" s="1" t="s">
        <v>19</v>
      </c>
      <c r="F914" s="1">
        <v>708.62</v>
      </c>
      <c r="G914" s="1" t="s">
        <v>148</v>
      </c>
      <c r="H914" s="2">
        <v>22007</v>
      </c>
      <c r="I914" s="2">
        <v>44747</v>
      </c>
      <c r="J914" s="1">
        <v>26.71</v>
      </c>
      <c r="K914" s="1">
        <f t="shared" si="30"/>
        <v>189.272402</v>
      </c>
      <c r="L914" s="1">
        <f t="shared" si="31"/>
        <v>519.34759800000006</v>
      </c>
    </row>
    <row r="915" spans="1:12" x14ac:dyDescent="0.35">
      <c r="A915" s="1">
        <v>1913</v>
      </c>
      <c r="B915" s="2">
        <v>45260</v>
      </c>
      <c r="C915" s="1" t="s">
        <v>26</v>
      </c>
      <c r="D915" s="1" t="s">
        <v>33</v>
      </c>
      <c r="E915" s="1" t="s">
        <v>16</v>
      </c>
      <c r="F915" s="1">
        <v>3442.63</v>
      </c>
      <c r="G915" s="1" t="s">
        <v>151</v>
      </c>
      <c r="H915" s="2">
        <v>34427</v>
      </c>
      <c r="I915" s="2">
        <v>45274</v>
      </c>
      <c r="J915" s="1">
        <v>23.72</v>
      </c>
      <c r="K915" s="1">
        <f t="shared" si="30"/>
        <v>816.59183600000006</v>
      </c>
      <c r="L915" s="1">
        <f t="shared" si="31"/>
        <v>2626.0381640000001</v>
      </c>
    </row>
    <row r="916" spans="1:12" x14ac:dyDescent="0.35">
      <c r="A916" s="1">
        <v>1914</v>
      </c>
      <c r="B916" s="2">
        <v>44398</v>
      </c>
      <c r="C916" s="1" t="s">
        <v>10</v>
      </c>
      <c r="D916" s="1" t="s">
        <v>102</v>
      </c>
      <c r="E916" s="1" t="s">
        <v>12</v>
      </c>
      <c r="F916" s="1">
        <v>4270.34</v>
      </c>
      <c r="G916" s="1" t="s">
        <v>238</v>
      </c>
      <c r="H916" s="2">
        <v>31880</v>
      </c>
      <c r="I916" s="2">
        <v>44410</v>
      </c>
      <c r="J916" s="1">
        <v>8.23</v>
      </c>
      <c r="K916" s="1">
        <f t="shared" si="30"/>
        <v>351.448982</v>
      </c>
      <c r="L916" s="1">
        <f t="shared" si="31"/>
        <v>3918.8910180000003</v>
      </c>
    </row>
    <row r="917" spans="1:12" x14ac:dyDescent="0.35">
      <c r="A917" s="1">
        <v>1915</v>
      </c>
      <c r="B917" s="2">
        <v>44264</v>
      </c>
      <c r="C917" s="1" t="s">
        <v>35</v>
      </c>
      <c r="D917" s="1" t="s">
        <v>11</v>
      </c>
      <c r="E917" s="1" t="s">
        <v>12</v>
      </c>
      <c r="F917" s="1">
        <v>1651.51</v>
      </c>
      <c r="G917" s="1" t="s">
        <v>54</v>
      </c>
      <c r="H917" s="2">
        <v>31082</v>
      </c>
      <c r="I917" s="2">
        <v>44266</v>
      </c>
      <c r="J917" s="1">
        <v>16.899999999999999</v>
      </c>
      <c r="K917" s="1">
        <f t="shared" si="30"/>
        <v>279.10518999999999</v>
      </c>
      <c r="L917" s="1">
        <f t="shared" si="31"/>
        <v>1372.40481</v>
      </c>
    </row>
    <row r="918" spans="1:12" x14ac:dyDescent="0.35">
      <c r="A918" s="1">
        <v>1916</v>
      </c>
      <c r="B918" s="2">
        <v>44360</v>
      </c>
      <c r="C918" s="1" t="s">
        <v>35</v>
      </c>
      <c r="D918" s="1" t="s">
        <v>40</v>
      </c>
      <c r="E918" s="1" t="s">
        <v>16</v>
      </c>
      <c r="F918" s="1">
        <v>2540.2399999999998</v>
      </c>
      <c r="G918" s="1" t="s">
        <v>276</v>
      </c>
      <c r="H918" s="2">
        <v>33394</v>
      </c>
      <c r="I918" s="2">
        <v>44372</v>
      </c>
      <c r="J918" s="1">
        <v>33.18</v>
      </c>
      <c r="K918" s="1">
        <f t="shared" si="30"/>
        <v>842.85163199999988</v>
      </c>
      <c r="L918" s="1">
        <f t="shared" si="31"/>
        <v>1697.3883679999999</v>
      </c>
    </row>
    <row r="919" spans="1:12" x14ac:dyDescent="0.35">
      <c r="A919" s="1">
        <v>1917</v>
      </c>
      <c r="B919" s="2">
        <v>45643</v>
      </c>
      <c r="C919" s="1" t="s">
        <v>26</v>
      </c>
      <c r="D919" s="1" t="s">
        <v>11</v>
      </c>
      <c r="E919" s="1" t="s">
        <v>12</v>
      </c>
      <c r="F919" s="1">
        <v>4900.82</v>
      </c>
      <c r="G919" s="1" t="s">
        <v>134</v>
      </c>
      <c r="H919" s="2">
        <v>30299</v>
      </c>
      <c r="I919" s="2">
        <v>45655</v>
      </c>
      <c r="J919" s="1">
        <v>26.72</v>
      </c>
      <c r="K919" s="1">
        <f t="shared" si="30"/>
        <v>1309.499104</v>
      </c>
      <c r="L919" s="1">
        <f t="shared" si="31"/>
        <v>3591.3208959999997</v>
      </c>
    </row>
    <row r="920" spans="1:12" x14ac:dyDescent="0.35">
      <c r="A920" s="1">
        <v>1918</v>
      </c>
      <c r="B920" s="2">
        <v>45298</v>
      </c>
      <c r="C920" s="1" t="s">
        <v>21</v>
      </c>
      <c r="D920" s="1" t="s">
        <v>53</v>
      </c>
      <c r="E920" s="1" t="s">
        <v>28</v>
      </c>
      <c r="F920" s="1">
        <v>4280.42</v>
      </c>
      <c r="G920" s="1" t="s">
        <v>182</v>
      </c>
      <c r="H920" s="2">
        <v>24719</v>
      </c>
      <c r="I920" s="2">
        <v>45300</v>
      </c>
      <c r="J920" s="1">
        <v>45.87</v>
      </c>
      <c r="K920" s="1">
        <f t="shared" si="30"/>
        <v>1963.4286540000001</v>
      </c>
      <c r="L920" s="1">
        <f t="shared" si="31"/>
        <v>2316.9913459999998</v>
      </c>
    </row>
    <row r="921" spans="1:12" x14ac:dyDescent="0.35">
      <c r="A921" s="1">
        <v>1919</v>
      </c>
      <c r="B921" s="2">
        <v>44270</v>
      </c>
      <c r="C921" s="1" t="s">
        <v>14</v>
      </c>
      <c r="D921" s="1" t="s">
        <v>22</v>
      </c>
      <c r="E921" s="1" t="s">
        <v>19</v>
      </c>
      <c r="F921" s="1">
        <v>651.54</v>
      </c>
      <c r="G921" s="1" t="s">
        <v>217</v>
      </c>
      <c r="H921" s="2">
        <v>36951</v>
      </c>
      <c r="I921" s="2">
        <v>44273</v>
      </c>
      <c r="J921" s="1">
        <v>13.56</v>
      </c>
      <c r="K921" s="1">
        <f t="shared" si="30"/>
        <v>88.348823999999993</v>
      </c>
      <c r="L921" s="1">
        <f t="shared" si="31"/>
        <v>563.19117599999993</v>
      </c>
    </row>
    <row r="922" spans="1:12" x14ac:dyDescent="0.35">
      <c r="A922" s="1">
        <v>1920</v>
      </c>
      <c r="B922" s="2">
        <v>45806</v>
      </c>
      <c r="C922" s="1" t="s">
        <v>26</v>
      </c>
      <c r="D922" s="1" t="s">
        <v>40</v>
      </c>
      <c r="E922" s="1" t="s">
        <v>16</v>
      </c>
      <c r="F922" s="1">
        <v>1915.59</v>
      </c>
      <c r="G922" s="1" t="s">
        <v>194</v>
      </c>
      <c r="H922" s="2">
        <v>22210</v>
      </c>
      <c r="I922" s="2">
        <v>45810</v>
      </c>
      <c r="J922" s="1">
        <v>31.63</v>
      </c>
      <c r="K922" s="1">
        <f t="shared" si="30"/>
        <v>605.90111699999989</v>
      </c>
      <c r="L922" s="1">
        <f t="shared" si="31"/>
        <v>1309.688883</v>
      </c>
    </row>
    <row r="923" spans="1:12" x14ac:dyDescent="0.35">
      <c r="A923" s="1">
        <v>1921</v>
      </c>
      <c r="B923" s="2">
        <v>45361</v>
      </c>
      <c r="C923" s="1" t="s">
        <v>10</v>
      </c>
      <c r="D923" s="1" t="s">
        <v>69</v>
      </c>
      <c r="E923" s="1" t="s">
        <v>12</v>
      </c>
      <c r="F923" s="1">
        <v>106.78</v>
      </c>
      <c r="G923" s="1" t="s">
        <v>323</v>
      </c>
      <c r="H923" s="2">
        <v>33840</v>
      </c>
      <c r="I923" s="2">
        <v>45373</v>
      </c>
      <c r="J923" s="1">
        <v>44.76</v>
      </c>
      <c r="K923" s="1">
        <f t="shared" si="30"/>
        <v>47.794727999999999</v>
      </c>
      <c r="L923" s="1">
        <f t="shared" si="31"/>
        <v>58.985272000000002</v>
      </c>
    </row>
    <row r="924" spans="1:12" x14ac:dyDescent="0.35">
      <c r="A924" s="1">
        <v>1922</v>
      </c>
      <c r="B924" s="2">
        <v>45034</v>
      </c>
      <c r="C924" s="1" t="s">
        <v>35</v>
      </c>
      <c r="D924" s="1" t="s">
        <v>88</v>
      </c>
      <c r="E924" s="1" t="s">
        <v>16</v>
      </c>
      <c r="F924" s="1">
        <v>3524.42</v>
      </c>
      <c r="G924" s="1" t="s">
        <v>180</v>
      </c>
      <c r="H924" s="2">
        <v>25163</v>
      </c>
      <c r="I924" s="2">
        <v>45040</v>
      </c>
      <c r="J924" s="1">
        <v>47.61</v>
      </c>
      <c r="K924" s="1">
        <f t="shared" si="30"/>
        <v>1677.9763619999999</v>
      </c>
      <c r="L924" s="1">
        <f t="shared" si="31"/>
        <v>1846.4436380000002</v>
      </c>
    </row>
    <row r="925" spans="1:12" x14ac:dyDescent="0.35">
      <c r="A925" s="1">
        <v>1923</v>
      </c>
      <c r="B925" s="2">
        <v>44304</v>
      </c>
      <c r="C925" s="1" t="s">
        <v>21</v>
      </c>
      <c r="D925" s="1" t="s">
        <v>18</v>
      </c>
      <c r="E925" s="1" t="s">
        <v>19</v>
      </c>
      <c r="F925" s="1">
        <v>1287.42</v>
      </c>
      <c r="G925" s="1" t="s">
        <v>196</v>
      </c>
      <c r="H925" s="2">
        <v>26300</v>
      </c>
      <c r="I925" s="2">
        <v>44313</v>
      </c>
      <c r="J925" s="1">
        <v>1.5</v>
      </c>
      <c r="K925" s="1">
        <f t="shared" si="30"/>
        <v>19.311299999999999</v>
      </c>
      <c r="L925" s="1">
        <f t="shared" si="31"/>
        <v>1268.1087</v>
      </c>
    </row>
    <row r="926" spans="1:12" x14ac:dyDescent="0.35">
      <c r="A926" s="1">
        <v>1924</v>
      </c>
      <c r="B926" s="2">
        <v>44516</v>
      </c>
      <c r="C926" s="1" t="s">
        <v>26</v>
      </c>
      <c r="D926" s="1" t="s">
        <v>38</v>
      </c>
      <c r="E926" s="1" t="s">
        <v>28</v>
      </c>
      <c r="F926" s="1">
        <v>391.23</v>
      </c>
      <c r="G926" s="1" t="s">
        <v>255</v>
      </c>
      <c r="H926" s="2">
        <v>22646</v>
      </c>
      <c r="I926" s="2">
        <v>44517</v>
      </c>
      <c r="J926" s="1">
        <v>7.7</v>
      </c>
      <c r="K926" s="1">
        <f t="shared" si="30"/>
        <v>30.12471</v>
      </c>
      <c r="L926" s="1">
        <f t="shared" si="31"/>
        <v>361.10529000000002</v>
      </c>
    </row>
    <row r="927" spans="1:12" x14ac:dyDescent="0.35">
      <c r="A927" s="1">
        <v>1925</v>
      </c>
      <c r="B927" s="2">
        <v>45846</v>
      </c>
      <c r="C927" s="1" t="s">
        <v>26</v>
      </c>
      <c r="D927" s="1" t="s">
        <v>18</v>
      </c>
      <c r="E927" s="1" t="s">
        <v>19</v>
      </c>
      <c r="F927" s="1">
        <v>1569.98</v>
      </c>
      <c r="G927" s="1" t="s">
        <v>315</v>
      </c>
      <c r="H927" s="2">
        <v>32330</v>
      </c>
      <c r="I927" s="2">
        <v>45848</v>
      </c>
      <c r="J927" s="1">
        <v>49.99</v>
      </c>
      <c r="K927" s="1">
        <f t="shared" si="30"/>
        <v>784.83300200000008</v>
      </c>
      <c r="L927" s="1">
        <f t="shared" si="31"/>
        <v>785.14699799999994</v>
      </c>
    </row>
    <row r="928" spans="1:12" x14ac:dyDescent="0.35">
      <c r="A928" s="1">
        <v>1926</v>
      </c>
      <c r="B928" s="2">
        <v>44778</v>
      </c>
      <c r="C928" s="1" t="s">
        <v>35</v>
      </c>
      <c r="D928" s="1" t="s">
        <v>73</v>
      </c>
      <c r="E928" s="1" t="s">
        <v>28</v>
      </c>
      <c r="F928" s="1">
        <v>4978.8</v>
      </c>
      <c r="G928" s="1" t="s">
        <v>252</v>
      </c>
      <c r="H928" s="2">
        <v>34209</v>
      </c>
      <c r="I928" s="2">
        <v>44790</v>
      </c>
      <c r="J928" s="1">
        <v>19.88</v>
      </c>
      <c r="K928" s="1">
        <f t="shared" si="30"/>
        <v>989.78543999999988</v>
      </c>
      <c r="L928" s="1">
        <f t="shared" si="31"/>
        <v>3989.0145600000005</v>
      </c>
    </row>
    <row r="929" spans="1:12" x14ac:dyDescent="0.35">
      <c r="A929" s="1">
        <v>1927</v>
      </c>
      <c r="B929" s="2">
        <v>44664</v>
      </c>
      <c r="C929" s="1" t="s">
        <v>14</v>
      </c>
      <c r="D929" s="1" t="s">
        <v>15</v>
      </c>
      <c r="E929" s="1" t="s">
        <v>16</v>
      </c>
      <c r="F929" s="1">
        <v>4206.6099999999997</v>
      </c>
      <c r="G929" s="1" t="s">
        <v>274</v>
      </c>
      <c r="H929" s="2">
        <v>34557</v>
      </c>
      <c r="I929" s="2">
        <v>44670</v>
      </c>
      <c r="J929" s="1">
        <v>26.31</v>
      </c>
      <c r="K929" s="1">
        <f t="shared" si="30"/>
        <v>1106.7590909999999</v>
      </c>
      <c r="L929" s="1">
        <f t="shared" si="31"/>
        <v>3099.8509089999998</v>
      </c>
    </row>
    <row r="930" spans="1:12" x14ac:dyDescent="0.35">
      <c r="A930" s="1">
        <v>1928</v>
      </c>
      <c r="B930" s="2">
        <v>45402</v>
      </c>
      <c r="C930" s="1" t="s">
        <v>35</v>
      </c>
      <c r="D930" s="1" t="s">
        <v>73</v>
      </c>
      <c r="E930" s="1" t="s">
        <v>28</v>
      </c>
      <c r="F930" s="1">
        <v>3917.77</v>
      </c>
      <c r="G930" s="1" t="s">
        <v>29</v>
      </c>
      <c r="H930" s="2">
        <v>24033</v>
      </c>
      <c r="I930" s="2">
        <v>45403</v>
      </c>
      <c r="J930" s="1">
        <v>18.149999999999999</v>
      </c>
      <c r="K930" s="1">
        <f t="shared" si="30"/>
        <v>711.07525499999997</v>
      </c>
      <c r="L930" s="1">
        <f t="shared" si="31"/>
        <v>3206.6947449999998</v>
      </c>
    </row>
    <row r="931" spans="1:12" x14ac:dyDescent="0.35">
      <c r="A931" s="1">
        <v>1929</v>
      </c>
      <c r="B931" s="2">
        <v>45169</v>
      </c>
      <c r="C931" s="1" t="s">
        <v>10</v>
      </c>
      <c r="D931" s="1" t="s">
        <v>73</v>
      </c>
      <c r="E931" s="1" t="s">
        <v>28</v>
      </c>
      <c r="F931" s="1">
        <v>1214.76</v>
      </c>
      <c r="G931" s="1" t="s">
        <v>325</v>
      </c>
      <c r="H931" s="2">
        <v>28731</v>
      </c>
      <c r="I931" s="2">
        <v>45176</v>
      </c>
      <c r="J931" s="1">
        <v>34.880000000000003</v>
      </c>
      <c r="K931" s="1">
        <f t="shared" si="30"/>
        <v>423.70828799999998</v>
      </c>
      <c r="L931" s="1">
        <f t="shared" si="31"/>
        <v>791.05171199999995</v>
      </c>
    </row>
    <row r="932" spans="1:12" x14ac:dyDescent="0.35">
      <c r="A932" s="1">
        <v>1930</v>
      </c>
      <c r="B932" s="2">
        <v>45578</v>
      </c>
      <c r="C932" s="1" t="s">
        <v>26</v>
      </c>
      <c r="D932" s="1" t="s">
        <v>73</v>
      </c>
      <c r="E932" s="1" t="s">
        <v>28</v>
      </c>
      <c r="F932" s="1">
        <v>3782.03</v>
      </c>
      <c r="G932" s="1" t="s">
        <v>161</v>
      </c>
      <c r="H932" s="2">
        <v>29386</v>
      </c>
      <c r="I932" s="2">
        <v>45590</v>
      </c>
      <c r="J932" s="1">
        <v>10.24</v>
      </c>
      <c r="K932" s="1">
        <f t="shared" si="30"/>
        <v>387.27987200000001</v>
      </c>
      <c r="L932" s="1">
        <f t="shared" si="31"/>
        <v>3394.7501280000001</v>
      </c>
    </row>
    <row r="933" spans="1:12" x14ac:dyDescent="0.35">
      <c r="A933" s="1">
        <v>1931</v>
      </c>
      <c r="B933" s="2">
        <v>45036</v>
      </c>
      <c r="C933" s="1" t="s">
        <v>10</v>
      </c>
      <c r="D933" s="1" t="s">
        <v>61</v>
      </c>
      <c r="E933" s="1" t="s">
        <v>19</v>
      </c>
      <c r="F933" s="1">
        <v>1401.86</v>
      </c>
      <c r="G933" s="1" t="s">
        <v>235</v>
      </c>
      <c r="H933" s="2">
        <v>36760</v>
      </c>
      <c r="I933" s="2">
        <v>45050</v>
      </c>
      <c r="J933" s="1">
        <v>40.04</v>
      </c>
      <c r="K933" s="1">
        <f t="shared" si="30"/>
        <v>561.30474399999991</v>
      </c>
      <c r="L933" s="1">
        <f t="shared" si="31"/>
        <v>840.55525599999999</v>
      </c>
    </row>
    <row r="934" spans="1:12" x14ac:dyDescent="0.35">
      <c r="A934" s="1">
        <v>1932</v>
      </c>
      <c r="B934" s="2">
        <v>44067</v>
      </c>
      <c r="C934" s="1" t="s">
        <v>14</v>
      </c>
      <c r="D934" s="1" t="s">
        <v>22</v>
      </c>
      <c r="E934" s="1" t="s">
        <v>19</v>
      </c>
      <c r="F934" s="1">
        <v>4472.6000000000004</v>
      </c>
      <c r="G934" s="1" t="s">
        <v>235</v>
      </c>
      <c r="H934" s="2">
        <v>36760</v>
      </c>
      <c r="I934" s="2">
        <v>44072</v>
      </c>
      <c r="J934" s="1">
        <v>17.690000000000001</v>
      </c>
      <c r="K934" s="1">
        <f t="shared" si="30"/>
        <v>791.20294000000013</v>
      </c>
      <c r="L934" s="1">
        <f t="shared" si="31"/>
        <v>3681.3970600000002</v>
      </c>
    </row>
    <row r="935" spans="1:12" x14ac:dyDescent="0.35">
      <c r="A935" s="1">
        <v>1933</v>
      </c>
      <c r="B935" s="2">
        <v>44864</v>
      </c>
      <c r="C935" s="1" t="s">
        <v>35</v>
      </c>
      <c r="D935" s="1" t="s">
        <v>71</v>
      </c>
      <c r="E935" s="1" t="s">
        <v>31</v>
      </c>
      <c r="F935" s="1">
        <v>2128.62</v>
      </c>
      <c r="G935" s="1" t="s">
        <v>248</v>
      </c>
      <c r="H935" s="2">
        <v>32685</v>
      </c>
      <c r="I935" s="2">
        <v>44878</v>
      </c>
      <c r="J935" s="1">
        <v>40.1</v>
      </c>
      <c r="K935" s="1">
        <f t="shared" si="30"/>
        <v>853.57662000000005</v>
      </c>
      <c r="L935" s="1">
        <f t="shared" si="31"/>
        <v>1275.0433799999998</v>
      </c>
    </row>
    <row r="936" spans="1:12" x14ac:dyDescent="0.35">
      <c r="A936" s="1">
        <v>1934</v>
      </c>
      <c r="B936" s="2">
        <v>44178</v>
      </c>
      <c r="C936" s="1" t="s">
        <v>26</v>
      </c>
      <c r="D936" s="1" t="s">
        <v>15</v>
      </c>
      <c r="E936" s="1" t="s">
        <v>16</v>
      </c>
      <c r="F936" s="1">
        <v>314.91000000000003</v>
      </c>
      <c r="G936" s="1" t="s">
        <v>286</v>
      </c>
      <c r="H936" s="2">
        <v>33430</v>
      </c>
      <c r="I936" s="2">
        <v>44182</v>
      </c>
      <c r="J936" s="1">
        <v>19.690000000000001</v>
      </c>
      <c r="K936" s="1">
        <f t="shared" si="30"/>
        <v>62.005779000000011</v>
      </c>
      <c r="L936" s="1">
        <f t="shared" si="31"/>
        <v>252.90422100000001</v>
      </c>
    </row>
    <row r="937" spans="1:12" x14ac:dyDescent="0.35">
      <c r="A937" s="1">
        <v>1935</v>
      </c>
      <c r="B937" s="2">
        <v>45710</v>
      </c>
      <c r="C937" s="1" t="s">
        <v>26</v>
      </c>
      <c r="D937" s="1" t="s">
        <v>49</v>
      </c>
      <c r="E937" s="1" t="s">
        <v>12</v>
      </c>
      <c r="F937" s="1">
        <v>3345.99</v>
      </c>
      <c r="G937" s="1" t="s">
        <v>97</v>
      </c>
      <c r="H937" s="2">
        <v>24706</v>
      </c>
      <c r="I937" s="2">
        <v>45721</v>
      </c>
      <c r="J937" s="1">
        <v>38.380000000000003</v>
      </c>
      <c r="K937" s="1">
        <f t="shared" si="30"/>
        <v>1284.1909620000001</v>
      </c>
      <c r="L937" s="1">
        <f t="shared" si="31"/>
        <v>2061.7990379999997</v>
      </c>
    </row>
    <row r="938" spans="1:12" x14ac:dyDescent="0.35">
      <c r="A938" s="1">
        <v>1936</v>
      </c>
      <c r="B938" s="2">
        <v>45607</v>
      </c>
      <c r="C938" s="1" t="s">
        <v>21</v>
      </c>
      <c r="D938" s="1" t="s">
        <v>40</v>
      </c>
      <c r="E938" s="1" t="s">
        <v>16</v>
      </c>
      <c r="F938" s="1">
        <v>489.14</v>
      </c>
      <c r="G938" s="1" t="s">
        <v>178</v>
      </c>
      <c r="H938" s="2">
        <v>23890</v>
      </c>
      <c r="I938" s="2">
        <v>45608</v>
      </c>
      <c r="J938" s="1">
        <v>21.66</v>
      </c>
      <c r="K938" s="1">
        <f t="shared" si="30"/>
        <v>105.94772400000001</v>
      </c>
      <c r="L938" s="1">
        <f t="shared" si="31"/>
        <v>383.19227599999999</v>
      </c>
    </row>
    <row r="939" spans="1:12" x14ac:dyDescent="0.35">
      <c r="A939" s="1">
        <v>1937</v>
      </c>
      <c r="B939" s="2">
        <v>44704</v>
      </c>
      <c r="C939" s="1" t="s">
        <v>10</v>
      </c>
      <c r="D939" s="1" t="s">
        <v>36</v>
      </c>
      <c r="E939" s="1" t="s">
        <v>28</v>
      </c>
      <c r="F939" s="1">
        <v>4141.28</v>
      </c>
      <c r="G939" s="1" t="s">
        <v>239</v>
      </c>
      <c r="H939" s="2">
        <v>38442</v>
      </c>
      <c r="I939" s="2">
        <v>44713</v>
      </c>
      <c r="J939" s="1">
        <v>45.35</v>
      </c>
      <c r="K939" s="1">
        <f t="shared" si="30"/>
        <v>1878.0704799999999</v>
      </c>
      <c r="L939" s="1">
        <f t="shared" si="31"/>
        <v>2263.2095199999999</v>
      </c>
    </row>
    <row r="940" spans="1:12" x14ac:dyDescent="0.35">
      <c r="A940" s="1">
        <v>1938</v>
      </c>
      <c r="B940" s="2">
        <v>45162</v>
      </c>
      <c r="C940" s="1" t="s">
        <v>10</v>
      </c>
      <c r="D940" s="1" t="s">
        <v>22</v>
      </c>
      <c r="E940" s="1" t="s">
        <v>19</v>
      </c>
      <c r="F940" s="1">
        <v>3591.8</v>
      </c>
      <c r="G940" s="1" t="s">
        <v>219</v>
      </c>
      <c r="H940" s="2">
        <v>25321</v>
      </c>
      <c r="I940" s="2">
        <v>45171</v>
      </c>
      <c r="J940" s="1">
        <v>14.86</v>
      </c>
      <c r="K940" s="1">
        <f t="shared" si="30"/>
        <v>533.74147999999991</v>
      </c>
      <c r="L940" s="1">
        <f t="shared" si="31"/>
        <v>3058.0585200000005</v>
      </c>
    </row>
    <row r="941" spans="1:12" x14ac:dyDescent="0.35">
      <c r="A941" s="1">
        <v>1939</v>
      </c>
      <c r="B941" s="2">
        <v>44974</v>
      </c>
      <c r="C941" s="1" t="s">
        <v>14</v>
      </c>
      <c r="D941" s="1" t="s">
        <v>61</v>
      </c>
      <c r="E941" s="1" t="s">
        <v>19</v>
      </c>
      <c r="F941" s="1">
        <v>4649.03</v>
      </c>
      <c r="G941" s="1" t="s">
        <v>70</v>
      </c>
      <c r="H941" s="2">
        <v>30887</v>
      </c>
      <c r="I941" s="2">
        <v>44983</v>
      </c>
      <c r="J941" s="1">
        <v>18.34</v>
      </c>
      <c r="K941" s="1">
        <f t="shared" si="30"/>
        <v>852.63210200000003</v>
      </c>
      <c r="L941" s="1">
        <f t="shared" si="31"/>
        <v>3796.3978979999997</v>
      </c>
    </row>
    <row r="942" spans="1:12" x14ac:dyDescent="0.35">
      <c r="A942" s="1">
        <v>1940</v>
      </c>
      <c r="B942" s="2">
        <v>44896</v>
      </c>
      <c r="C942" s="1" t="s">
        <v>26</v>
      </c>
      <c r="D942" s="1" t="s">
        <v>73</v>
      </c>
      <c r="E942" s="1" t="s">
        <v>28</v>
      </c>
      <c r="F942" s="1">
        <v>2701.12</v>
      </c>
      <c r="G942" s="1" t="s">
        <v>41</v>
      </c>
      <c r="H942" s="2">
        <v>35818</v>
      </c>
      <c r="I942" s="2">
        <v>44902</v>
      </c>
      <c r="J942" s="1">
        <v>4.6500000000000004</v>
      </c>
      <c r="K942" s="1">
        <f t="shared" si="30"/>
        <v>125.60208000000002</v>
      </c>
      <c r="L942" s="1">
        <f t="shared" si="31"/>
        <v>2575.5179199999998</v>
      </c>
    </row>
    <row r="943" spans="1:12" x14ac:dyDescent="0.35">
      <c r="A943" s="1">
        <v>1941</v>
      </c>
      <c r="B943" s="2">
        <v>45776</v>
      </c>
      <c r="C943" s="1" t="s">
        <v>14</v>
      </c>
      <c r="D943" s="1" t="s">
        <v>61</v>
      </c>
      <c r="E943" s="1" t="s">
        <v>19</v>
      </c>
      <c r="F943" s="1">
        <v>1951.11</v>
      </c>
      <c r="G943" s="1" t="s">
        <v>188</v>
      </c>
      <c r="H943" s="2">
        <v>31467</v>
      </c>
      <c r="I943" s="2">
        <v>45781</v>
      </c>
      <c r="J943" s="1">
        <v>32.76</v>
      </c>
      <c r="K943" s="1">
        <f t="shared" si="30"/>
        <v>639.18363599999998</v>
      </c>
      <c r="L943" s="1">
        <f t="shared" si="31"/>
        <v>1311.9263639999999</v>
      </c>
    </row>
    <row r="944" spans="1:12" x14ac:dyDescent="0.35">
      <c r="A944" s="1">
        <v>1942</v>
      </c>
      <c r="B944" s="2">
        <v>44399</v>
      </c>
      <c r="C944" s="1" t="s">
        <v>21</v>
      </c>
      <c r="D944" s="1" t="s">
        <v>40</v>
      </c>
      <c r="E944" s="1" t="s">
        <v>16</v>
      </c>
      <c r="F944" s="1">
        <v>4608.12</v>
      </c>
      <c r="G944" s="1" t="s">
        <v>238</v>
      </c>
      <c r="H944" s="2">
        <v>31880</v>
      </c>
      <c r="I944" s="2">
        <v>44403</v>
      </c>
      <c r="J944" s="1">
        <v>43.95</v>
      </c>
      <c r="K944" s="1">
        <f t="shared" si="30"/>
        <v>2025.26874</v>
      </c>
      <c r="L944" s="1">
        <f t="shared" si="31"/>
        <v>2582.8512599999999</v>
      </c>
    </row>
    <row r="945" spans="1:12" x14ac:dyDescent="0.35">
      <c r="A945" s="1">
        <v>1943</v>
      </c>
      <c r="B945" s="2">
        <v>44656</v>
      </c>
      <c r="C945" s="1" t="s">
        <v>14</v>
      </c>
      <c r="D945" s="1" t="s">
        <v>53</v>
      </c>
      <c r="E945" s="1" t="s">
        <v>28</v>
      </c>
      <c r="F945" s="1">
        <v>2211.34</v>
      </c>
      <c r="G945" s="1" t="s">
        <v>263</v>
      </c>
      <c r="H945" s="2">
        <v>35629</v>
      </c>
      <c r="I945" s="2">
        <v>44662</v>
      </c>
      <c r="J945" s="1">
        <v>10.82</v>
      </c>
      <c r="K945" s="1">
        <f t="shared" si="30"/>
        <v>239.26698800000003</v>
      </c>
      <c r="L945" s="1">
        <f t="shared" si="31"/>
        <v>1972.0730120000001</v>
      </c>
    </row>
    <row r="946" spans="1:12" x14ac:dyDescent="0.35">
      <c r="A946" s="1">
        <v>1944</v>
      </c>
      <c r="B946" s="2">
        <v>44115</v>
      </c>
      <c r="C946" s="1" t="s">
        <v>35</v>
      </c>
      <c r="D946" s="1" t="s">
        <v>38</v>
      </c>
      <c r="E946" s="1" t="s">
        <v>28</v>
      </c>
      <c r="F946" s="1">
        <v>2815.86</v>
      </c>
      <c r="G946" s="1" t="s">
        <v>230</v>
      </c>
      <c r="H946" s="2">
        <v>35642</v>
      </c>
      <c r="I946" s="2">
        <v>44119</v>
      </c>
      <c r="J946" s="1">
        <v>7.31</v>
      </c>
      <c r="K946" s="1">
        <f t="shared" si="30"/>
        <v>205.83936600000001</v>
      </c>
      <c r="L946" s="1">
        <f t="shared" si="31"/>
        <v>2610.020634</v>
      </c>
    </row>
    <row r="947" spans="1:12" x14ac:dyDescent="0.35">
      <c r="A947" s="1">
        <v>1945</v>
      </c>
      <c r="B947" s="2">
        <v>45006</v>
      </c>
      <c r="C947" s="1" t="s">
        <v>10</v>
      </c>
      <c r="D947" s="1" t="s">
        <v>15</v>
      </c>
      <c r="E947" s="1" t="s">
        <v>16</v>
      </c>
      <c r="F947" s="1">
        <v>2209.85</v>
      </c>
      <c r="G947" s="1" t="s">
        <v>326</v>
      </c>
      <c r="H947" s="2">
        <v>25663</v>
      </c>
      <c r="I947" s="2">
        <v>45011</v>
      </c>
      <c r="J947" s="1">
        <v>35.65</v>
      </c>
      <c r="K947" s="1">
        <f t="shared" si="30"/>
        <v>787.81152499999996</v>
      </c>
      <c r="L947" s="1">
        <f t="shared" si="31"/>
        <v>1422.0384749999998</v>
      </c>
    </row>
    <row r="948" spans="1:12" x14ac:dyDescent="0.35">
      <c r="A948" s="1">
        <v>1946</v>
      </c>
      <c r="B948" s="2">
        <v>45032</v>
      </c>
      <c r="C948" s="1" t="s">
        <v>35</v>
      </c>
      <c r="D948" s="1" t="s">
        <v>11</v>
      </c>
      <c r="E948" s="1" t="s">
        <v>12</v>
      </c>
      <c r="F948" s="1">
        <v>3412.98</v>
      </c>
      <c r="G948" s="1" t="s">
        <v>70</v>
      </c>
      <c r="H948" s="2">
        <v>30887</v>
      </c>
      <c r="I948" s="2">
        <v>45041</v>
      </c>
      <c r="J948" s="1">
        <v>43.36</v>
      </c>
      <c r="K948" s="1">
        <f t="shared" si="30"/>
        <v>1479.8681280000001</v>
      </c>
      <c r="L948" s="1">
        <f t="shared" si="31"/>
        <v>1933.1118719999999</v>
      </c>
    </row>
    <row r="949" spans="1:12" x14ac:dyDescent="0.35">
      <c r="A949" s="1">
        <v>1947</v>
      </c>
      <c r="B949" s="2">
        <v>44509</v>
      </c>
      <c r="C949" s="1" t="s">
        <v>21</v>
      </c>
      <c r="D949" s="1" t="s">
        <v>30</v>
      </c>
      <c r="E949" s="1" t="s">
        <v>31</v>
      </c>
      <c r="F949" s="1">
        <v>3690.16</v>
      </c>
      <c r="G949" s="1" t="s">
        <v>316</v>
      </c>
      <c r="H949" s="2">
        <v>36087</v>
      </c>
      <c r="I949" s="2">
        <v>44517</v>
      </c>
      <c r="J949" s="1">
        <v>40.450000000000003</v>
      </c>
      <c r="K949" s="1">
        <f t="shared" si="30"/>
        <v>1492.6697200000001</v>
      </c>
      <c r="L949" s="1">
        <f t="shared" si="31"/>
        <v>2197.49028</v>
      </c>
    </row>
    <row r="950" spans="1:12" x14ac:dyDescent="0.35">
      <c r="A950" s="1">
        <v>1948</v>
      </c>
      <c r="B950" s="2">
        <v>45669</v>
      </c>
      <c r="C950" s="1" t="s">
        <v>14</v>
      </c>
      <c r="D950" s="1" t="s">
        <v>65</v>
      </c>
      <c r="E950" s="1" t="s">
        <v>19</v>
      </c>
      <c r="F950" s="1">
        <v>3714.34</v>
      </c>
      <c r="G950" s="1" t="s">
        <v>78</v>
      </c>
      <c r="H950" s="2">
        <v>25099</v>
      </c>
      <c r="I950" s="2">
        <v>45670</v>
      </c>
      <c r="J950" s="1">
        <v>47.5</v>
      </c>
      <c r="K950" s="1">
        <f t="shared" si="30"/>
        <v>1764.3115</v>
      </c>
      <c r="L950" s="1">
        <f t="shared" si="31"/>
        <v>1950.0285000000001</v>
      </c>
    </row>
    <row r="951" spans="1:12" x14ac:dyDescent="0.35">
      <c r="A951" s="1">
        <v>1949</v>
      </c>
      <c r="B951" s="2">
        <v>44210</v>
      </c>
      <c r="C951" s="1" t="s">
        <v>14</v>
      </c>
      <c r="D951" s="1" t="s">
        <v>55</v>
      </c>
      <c r="E951" s="1" t="s">
        <v>31</v>
      </c>
      <c r="F951" s="1">
        <v>1241.3399999999999</v>
      </c>
      <c r="G951" s="1" t="s">
        <v>74</v>
      </c>
      <c r="H951" s="2">
        <v>31224</v>
      </c>
      <c r="I951" s="2">
        <v>44214</v>
      </c>
      <c r="J951" s="1">
        <v>29.02</v>
      </c>
      <c r="K951" s="1">
        <f t="shared" si="30"/>
        <v>360.23686800000002</v>
      </c>
      <c r="L951" s="1">
        <f t="shared" si="31"/>
        <v>881.10313199999996</v>
      </c>
    </row>
    <row r="952" spans="1:12" x14ac:dyDescent="0.35">
      <c r="A952" s="1">
        <v>1950</v>
      </c>
      <c r="B952" s="2">
        <v>45678</v>
      </c>
      <c r="C952" s="1" t="s">
        <v>10</v>
      </c>
      <c r="D952" s="1" t="s">
        <v>11</v>
      </c>
      <c r="E952" s="1" t="s">
        <v>12</v>
      </c>
      <c r="F952" s="1">
        <v>3443.53</v>
      </c>
      <c r="G952" s="1" t="s">
        <v>138</v>
      </c>
      <c r="H952" s="2">
        <v>25948</v>
      </c>
      <c r="I952" s="2">
        <v>45679</v>
      </c>
      <c r="J952" s="1">
        <v>21.96</v>
      </c>
      <c r="K952" s="1">
        <f t="shared" si="30"/>
        <v>756.19918800000005</v>
      </c>
      <c r="L952" s="1">
        <f t="shared" si="31"/>
        <v>2687.3308120000002</v>
      </c>
    </row>
    <row r="953" spans="1:12" x14ac:dyDescent="0.35">
      <c r="A953" s="1">
        <v>1951</v>
      </c>
      <c r="B953" s="2">
        <v>44071</v>
      </c>
      <c r="C953" s="1" t="s">
        <v>21</v>
      </c>
      <c r="D953" s="1" t="s">
        <v>69</v>
      </c>
      <c r="E953" s="1" t="s">
        <v>12</v>
      </c>
      <c r="F953" s="1">
        <v>3359.09</v>
      </c>
      <c r="G953" s="1" t="s">
        <v>211</v>
      </c>
      <c r="H953" s="2">
        <v>35702</v>
      </c>
      <c r="I953" s="2">
        <v>44074</v>
      </c>
      <c r="J953" s="1">
        <v>26.73</v>
      </c>
      <c r="K953" s="1">
        <f t="shared" si="30"/>
        <v>897.88475699999992</v>
      </c>
      <c r="L953" s="1">
        <f t="shared" si="31"/>
        <v>2461.2052430000003</v>
      </c>
    </row>
    <row r="954" spans="1:12" x14ac:dyDescent="0.35">
      <c r="A954" s="1">
        <v>1952</v>
      </c>
      <c r="B954" s="2">
        <v>45575</v>
      </c>
      <c r="C954" s="1" t="s">
        <v>14</v>
      </c>
      <c r="D954" s="1" t="s">
        <v>49</v>
      </c>
      <c r="E954" s="1" t="s">
        <v>12</v>
      </c>
      <c r="F954" s="1">
        <v>2503.42</v>
      </c>
      <c r="G954" s="1" t="s">
        <v>142</v>
      </c>
      <c r="H954" s="2">
        <v>29541</v>
      </c>
      <c r="I954" s="2">
        <v>45580</v>
      </c>
      <c r="J954" s="1">
        <v>5.45</v>
      </c>
      <c r="K954" s="1">
        <f t="shared" si="30"/>
        <v>136.43639000000002</v>
      </c>
      <c r="L954" s="1">
        <f t="shared" si="31"/>
        <v>2366.9836100000002</v>
      </c>
    </row>
    <row r="955" spans="1:12" x14ac:dyDescent="0.35">
      <c r="A955" s="1">
        <v>1953</v>
      </c>
      <c r="B955" s="2">
        <v>45189</v>
      </c>
      <c r="C955" s="1" t="s">
        <v>26</v>
      </c>
      <c r="D955" s="1" t="s">
        <v>61</v>
      </c>
      <c r="E955" s="1" t="s">
        <v>19</v>
      </c>
      <c r="F955" s="1">
        <v>1687.13</v>
      </c>
      <c r="G955" s="1" t="s">
        <v>160</v>
      </c>
      <c r="H955" s="2">
        <v>35321</v>
      </c>
      <c r="I955" s="2">
        <v>45201</v>
      </c>
      <c r="J955" s="1">
        <v>8.3800000000000008</v>
      </c>
      <c r="K955" s="1">
        <f t="shared" si="30"/>
        <v>141.38149400000003</v>
      </c>
      <c r="L955" s="1">
        <f t="shared" si="31"/>
        <v>1545.7485060000001</v>
      </c>
    </row>
    <row r="956" spans="1:12" x14ac:dyDescent="0.35">
      <c r="A956" s="1">
        <v>1954</v>
      </c>
      <c r="B956" s="2">
        <v>45382</v>
      </c>
      <c r="C956" s="1" t="s">
        <v>14</v>
      </c>
      <c r="D956" s="1" t="s">
        <v>40</v>
      </c>
      <c r="E956" s="1" t="s">
        <v>16</v>
      </c>
      <c r="F956" s="1">
        <v>1612.54</v>
      </c>
      <c r="G956" s="1" t="s">
        <v>224</v>
      </c>
      <c r="H956" s="2">
        <v>35405</v>
      </c>
      <c r="I956" s="2">
        <v>45389</v>
      </c>
      <c r="J956" s="1">
        <v>39.380000000000003</v>
      </c>
      <c r="K956" s="1">
        <f t="shared" si="30"/>
        <v>635.01825200000007</v>
      </c>
      <c r="L956" s="1">
        <f t="shared" si="31"/>
        <v>977.52174799999989</v>
      </c>
    </row>
    <row r="957" spans="1:12" x14ac:dyDescent="0.35">
      <c r="A957" s="1">
        <v>1955</v>
      </c>
      <c r="B957" s="2">
        <v>44402</v>
      </c>
      <c r="C957" s="1" t="s">
        <v>26</v>
      </c>
      <c r="D957" s="1" t="s">
        <v>15</v>
      </c>
      <c r="E957" s="1" t="s">
        <v>16</v>
      </c>
      <c r="F957" s="1">
        <v>1837.14</v>
      </c>
      <c r="G957" s="1" t="s">
        <v>230</v>
      </c>
      <c r="H957" s="2">
        <v>35642</v>
      </c>
      <c r="I957" s="2">
        <v>44412</v>
      </c>
      <c r="J957" s="1">
        <v>26.52</v>
      </c>
      <c r="K957" s="1">
        <f t="shared" si="30"/>
        <v>487.20952800000003</v>
      </c>
      <c r="L957" s="1">
        <f t="shared" si="31"/>
        <v>1349.930472</v>
      </c>
    </row>
    <row r="958" spans="1:12" x14ac:dyDescent="0.35">
      <c r="A958" s="1">
        <v>1956</v>
      </c>
      <c r="B958" s="2">
        <v>44520</v>
      </c>
      <c r="C958" s="1" t="s">
        <v>10</v>
      </c>
      <c r="D958" s="1" t="s">
        <v>11</v>
      </c>
      <c r="E958" s="1" t="s">
        <v>12</v>
      </c>
      <c r="F958" s="1">
        <v>4483.1499999999996</v>
      </c>
      <c r="G958" s="1" t="s">
        <v>170</v>
      </c>
      <c r="H958" s="2">
        <v>34205</v>
      </c>
      <c r="I958" s="2">
        <v>44526</v>
      </c>
      <c r="J958" s="1">
        <v>40.35</v>
      </c>
      <c r="K958" s="1">
        <f t="shared" si="30"/>
        <v>1808.9510250000001</v>
      </c>
      <c r="L958" s="1">
        <f t="shared" si="31"/>
        <v>2674.1989749999993</v>
      </c>
    </row>
    <row r="959" spans="1:12" x14ac:dyDescent="0.35">
      <c r="A959" s="1">
        <v>1957</v>
      </c>
      <c r="B959" s="2">
        <v>44245</v>
      </c>
      <c r="C959" s="1" t="s">
        <v>21</v>
      </c>
      <c r="D959" s="1" t="s">
        <v>49</v>
      </c>
      <c r="E959" s="1" t="s">
        <v>12</v>
      </c>
      <c r="F959" s="1">
        <v>1254.9100000000001</v>
      </c>
      <c r="G959" s="1" t="s">
        <v>242</v>
      </c>
      <c r="H959" s="2">
        <v>21785</v>
      </c>
      <c r="I959" s="2">
        <v>44258</v>
      </c>
      <c r="J959" s="1">
        <v>39.520000000000003</v>
      </c>
      <c r="K959" s="1">
        <f t="shared" si="30"/>
        <v>495.9404320000001</v>
      </c>
      <c r="L959" s="1">
        <f t="shared" si="31"/>
        <v>758.96956799999998</v>
      </c>
    </row>
    <row r="960" spans="1:12" x14ac:dyDescent="0.35">
      <c r="A960" s="1">
        <v>1958</v>
      </c>
      <c r="B960" s="2">
        <v>44353</v>
      </c>
      <c r="C960" s="1" t="s">
        <v>21</v>
      </c>
      <c r="D960" s="1" t="s">
        <v>40</v>
      </c>
      <c r="E960" s="1" t="s">
        <v>16</v>
      </c>
      <c r="F960" s="1">
        <v>2931.39</v>
      </c>
      <c r="G960" s="1" t="s">
        <v>79</v>
      </c>
      <c r="H960" s="2">
        <v>28675</v>
      </c>
      <c r="I960" s="2">
        <v>44356</v>
      </c>
      <c r="J960" s="1">
        <v>41.44</v>
      </c>
      <c r="K960" s="1">
        <f t="shared" si="30"/>
        <v>1214.768016</v>
      </c>
      <c r="L960" s="1">
        <f t="shared" si="31"/>
        <v>1716.6219839999999</v>
      </c>
    </row>
    <row r="961" spans="1:12" x14ac:dyDescent="0.35">
      <c r="A961" s="1">
        <v>1959</v>
      </c>
      <c r="B961" s="2">
        <v>45785</v>
      </c>
      <c r="C961" s="1" t="s">
        <v>26</v>
      </c>
      <c r="D961" s="1" t="s">
        <v>49</v>
      </c>
      <c r="E961" s="1" t="s">
        <v>12</v>
      </c>
      <c r="F961" s="1">
        <v>4482.41</v>
      </c>
      <c r="G961" s="1" t="s">
        <v>131</v>
      </c>
      <c r="H961" s="2">
        <v>38087</v>
      </c>
      <c r="I961" s="2">
        <v>45797</v>
      </c>
      <c r="J961" s="1">
        <v>45.9</v>
      </c>
      <c r="K961" s="1">
        <f t="shared" si="30"/>
        <v>2057.4261899999997</v>
      </c>
      <c r="L961" s="1">
        <f t="shared" si="31"/>
        <v>2424.9838100000002</v>
      </c>
    </row>
    <row r="962" spans="1:12" x14ac:dyDescent="0.35">
      <c r="A962" s="1">
        <v>1960</v>
      </c>
      <c r="B962" s="2">
        <v>45063</v>
      </c>
      <c r="C962" s="1" t="s">
        <v>35</v>
      </c>
      <c r="D962" s="1" t="s">
        <v>69</v>
      </c>
      <c r="E962" s="1" t="s">
        <v>31</v>
      </c>
      <c r="F962" s="1">
        <v>2174.3000000000002</v>
      </c>
      <c r="G962" s="1" t="s">
        <v>326</v>
      </c>
      <c r="H962" s="2">
        <v>25663</v>
      </c>
      <c r="I962" s="2">
        <v>45073</v>
      </c>
      <c r="J962" s="1">
        <v>31.81</v>
      </c>
      <c r="K962" s="1">
        <f t="shared" si="30"/>
        <v>691.64483000000007</v>
      </c>
      <c r="L962" s="1">
        <f t="shared" si="31"/>
        <v>1482.65517</v>
      </c>
    </row>
    <row r="963" spans="1:12" x14ac:dyDescent="0.35">
      <c r="A963" s="1">
        <v>1961</v>
      </c>
      <c r="B963" s="2">
        <v>44600</v>
      </c>
      <c r="C963" s="1" t="s">
        <v>14</v>
      </c>
      <c r="D963" s="1" t="s">
        <v>11</v>
      </c>
      <c r="E963" s="1" t="s">
        <v>12</v>
      </c>
      <c r="F963" s="1">
        <v>1709.59</v>
      </c>
      <c r="G963" s="1" t="s">
        <v>128</v>
      </c>
      <c r="H963" s="2">
        <v>37961</v>
      </c>
      <c r="I963" s="2">
        <v>44604</v>
      </c>
      <c r="J963" s="1">
        <v>47.88</v>
      </c>
      <c r="K963" s="1">
        <f t="shared" ref="K963:K1001" si="32">F963*J963%</f>
        <v>818.551692</v>
      </c>
      <c r="L963" s="1">
        <f t="shared" ref="L963:L1001" si="33">F963-K963</f>
        <v>891.03830799999992</v>
      </c>
    </row>
    <row r="964" spans="1:12" x14ac:dyDescent="0.35">
      <c r="A964" s="1">
        <v>1962</v>
      </c>
      <c r="B964" s="2">
        <v>44515</v>
      </c>
      <c r="C964" s="1" t="s">
        <v>26</v>
      </c>
      <c r="D964" s="1" t="s">
        <v>18</v>
      </c>
      <c r="E964" s="1" t="s">
        <v>19</v>
      </c>
      <c r="F964" s="1">
        <v>3171.06</v>
      </c>
      <c r="G964" s="1" t="s">
        <v>298</v>
      </c>
      <c r="H964" s="2">
        <v>30410</v>
      </c>
      <c r="I964" s="2">
        <v>44529</v>
      </c>
      <c r="J964" s="1">
        <v>47.15</v>
      </c>
      <c r="K964" s="1">
        <f t="shared" si="32"/>
        <v>1495.1547899999998</v>
      </c>
      <c r="L964" s="1">
        <f t="shared" si="33"/>
        <v>1675.9052100000001</v>
      </c>
    </row>
    <row r="965" spans="1:12" x14ac:dyDescent="0.35">
      <c r="A965" s="1">
        <v>1963</v>
      </c>
      <c r="B965" s="2">
        <v>44608</v>
      </c>
      <c r="C965" s="1" t="s">
        <v>35</v>
      </c>
      <c r="D965" s="1" t="s">
        <v>55</v>
      </c>
      <c r="E965" s="1" t="s">
        <v>31</v>
      </c>
      <c r="F965" s="1">
        <v>4888.68</v>
      </c>
      <c r="G965" s="1" t="s">
        <v>158</v>
      </c>
      <c r="H965" s="2">
        <v>34871</v>
      </c>
      <c r="I965" s="2">
        <v>44619</v>
      </c>
      <c r="J965" s="1">
        <v>38.729999999999997</v>
      </c>
      <c r="K965" s="1">
        <f t="shared" si="32"/>
        <v>1893.3857640000001</v>
      </c>
      <c r="L965" s="1">
        <f t="shared" si="33"/>
        <v>2995.2942360000002</v>
      </c>
    </row>
    <row r="966" spans="1:12" x14ac:dyDescent="0.35">
      <c r="A966" s="1">
        <v>1964</v>
      </c>
      <c r="B966" s="2">
        <v>44421</v>
      </c>
      <c r="C966" s="1" t="s">
        <v>10</v>
      </c>
      <c r="D966" s="1" t="s">
        <v>71</v>
      </c>
      <c r="E966" s="1" t="s">
        <v>31</v>
      </c>
      <c r="F966" s="1">
        <v>1024.3699999999999</v>
      </c>
      <c r="G966" s="1" t="s">
        <v>260</v>
      </c>
      <c r="H966" s="2">
        <v>38628</v>
      </c>
      <c r="I966" s="2">
        <v>44430</v>
      </c>
      <c r="J966" s="1">
        <v>41.87</v>
      </c>
      <c r="K966" s="1">
        <f t="shared" si="32"/>
        <v>428.90371899999991</v>
      </c>
      <c r="L966" s="1">
        <f t="shared" si="33"/>
        <v>595.46628099999998</v>
      </c>
    </row>
    <row r="967" spans="1:12" x14ac:dyDescent="0.35">
      <c r="A967" s="1">
        <v>1965</v>
      </c>
      <c r="B967" s="2">
        <v>44788</v>
      </c>
      <c r="C967" s="1" t="s">
        <v>21</v>
      </c>
      <c r="D967" s="1" t="s">
        <v>61</v>
      </c>
      <c r="E967" s="1" t="s">
        <v>19</v>
      </c>
      <c r="F967" s="1">
        <v>4581.2299999999996</v>
      </c>
      <c r="G967" s="1" t="s">
        <v>163</v>
      </c>
      <c r="H967" s="2">
        <v>30364</v>
      </c>
      <c r="I967" s="2">
        <v>44793</v>
      </c>
      <c r="J967" s="1">
        <v>47.09</v>
      </c>
      <c r="K967" s="1">
        <f t="shared" si="32"/>
        <v>2157.301207</v>
      </c>
      <c r="L967" s="1">
        <f t="shared" si="33"/>
        <v>2423.9287929999996</v>
      </c>
    </row>
    <row r="968" spans="1:12" x14ac:dyDescent="0.35">
      <c r="A968" s="1">
        <v>1966</v>
      </c>
      <c r="B968" s="2">
        <v>44086</v>
      </c>
      <c r="C968" s="1" t="s">
        <v>26</v>
      </c>
      <c r="D968" s="1" t="s">
        <v>65</v>
      </c>
      <c r="E968" s="1" t="s">
        <v>19</v>
      </c>
      <c r="F968" s="1">
        <v>2299.33</v>
      </c>
      <c r="G968" s="1" t="s">
        <v>84</v>
      </c>
      <c r="H968" s="2">
        <v>26472</v>
      </c>
      <c r="I968" s="2">
        <v>44095</v>
      </c>
      <c r="J968" s="1">
        <v>27.15</v>
      </c>
      <c r="K968" s="1">
        <f t="shared" si="32"/>
        <v>624.2680949999999</v>
      </c>
      <c r="L968" s="1">
        <f t="shared" si="33"/>
        <v>1675.061905</v>
      </c>
    </row>
    <row r="969" spans="1:12" x14ac:dyDescent="0.35">
      <c r="A969" s="1">
        <v>1967</v>
      </c>
      <c r="B969" s="2">
        <v>44316</v>
      </c>
      <c r="C969" s="1" t="s">
        <v>21</v>
      </c>
      <c r="D969" s="1" t="s">
        <v>15</v>
      </c>
      <c r="E969" s="1" t="s">
        <v>16</v>
      </c>
      <c r="F969" s="1">
        <v>2148.19</v>
      </c>
      <c r="G969" s="1" t="s">
        <v>223</v>
      </c>
      <c r="H969" s="2">
        <v>35407</v>
      </c>
      <c r="I969" s="2">
        <v>44324</v>
      </c>
      <c r="J969" s="1">
        <v>31.44</v>
      </c>
      <c r="K969" s="1">
        <f t="shared" si="32"/>
        <v>675.39093600000001</v>
      </c>
      <c r="L969" s="1">
        <f t="shared" si="33"/>
        <v>1472.799064</v>
      </c>
    </row>
    <row r="970" spans="1:12" x14ac:dyDescent="0.35">
      <c r="A970" s="1">
        <v>1968</v>
      </c>
      <c r="B970" s="2">
        <v>44287</v>
      </c>
      <c r="C970" s="1" t="s">
        <v>10</v>
      </c>
      <c r="D970" s="1" t="s">
        <v>22</v>
      </c>
      <c r="E970" s="1" t="s">
        <v>19</v>
      </c>
      <c r="F970" s="1">
        <v>4578.1099999999997</v>
      </c>
      <c r="G970" s="1" t="s">
        <v>23</v>
      </c>
      <c r="H970" s="2">
        <v>38378</v>
      </c>
      <c r="I970" s="2">
        <v>44289</v>
      </c>
      <c r="J970" s="1">
        <v>32.28</v>
      </c>
      <c r="K970" s="1">
        <f t="shared" si="32"/>
        <v>1477.8139080000001</v>
      </c>
      <c r="L970" s="1">
        <f t="shared" si="33"/>
        <v>3100.2960919999996</v>
      </c>
    </row>
    <row r="971" spans="1:12" x14ac:dyDescent="0.35">
      <c r="A971" s="1">
        <v>1969</v>
      </c>
      <c r="B971" s="2">
        <v>45483</v>
      </c>
      <c r="C971" s="1" t="s">
        <v>10</v>
      </c>
      <c r="D971" s="1" t="s">
        <v>71</v>
      </c>
      <c r="E971" s="1" t="s">
        <v>31</v>
      </c>
      <c r="F971" s="1">
        <v>1321.82</v>
      </c>
      <c r="G971" s="1" t="s">
        <v>254</v>
      </c>
      <c r="H971" s="2">
        <v>29366</v>
      </c>
      <c r="I971" s="2">
        <v>45497</v>
      </c>
      <c r="J971" s="1">
        <v>8.65</v>
      </c>
      <c r="K971" s="1">
        <f t="shared" si="32"/>
        <v>114.33743</v>
      </c>
      <c r="L971" s="1">
        <f t="shared" si="33"/>
        <v>1207.4825699999999</v>
      </c>
    </row>
    <row r="972" spans="1:12" x14ac:dyDescent="0.35">
      <c r="A972" s="1">
        <v>1970</v>
      </c>
      <c r="B972" s="2">
        <v>44111</v>
      </c>
      <c r="C972" s="1" t="s">
        <v>10</v>
      </c>
      <c r="D972" s="1" t="s">
        <v>58</v>
      </c>
      <c r="E972" s="1" t="s">
        <v>31</v>
      </c>
      <c r="F972" s="1">
        <v>4786.34</v>
      </c>
      <c r="G972" s="1" t="s">
        <v>327</v>
      </c>
      <c r="H972" s="2">
        <v>35343</v>
      </c>
      <c r="I972" s="2">
        <v>44115</v>
      </c>
      <c r="J972" s="1">
        <v>34.32</v>
      </c>
      <c r="K972" s="1">
        <f t="shared" si="32"/>
        <v>1642.6718880000001</v>
      </c>
      <c r="L972" s="1">
        <f t="shared" si="33"/>
        <v>3143.6681120000003</v>
      </c>
    </row>
    <row r="973" spans="1:12" x14ac:dyDescent="0.35">
      <c r="A973" s="1">
        <v>1971</v>
      </c>
      <c r="B973" s="2">
        <v>45884</v>
      </c>
      <c r="C973" s="1" t="s">
        <v>26</v>
      </c>
      <c r="D973" s="1" t="s">
        <v>44</v>
      </c>
      <c r="E973" s="1" t="s">
        <v>16</v>
      </c>
      <c r="F973" s="1">
        <v>3228.56</v>
      </c>
      <c r="G973" s="1" t="s">
        <v>37</v>
      </c>
      <c r="H973" s="2">
        <v>27534</v>
      </c>
      <c r="I973" s="2">
        <v>45890</v>
      </c>
      <c r="J973" s="1">
        <v>48.72</v>
      </c>
      <c r="K973" s="1">
        <f t="shared" si="32"/>
        <v>1572.9544319999998</v>
      </c>
      <c r="L973" s="1">
        <f t="shared" si="33"/>
        <v>1655.6055680000002</v>
      </c>
    </row>
    <row r="974" spans="1:12" x14ac:dyDescent="0.35">
      <c r="A974" s="1">
        <v>1972</v>
      </c>
      <c r="B974" s="2">
        <v>44421</v>
      </c>
      <c r="C974" s="1" t="s">
        <v>21</v>
      </c>
      <c r="D974" s="1" t="s">
        <v>40</v>
      </c>
      <c r="E974" s="1" t="s">
        <v>16</v>
      </c>
      <c r="F974" s="1">
        <v>2697.91</v>
      </c>
      <c r="G974" s="1" t="s">
        <v>80</v>
      </c>
      <c r="H974" s="2">
        <v>31578</v>
      </c>
      <c r="I974" s="2">
        <v>44431</v>
      </c>
      <c r="J974" s="1">
        <v>40.82</v>
      </c>
      <c r="K974" s="1">
        <f t="shared" si="32"/>
        <v>1101.2868619999999</v>
      </c>
      <c r="L974" s="1">
        <f t="shared" si="33"/>
        <v>1596.6231379999999</v>
      </c>
    </row>
    <row r="975" spans="1:12" x14ac:dyDescent="0.35">
      <c r="A975" s="1">
        <v>1973</v>
      </c>
      <c r="B975" s="2">
        <v>44350</v>
      </c>
      <c r="C975" s="1" t="s">
        <v>21</v>
      </c>
      <c r="D975" s="1" t="s">
        <v>40</v>
      </c>
      <c r="E975" s="1" t="s">
        <v>16</v>
      </c>
      <c r="F975" s="1">
        <v>3250.71</v>
      </c>
      <c r="G975" s="1" t="s">
        <v>205</v>
      </c>
      <c r="H975" s="2">
        <v>27526</v>
      </c>
      <c r="I975" s="2">
        <v>44352</v>
      </c>
      <c r="J975" s="1">
        <v>38.67</v>
      </c>
      <c r="K975" s="1">
        <f t="shared" si="32"/>
        <v>1257.049557</v>
      </c>
      <c r="L975" s="1">
        <f t="shared" si="33"/>
        <v>1993.660443</v>
      </c>
    </row>
    <row r="976" spans="1:12" x14ac:dyDescent="0.35">
      <c r="A976" s="1">
        <v>1974</v>
      </c>
      <c r="B976" s="2">
        <v>44959</v>
      </c>
      <c r="C976" s="1" t="s">
        <v>21</v>
      </c>
      <c r="D976" s="1" t="s">
        <v>24</v>
      </c>
      <c r="E976" s="1" t="s">
        <v>19</v>
      </c>
      <c r="F976" s="1">
        <v>1777.81</v>
      </c>
      <c r="G976" s="1" t="s">
        <v>70</v>
      </c>
      <c r="H976" s="2">
        <v>30887</v>
      </c>
      <c r="I976" s="2">
        <v>44966</v>
      </c>
      <c r="J976" s="1">
        <v>36.43</v>
      </c>
      <c r="K976" s="1">
        <f t="shared" si="32"/>
        <v>647.65618300000006</v>
      </c>
      <c r="L976" s="1">
        <f t="shared" si="33"/>
        <v>1130.1538169999999</v>
      </c>
    </row>
    <row r="977" spans="1:12" x14ac:dyDescent="0.35">
      <c r="A977" s="1">
        <v>1975</v>
      </c>
      <c r="B977" s="2">
        <v>45826</v>
      </c>
      <c r="C977" s="1" t="s">
        <v>26</v>
      </c>
      <c r="D977" s="1" t="s">
        <v>11</v>
      </c>
      <c r="E977" s="1" t="s">
        <v>12</v>
      </c>
      <c r="F977" s="1">
        <v>3112.42</v>
      </c>
      <c r="G977" s="1" t="s">
        <v>124</v>
      </c>
      <c r="H977" s="2">
        <v>30786</v>
      </c>
      <c r="I977" s="2">
        <v>45830</v>
      </c>
      <c r="J977" s="1">
        <v>38.31</v>
      </c>
      <c r="K977" s="1">
        <f t="shared" si="32"/>
        <v>1192.3681019999999</v>
      </c>
      <c r="L977" s="1">
        <f t="shared" si="33"/>
        <v>1920.0518980000002</v>
      </c>
    </row>
    <row r="978" spans="1:12" x14ac:dyDescent="0.35">
      <c r="A978" s="1">
        <v>1976</v>
      </c>
      <c r="B978" s="2">
        <v>45528</v>
      </c>
      <c r="C978" s="1" t="s">
        <v>14</v>
      </c>
      <c r="D978" s="1" t="s">
        <v>30</v>
      </c>
      <c r="E978" s="1" t="s">
        <v>31</v>
      </c>
      <c r="F978" s="1">
        <v>1607.63</v>
      </c>
      <c r="G978" s="1" t="s">
        <v>328</v>
      </c>
      <c r="H978" s="2">
        <v>28863</v>
      </c>
      <c r="I978" s="2">
        <v>45536</v>
      </c>
      <c r="J978" s="1">
        <v>25.29</v>
      </c>
      <c r="K978" s="1">
        <f t="shared" si="32"/>
        <v>406.56962700000003</v>
      </c>
      <c r="L978" s="1">
        <f t="shared" si="33"/>
        <v>1201.060373</v>
      </c>
    </row>
    <row r="979" spans="1:12" x14ac:dyDescent="0.35">
      <c r="A979" s="1">
        <v>1977</v>
      </c>
      <c r="B979" s="2">
        <v>44608</v>
      </c>
      <c r="C979" s="1" t="s">
        <v>35</v>
      </c>
      <c r="D979" s="1" t="s">
        <v>38</v>
      </c>
      <c r="E979" s="1" t="s">
        <v>28</v>
      </c>
      <c r="F979" s="1">
        <v>4210.1099999999997</v>
      </c>
      <c r="G979" s="1" t="s">
        <v>93</v>
      </c>
      <c r="H979" s="2">
        <v>33984</v>
      </c>
      <c r="I979" s="2">
        <v>44611</v>
      </c>
      <c r="J979" s="1">
        <v>24.74</v>
      </c>
      <c r="K979" s="1">
        <f t="shared" si="32"/>
        <v>1041.5812139999998</v>
      </c>
      <c r="L979" s="1">
        <f t="shared" si="33"/>
        <v>3168.5287859999999</v>
      </c>
    </row>
    <row r="980" spans="1:12" x14ac:dyDescent="0.35">
      <c r="A980" s="1">
        <v>1978</v>
      </c>
      <c r="B980" s="2">
        <v>44677</v>
      </c>
      <c r="C980" s="1" t="s">
        <v>35</v>
      </c>
      <c r="D980" s="1" t="s">
        <v>22</v>
      </c>
      <c r="E980" s="1" t="s">
        <v>19</v>
      </c>
      <c r="F980" s="1">
        <v>1140.3699999999999</v>
      </c>
      <c r="G980" s="1" t="s">
        <v>327</v>
      </c>
      <c r="H980" s="2">
        <v>35343</v>
      </c>
      <c r="I980" s="2">
        <v>44680</v>
      </c>
      <c r="J980" s="1">
        <v>23.17</v>
      </c>
      <c r="K980" s="1">
        <f t="shared" si="32"/>
        <v>264.22372899999999</v>
      </c>
      <c r="L980" s="1">
        <f t="shared" si="33"/>
        <v>876.14627099999984</v>
      </c>
    </row>
    <row r="981" spans="1:12" x14ac:dyDescent="0.35">
      <c r="A981" s="1">
        <v>1979</v>
      </c>
      <c r="B981" s="2">
        <v>45714</v>
      </c>
      <c r="C981" s="1" t="s">
        <v>10</v>
      </c>
      <c r="D981" s="1" t="s">
        <v>55</v>
      </c>
      <c r="E981" s="1" t="s">
        <v>31</v>
      </c>
      <c r="F981" s="1">
        <v>3651.65</v>
      </c>
      <c r="G981" s="1" t="s">
        <v>295</v>
      </c>
      <c r="H981" s="2">
        <v>23369</v>
      </c>
      <c r="I981" s="2">
        <v>45723</v>
      </c>
      <c r="J981" s="1">
        <v>17.829999999999998</v>
      </c>
      <c r="K981" s="1">
        <f t="shared" si="32"/>
        <v>651.08919500000002</v>
      </c>
      <c r="L981" s="1">
        <f t="shared" si="33"/>
        <v>3000.5608050000001</v>
      </c>
    </row>
    <row r="982" spans="1:12" x14ac:dyDescent="0.35">
      <c r="A982" s="1">
        <v>1980</v>
      </c>
      <c r="B982" s="2">
        <v>44666</v>
      </c>
      <c r="C982" s="1" t="s">
        <v>21</v>
      </c>
      <c r="D982" s="1" t="s">
        <v>65</v>
      </c>
      <c r="E982" s="1" t="s">
        <v>19</v>
      </c>
      <c r="F982" s="1">
        <v>2249.48</v>
      </c>
      <c r="G982" s="1" t="s">
        <v>240</v>
      </c>
      <c r="H982" s="2">
        <v>38478</v>
      </c>
      <c r="I982" s="2">
        <v>44671</v>
      </c>
      <c r="J982" s="1">
        <v>8.68</v>
      </c>
      <c r="K982" s="1">
        <f t="shared" si="32"/>
        <v>195.254864</v>
      </c>
      <c r="L982" s="1">
        <f t="shared" si="33"/>
        <v>2054.225136</v>
      </c>
    </row>
    <row r="983" spans="1:12" x14ac:dyDescent="0.35">
      <c r="A983" s="1">
        <v>1981</v>
      </c>
      <c r="B983" s="2">
        <v>44517</v>
      </c>
      <c r="C983" s="1" t="s">
        <v>10</v>
      </c>
      <c r="D983" s="1" t="s">
        <v>58</v>
      </c>
      <c r="E983" s="1" t="s">
        <v>31</v>
      </c>
      <c r="F983" s="1">
        <v>572.61</v>
      </c>
      <c r="G983" s="1" t="s">
        <v>228</v>
      </c>
      <c r="H983" s="2">
        <v>25811</v>
      </c>
      <c r="I983" s="2">
        <v>44521</v>
      </c>
      <c r="J983" s="1">
        <v>17.8</v>
      </c>
      <c r="K983" s="1">
        <f t="shared" si="32"/>
        <v>101.92458000000002</v>
      </c>
      <c r="L983" s="1">
        <f t="shared" si="33"/>
        <v>470.68542000000002</v>
      </c>
    </row>
    <row r="984" spans="1:12" x14ac:dyDescent="0.35">
      <c r="A984" s="1">
        <v>1982</v>
      </c>
      <c r="B984" s="2">
        <v>44780</v>
      </c>
      <c r="C984" s="1" t="s">
        <v>21</v>
      </c>
      <c r="D984" s="1" t="s">
        <v>24</v>
      </c>
      <c r="E984" s="1" t="s">
        <v>19</v>
      </c>
      <c r="F984" s="1">
        <v>3738.45</v>
      </c>
      <c r="G984" s="1" t="s">
        <v>287</v>
      </c>
      <c r="H984" s="2">
        <v>36329</v>
      </c>
      <c r="I984" s="2">
        <v>44783</v>
      </c>
      <c r="J984" s="1">
        <v>40.39</v>
      </c>
      <c r="K984" s="1">
        <f t="shared" si="32"/>
        <v>1509.9599549999998</v>
      </c>
      <c r="L984" s="1">
        <f t="shared" si="33"/>
        <v>2228.490045</v>
      </c>
    </row>
    <row r="985" spans="1:12" x14ac:dyDescent="0.35">
      <c r="A985" s="1">
        <v>1983</v>
      </c>
      <c r="B985" s="2">
        <v>45556</v>
      </c>
      <c r="C985" s="1" t="s">
        <v>10</v>
      </c>
      <c r="D985" s="1" t="s">
        <v>47</v>
      </c>
      <c r="E985" s="1" t="s">
        <v>12</v>
      </c>
      <c r="F985" s="1">
        <v>2860.02</v>
      </c>
      <c r="G985" s="1" t="s">
        <v>309</v>
      </c>
      <c r="H985" s="2">
        <v>23838</v>
      </c>
      <c r="I985" s="2">
        <v>45568</v>
      </c>
      <c r="J985" s="1">
        <v>9.4600000000000009</v>
      </c>
      <c r="K985" s="1">
        <f t="shared" si="32"/>
        <v>270.55789199999998</v>
      </c>
      <c r="L985" s="1">
        <f t="shared" si="33"/>
        <v>2589.4621080000002</v>
      </c>
    </row>
    <row r="986" spans="1:12" x14ac:dyDescent="0.35">
      <c r="A986" s="1">
        <v>1984</v>
      </c>
      <c r="B986" s="2">
        <v>44207</v>
      </c>
      <c r="C986" s="1" t="s">
        <v>10</v>
      </c>
      <c r="D986" s="1" t="s">
        <v>24</v>
      </c>
      <c r="E986" s="1" t="s">
        <v>19</v>
      </c>
      <c r="F986" s="1">
        <v>2382.77</v>
      </c>
      <c r="G986" s="1" t="s">
        <v>269</v>
      </c>
      <c r="H986" s="2">
        <v>30976</v>
      </c>
      <c r="I986" s="2">
        <v>44210</v>
      </c>
      <c r="J986" s="1">
        <v>28.79</v>
      </c>
      <c r="K986" s="1">
        <f t="shared" si="32"/>
        <v>685.99948299999994</v>
      </c>
      <c r="L986" s="1">
        <f t="shared" si="33"/>
        <v>1696.7705169999999</v>
      </c>
    </row>
    <row r="987" spans="1:12" x14ac:dyDescent="0.35">
      <c r="A987" s="1">
        <v>1985</v>
      </c>
      <c r="B987" s="2">
        <v>45108</v>
      </c>
      <c r="C987" s="1" t="s">
        <v>14</v>
      </c>
      <c r="D987" s="1" t="s">
        <v>24</v>
      </c>
      <c r="E987" s="1" t="s">
        <v>19</v>
      </c>
      <c r="F987" s="1">
        <v>2464.46</v>
      </c>
      <c r="G987" s="1" t="s">
        <v>304</v>
      </c>
      <c r="H987" s="2">
        <v>36246</v>
      </c>
      <c r="I987" s="2">
        <v>45111</v>
      </c>
      <c r="J987" s="1">
        <v>20.329999999999998</v>
      </c>
      <c r="K987" s="1">
        <f t="shared" si="32"/>
        <v>501.02471799999995</v>
      </c>
      <c r="L987" s="1">
        <f t="shared" si="33"/>
        <v>1963.4352820000001</v>
      </c>
    </row>
    <row r="988" spans="1:12" x14ac:dyDescent="0.35">
      <c r="A988" s="1">
        <v>1986</v>
      </c>
      <c r="B988" s="2">
        <v>45000</v>
      </c>
      <c r="C988" s="1" t="s">
        <v>21</v>
      </c>
      <c r="D988" s="1" t="s">
        <v>102</v>
      </c>
      <c r="E988" s="1" t="s">
        <v>12</v>
      </c>
      <c r="F988" s="1">
        <v>468.69</v>
      </c>
      <c r="G988" s="1" t="s">
        <v>216</v>
      </c>
      <c r="H988" s="2">
        <v>31419</v>
      </c>
      <c r="I988" s="2">
        <v>45014</v>
      </c>
      <c r="J988" s="1">
        <v>46.49</v>
      </c>
      <c r="K988" s="1">
        <f t="shared" si="32"/>
        <v>217.89398100000003</v>
      </c>
      <c r="L988" s="1">
        <f t="shared" si="33"/>
        <v>250.79601899999997</v>
      </c>
    </row>
    <row r="989" spans="1:12" x14ac:dyDescent="0.35">
      <c r="A989" s="1">
        <v>1987</v>
      </c>
      <c r="B989" s="2">
        <v>45619</v>
      </c>
      <c r="C989" s="1" t="s">
        <v>35</v>
      </c>
      <c r="D989" s="1" t="s">
        <v>71</v>
      </c>
      <c r="E989" s="1" t="s">
        <v>31</v>
      </c>
      <c r="F989" s="1">
        <v>677.56</v>
      </c>
      <c r="G989" s="1" t="s">
        <v>139</v>
      </c>
      <c r="H989" s="2">
        <v>29381</v>
      </c>
      <c r="I989" s="2">
        <v>45621</v>
      </c>
      <c r="J989" s="1">
        <v>37.049999999999997</v>
      </c>
      <c r="K989" s="1">
        <f t="shared" si="32"/>
        <v>251.03597999999997</v>
      </c>
      <c r="L989" s="1">
        <f t="shared" si="33"/>
        <v>426.52401999999995</v>
      </c>
    </row>
    <row r="990" spans="1:12" x14ac:dyDescent="0.35">
      <c r="A990" s="1">
        <v>1988</v>
      </c>
      <c r="B990" s="2">
        <v>44777</v>
      </c>
      <c r="C990" s="1" t="s">
        <v>21</v>
      </c>
      <c r="D990" s="1" t="s">
        <v>88</v>
      </c>
      <c r="E990" s="1" t="s">
        <v>16</v>
      </c>
      <c r="F990" s="1">
        <v>2122.41</v>
      </c>
      <c r="G990" s="1" t="s">
        <v>173</v>
      </c>
      <c r="H990" s="2">
        <v>22016</v>
      </c>
      <c r="I990" s="2">
        <v>44791</v>
      </c>
      <c r="J990" s="1">
        <v>16.09</v>
      </c>
      <c r="K990" s="1">
        <f t="shared" si="32"/>
        <v>341.49576899999994</v>
      </c>
      <c r="L990" s="1">
        <f t="shared" si="33"/>
        <v>1780.914231</v>
      </c>
    </row>
    <row r="991" spans="1:12" x14ac:dyDescent="0.35">
      <c r="A991" s="1">
        <v>1989</v>
      </c>
      <c r="B991" s="2">
        <v>45091</v>
      </c>
      <c r="C991" s="1" t="s">
        <v>10</v>
      </c>
      <c r="D991" s="1" t="s">
        <v>102</v>
      </c>
      <c r="E991" s="1" t="s">
        <v>12</v>
      </c>
      <c r="F991" s="1">
        <v>3431.74</v>
      </c>
      <c r="G991" s="1" t="s">
        <v>151</v>
      </c>
      <c r="H991" s="2">
        <v>34427</v>
      </c>
      <c r="I991" s="2">
        <v>45093</v>
      </c>
      <c r="J991" s="1">
        <v>31.94</v>
      </c>
      <c r="K991" s="1">
        <f t="shared" si="32"/>
        <v>1096.0977559999999</v>
      </c>
      <c r="L991" s="1">
        <f t="shared" si="33"/>
        <v>2335.6422439999997</v>
      </c>
    </row>
    <row r="992" spans="1:12" x14ac:dyDescent="0.35">
      <c r="A992" s="1">
        <v>1990</v>
      </c>
      <c r="B992" s="2">
        <v>45222</v>
      </c>
      <c r="C992" s="1" t="s">
        <v>10</v>
      </c>
      <c r="D992" s="1" t="s">
        <v>53</v>
      </c>
      <c r="E992" s="1" t="s">
        <v>28</v>
      </c>
      <c r="F992" s="1">
        <v>4273.12</v>
      </c>
      <c r="G992" s="1" t="s">
        <v>244</v>
      </c>
      <c r="H992" s="2">
        <v>30356</v>
      </c>
      <c r="I992" s="2">
        <v>45232</v>
      </c>
      <c r="J992" s="1">
        <v>36.299999999999997</v>
      </c>
      <c r="K992" s="1">
        <f t="shared" si="32"/>
        <v>1551.14256</v>
      </c>
      <c r="L992" s="1">
        <f t="shared" si="33"/>
        <v>2721.9774399999997</v>
      </c>
    </row>
    <row r="993" spans="1:12" x14ac:dyDescent="0.35">
      <c r="A993" s="1">
        <v>1991</v>
      </c>
      <c r="B993" s="2">
        <v>44469</v>
      </c>
      <c r="C993" s="1" t="s">
        <v>14</v>
      </c>
      <c r="D993" s="1" t="s">
        <v>47</v>
      </c>
      <c r="E993" s="1" t="s">
        <v>12</v>
      </c>
      <c r="F993" s="1">
        <v>1021.17</v>
      </c>
      <c r="G993" s="1" t="s">
        <v>62</v>
      </c>
      <c r="H993" s="2">
        <v>22870</v>
      </c>
      <c r="I993" s="2">
        <v>44478</v>
      </c>
      <c r="J993" s="1">
        <v>22.08</v>
      </c>
      <c r="K993" s="1">
        <f t="shared" si="32"/>
        <v>225.47433599999999</v>
      </c>
      <c r="L993" s="1">
        <f t="shared" si="33"/>
        <v>795.69566399999997</v>
      </c>
    </row>
    <row r="994" spans="1:12" x14ac:dyDescent="0.35">
      <c r="A994" s="1">
        <v>1992</v>
      </c>
      <c r="B994" s="2">
        <v>45185</v>
      </c>
      <c r="C994" s="1" t="s">
        <v>21</v>
      </c>
      <c r="D994" s="1" t="s">
        <v>27</v>
      </c>
      <c r="E994" s="1" t="s">
        <v>28</v>
      </c>
      <c r="F994" s="1">
        <v>810.89</v>
      </c>
      <c r="G994" s="1" t="s">
        <v>198</v>
      </c>
      <c r="H994" s="2">
        <v>31598</v>
      </c>
      <c r="I994" s="2">
        <v>45196</v>
      </c>
      <c r="J994" s="1">
        <v>1.1100000000000001</v>
      </c>
      <c r="K994" s="1">
        <f t="shared" si="32"/>
        <v>9.0008789999999994</v>
      </c>
      <c r="L994" s="1">
        <f t="shared" si="33"/>
        <v>801.88912099999993</v>
      </c>
    </row>
    <row r="995" spans="1:12" x14ac:dyDescent="0.35">
      <c r="A995" s="1">
        <v>1993</v>
      </c>
      <c r="B995" s="2">
        <v>44395</v>
      </c>
      <c r="C995" s="1" t="s">
        <v>21</v>
      </c>
      <c r="D995" s="1" t="s">
        <v>58</v>
      </c>
      <c r="E995" s="1" t="s">
        <v>31</v>
      </c>
      <c r="F995" s="1">
        <v>2747.73</v>
      </c>
      <c r="G995" s="1" t="s">
        <v>193</v>
      </c>
      <c r="H995" s="2">
        <v>26082</v>
      </c>
      <c r="I995" s="2">
        <v>44409</v>
      </c>
      <c r="J995" s="1">
        <v>27.71</v>
      </c>
      <c r="K995" s="1">
        <f t="shared" si="32"/>
        <v>761.395983</v>
      </c>
      <c r="L995" s="1">
        <f t="shared" si="33"/>
        <v>1986.3340170000001</v>
      </c>
    </row>
    <row r="996" spans="1:12" x14ac:dyDescent="0.35">
      <c r="A996" s="1">
        <v>1994</v>
      </c>
      <c r="B996" s="2">
        <v>44922</v>
      </c>
      <c r="C996" s="1" t="s">
        <v>35</v>
      </c>
      <c r="D996" s="1" t="s">
        <v>69</v>
      </c>
      <c r="E996" s="1" t="s">
        <v>31</v>
      </c>
      <c r="F996" s="1">
        <v>3679.17</v>
      </c>
      <c r="G996" s="1" t="s">
        <v>202</v>
      </c>
      <c r="H996" s="2">
        <v>24802</v>
      </c>
      <c r="I996" s="2">
        <v>44936</v>
      </c>
      <c r="J996" s="1">
        <v>11.92</v>
      </c>
      <c r="K996" s="1">
        <f t="shared" si="32"/>
        <v>438.55706400000003</v>
      </c>
      <c r="L996" s="1">
        <f t="shared" si="33"/>
        <v>3240.612936</v>
      </c>
    </row>
    <row r="997" spans="1:12" x14ac:dyDescent="0.35">
      <c r="A997" s="1">
        <v>1995</v>
      </c>
      <c r="B997" s="2">
        <v>44137</v>
      </c>
      <c r="C997" s="1" t="s">
        <v>14</v>
      </c>
      <c r="D997" s="1" t="s">
        <v>38</v>
      </c>
      <c r="E997" s="1" t="s">
        <v>28</v>
      </c>
      <c r="F997" s="1">
        <v>2082.8000000000002</v>
      </c>
      <c r="G997" s="1" t="s">
        <v>75</v>
      </c>
      <c r="H997" s="2">
        <v>25853</v>
      </c>
      <c r="I997" s="2">
        <v>44146</v>
      </c>
      <c r="J997" s="1">
        <v>30.49</v>
      </c>
      <c r="K997" s="1">
        <f t="shared" si="32"/>
        <v>635.04572000000007</v>
      </c>
      <c r="L997" s="1">
        <f t="shared" si="33"/>
        <v>1447.7542800000001</v>
      </c>
    </row>
    <row r="998" spans="1:12" x14ac:dyDescent="0.35">
      <c r="A998" s="1">
        <v>1996</v>
      </c>
      <c r="B998" s="2">
        <v>45720</v>
      </c>
      <c r="C998" s="1" t="s">
        <v>21</v>
      </c>
      <c r="D998" s="1" t="s">
        <v>65</v>
      </c>
      <c r="E998" s="1" t="s">
        <v>19</v>
      </c>
      <c r="F998" s="1">
        <v>339.6</v>
      </c>
      <c r="G998" s="1" t="s">
        <v>66</v>
      </c>
      <c r="H998" s="2">
        <v>33192</v>
      </c>
      <c r="I998" s="2">
        <v>45730</v>
      </c>
      <c r="J998" s="1">
        <v>41.36</v>
      </c>
      <c r="K998" s="1">
        <f t="shared" si="32"/>
        <v>140.45856000000001</v>
      </c>
      <c r="L998" s="1">
        <f t="shared" si="33"/>
        <v>199.14144000000002</v>
      </c>
    </row>
    <row r="999" spans="1:12" x14ac:dyDescent="0.35">
      <c r="A999" s="1">
        <v>1997</v>
      </c>
      <c r="B999" s="2">
        <v>44735</v>
      </c>
      <c r="C999" s="1" t="s">
        <v>26</v>
      </c>
      <c r="D999" s="1" t="s">
        <v>49</v>
      </c>
      <c r="E999" s="1" t="s">
        <v>12</v>
      </c>
      <c r="F999" s="1">
        <v>3798.58</v>
      </c>
      <c r="G999" s="1" t="s">
        <v>256</v>
      </c>
      <c r="H999" s="2">
        <v>34537</v>
      </c>
      <c r="I999" s="2">
        <v>44746</v>
      </c>
      <c r="J999" s="1">
        <v>1.3</v>
      </c>
      <c r="K999" s="1">
        <f t="shared" si="32"/>
        <v>49.381540000000001</v>
      </c>
      <c r="L999" s="1">
        <f t="shared" si="33"/>
        <v>3749.1984600000001</v>
      </c>
    </row>
    <row r="1000" spans="1:12" x14ac:dyDescent="0.35">
      <c r="A1000" s="1">
        <v>1998</v>
      </c>
      <c r="B1000" s="2">
        <v>45399</v>
      </c>
      <c r="C1000" s="1" t="s">
        <v>14</v>
      </c>
      <c r="D1000" s="1" t="s">
        <v>18</v>
      </c>
      <c r="E1000" s="1" t="s">
        <v>19</v>
      </c>
      <c r="F1000" s="1">
        <v>2405.3000000000002</v>
      </c>
      <c r="G1000" s="1" t="s">
        <v>20</v>
      </c>
      <c r="H1000" s="2">
        <v>24232</v>
      </c>
      <c r="I1000" s="2">
        <v>45405</v>
      </c>
      <c r="J1000" s="1">
        <v>14.82</v>
      </c>
      <c r="K1000" s="1">
        <f t="shared" si="32"/>
        <v>356.46546000000001</v>
      </c>
      <c r="L1000" s="1">
        <f t="shared" si="33"/>
        <v>2048.8345400000003</v>
      </c>
    </row>
    <row r="1001" spans="1:12" x14ac:dyDescent="0.35">
      <c r="A1001" s="1">
        <v>1999</v>
      </c>
      <c r="B1001" s="2">
        <v>44652</v>
      </c>
      <c r="C1001" s="1" t="s">
        <v>35</v>
      </c>
      <c r="D1001" s="1" t="s">
        <v>30</v>
      </c>
      <c r="E1001" s="1" t="s">
        <v>31</v>
      </c>
      <c r="F1001" s="1">
        <v>964.49</v>
      </c>
      <c r="G1001" s="1" t="s">
        <v>112</v>
      </c>
      <c r="H1001" s="2">
        <v>38171</v>
      </c>
      <c r="I1001" s="2">
        <v>44664</v>
      </c>
      <c r="J1001" s="1">
        <v>32.28</v>
      </c>
      <c r="K1001" s="1">
        <f t="shared" si="32"/>
        <v>311.33737200000002</v>
      </c>
      <c r="L1001" s="1">
        <f t="shared" si="33"/>
        <v>653.15262800000005</v>
      </c>
    </row>
  </sheetData>
  <autoFilter ref="A1:L1001" xr:uid="{17D96131-B914-4F33-BC58-10C4BF7AAA5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F2F2C-0245-4862-8061-DA80D73D18DA}">
  <dimension ref="A1:AI1001"/>
  <sheetViews>
    <sheetView tabSelected="1" topLeftCell="A59" zoomScale="70" zoomScaleNormal="96" workbookViewId="0">
      <selection activeCell="O90" sqref="O90"/>
    </sheetView>
  </sheetViews>
  <sheetFormatPr defaultRowHeight="14.5" x14ac:dyDescent="0.35"/>
  <cols>
    <col min="1" max="1" width="7.54296875" bestFit="1" customWidth="1"/>
    <col min="2" max="2" width="10.08984375" bestFit="1" customWidth="1"/>
    <col min="3" max="3" width="6.81640625" bestFit="1" customWidth="1"/>
    <col min="4" max="4" width="12.1796875" bestFit="1" customWidth="1"/>
    <col min="5" max="5" width="10.6328125" bestFit="1" customWidth="1"/>
    <col min="6" max="6" width="11.08984375" bestFit="1" customWidth="1"/>
    <col min="7" max="7" width="19.54296875" bestFit="1" customWidth="1"/>
    <col min="8" max="8" width="10.08984375" bestFit="1" customWidth="1"/>
    <col min="9" max="9" width="12.08984375" bestFit="1" customWidth="1"/>
    <col min="10" max="10" width="9.36328125" bestFit="1" customWidth="1"/>
    <col min="11" max="11" width="12.6328125" bestFit="1" customWidth="1"/>
    <col min="12" max="12" width="11.81640625" bestFit="1" customWidth="1"/>
    <col min="14" max="14" width="12.1796875" bestFit="1" customWidth="1"/>
    <col min="15" max="19" width="11.81640625" bestFit="1" customWidth="1"/>
    <col min="21" max="21" width="12.1796875" bestFit="1" customWidth="1"/>
    <col min="22" max="22" width="5.08984375" bestFit="1" customWidth="1"/>
    <col min="23" max="23" width="5.6328125" bestFit="1" customWidth="1"/>
    <col min="24" max="24" width="5" bestFit="1" customWidth="1"/>
    <col min="25" max="25" width="10.36328125" bestFit="1" customWidth="1"/>
    <col min="26" max="26" width="6.81640625" bestFit="1" customWidth="1"/>
    <col min="27" max="27" width="12.1796875" bestFit="1" customWidth="1"/>
    <col min="28" max="28" width="9.7265625" bestFit="1" customWidth="1"/>
    <col min="29" max="29" width="8.1796875" bestFit="1" customWidth="1"/>
    <col min="30" max="30" width="19.54296875" bestFit="1" customWidth="1"/>
    <col min="31" max="33" width="6.08984375" bestFit="1" customWidth="1"/>
    <col min="34" max="35" width="12.26953125" bestFit="1" customWidth="1"/>
  </cols>
  <sheetData>
    <row r="1" spans="1:35" ht="14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330</v>
      </c>
      <c r="L1" s="1" t="s">
        <v>329</v>
      </c>
      <c r="N1" s="10" t="s">
        <v>334</v>
      </c>
      <c r="O1" s="10"/>
      <c r="P1" s="10"/>
      <c r="Q1" s="10"/>
      <c r="R1" s="10"/>
      <c r="S1" s="10"/>
      <c r="U1" s="9"/>
      <c r="V1" s="9"/>
      <c r="W1" s="9"/>
      <c r="X1" s="12" t="s">
        <v>335</v>
      </c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spans="1:35" ht="14.5" customHeight="1" x14ac:dyDescent="0.35">
      <c r="A2" s="1">
        <v>1000</v>
      </c>
      <c r="B2" s="2">
        <v>44474</v>
      </c>
      <c r="C2" s="1" t="s">
        <v>10</v>
      </c>
      <c r="D2" s="1" t="s">
        <v>11</v>
      </c>
      <c r="E2" s="1" t="s">
        <v>12</v>
      </c>
      <c r="F2" s="1">
        <v>631.19000000000005</v>
      </c>
      <c r="G2" s="1" t="s">
        <v>13</v>
      </c>
      <c r="H2" s="2">
        <v>24348</v>
      </c>
      <c r="I2" s="2">
        <v>44481</v>
      </c>
      <c r="J2" s="1">
        <v>23.27</v>
      </c>
      <c r="K2" s="1">
        <f>F2*J2%</f>
        <v>146.87791300000001</v>
      </c>
      <c r="L2" s="1">
        <f>F2-K2</f>
        <v>484.31208700000002</v>
      </c>
      <c r="N2" s="11"/>
      <c r="O2" s="11"/>
      <c r="P2" s="11"/>
      <c r="Q2" s="11"/>
      <c r="R2" s="11"/>
      <c r="S2" s="11"/>
      <c r="U2" s="9"/>
      <c r="V2" s="9"/>
      <c r="W2" s="9"/>
      <c r="X2" s="1" t="s">
        <v>0</v>
      </c>
      <c r="Y2" s="2" t="s">
        <v>1</v>
      </c>
      <c r="Z2" s="1" t="s">
        <v>2</v>
      </c>
      <c r="AA2" s="1" t="s">
        <v>3</v>
      </c>
      <c r="AB2" s="1" t="s">
        <v>4</v>
      </c>
      <c r="AC2" s="1" t="s">
        <v>5</v>
      </c>
      <c r="AD2" s="1" t="s">
        <v>6</v>
      </c>
      <c r="AE2" s="1" t="s">
        <v>7</v>
      </c>
      <c r="AF2" s="1" t="s">
        <v>8</v>
      </c>
      <c r="AG2" s="1" t="s">
        <v>9</v>
      </c>
      <c r="AH2" s="1" t="s">
        <v>330</v>
      </c>
      <c r="AI2" s="1" t="s">
        <v>329</v>
      </c>
    </row>
    <row r="3" spans="1:35" x14ac:dyDescent="0.35">
      <c r="A3" s="1">
        <v>1001</v>
      </c>
      <c r="B3" s="2">
        <v>44531</v>
      </c>
      <c r="C3" s="1" t="s">
        <v>14</v>
      </c>
      <c r="D3" s="1" t="s">
        <v>15</v>
      </c>
      <c r="E3" s="1" t="s">
        <v>16</v>
      </c>
      <c r="F3" s="1">
        <v>2524.6</v>
      </c>
      <c r="G3" s="1" t="s">
        <v>17</v>
      </c>
      <c r="H3" s="2">
        <v>26484</v>
      </c>
      <c r="I3" s="2">
        <v>44540</v>
      </c>
      <c r="J3" s="1">
        <v>32.72</v>
      </c>
      <c r="K3" s="1">
        <f t="shared" ref="K3:K66" si="0">F3*J3%</f>
        <v>826.0491199999999</v>
      </c>
      <c r="L3" s="1">
        <f t="shared" ref="L3:L66" si="1">F3-K3</f>
        <v>1698.55088</v>
      </c>
      <c r="N3" s="8" t="s">
        <v>3</v>
      </c>
      <c r="O3" s="8" t="s">
        <v>10</v>
      </c>
      <c r="P3" s="8" t="s">
        <v>14</v>
      </c>
      <c r="Q3" s="8" t="s">
        <v>21</v>
      </c>
      <c r="R3" s="8" t="s">
        <v>26</v>
      </c>
      <c r="S3" s="8" t="s">
        <v>35</v>
      </c>
      <c r="U3" cm="1">
        <f t="array" ref="U3:U729">_xlfn._xlws.FILTER(L2:L1001,L2:L1001&gt;1000)</f>
        <v>1698.55088</v>
      </c>
      <c r="X3" s="1" cm="1">
        <f t="array" ref="X3:AI729">_xlfn._xlws.FILTER(A2:L1001,L2:L1001&gt;=1000)</f>
        <v>1001</v>
      </c>
      <c r="Y3" s="2">
        <v>44531</v>
      </c>
      <c r="Z3" s="1" t="str">
        <v>North</v>
      </c>
      <c r="AA3" s="1" t="str">
        <v>Milk</v>
      </c>
      <c r="AB3" s="1" t="str">
        <v>Groceries</v>
      </c>
      <c r="AC3" s="1">
        <v>2524.6</v>
      </c>
      <c r="AD3" s="1" t="str">
        <v>Lisa Smith</v>
      </c>
      <c r="AE3" s="1">
        <v>26484</v>
      </c>
      <c r="AF3" s="1">
        <v>44540</v>
      </c>
      <c r="AG3" s="1">
        <v>32.72</v>
      </c>
      <c r="AH3" s="1">
        <v>826.0491199999999</v>
      </c>
      <c r="AI3" s="1">
        <v>1698.55088</v>
      </c>
    </row>
    <row r="4" spans="1:35" x14ac:dyDescent="0.35">
      <c r="A4" s="1">
        <v>1002</v>
      </c>
      <c r="B4" s="2">
        <v>45090</v>
      </c>
      <c r="C4" s="1" t="s">
        <v>14</v>
      </c>
      <c r="D4" s="1" t="s">
        <v>18</v>
      </c>
      <c r="E4" s="1" t="s">
        <v>19</v>
      </c>
      <c r="F4" s="1">
        <v>4796.1499999999996</v>
      </c>
      <c r="G4" s="1" t="s">
        <v>20</v>
      </c>
      <c r="H4" s="2">
        <v>24232</v>
      </c>
      <c r="I4" s="2">
        <v>45100</v>
      </c>
      <c r="J4" s="1">
        <v>37.94</v>
      </c>
      <c r="K4" s="1">
        <f t="shared" si="0"/>
        <v>1819.6593099999998</v>
      </c>
      <c r="L4" s="1">
        <f t="shared" si="1"/>
        <v>2976.4906899999996</v>
      </c>
      <c r="N4" s="1" t="s">
        <v>11</v>
      </c>
      <c r="O4" s="1">
        <f t="shared" ref="O4:S13" si="2">SUMIFS($L$2:$L$1001,$D$2:$D$1001,$N4,$C$2:$C$1001,O$3)</f>
        <v>16463.153532</v>
      </c>
      <c r="P4" s="1">
        <f t="shared" si="2"/>
        <v>15952.317431999998</v>
      </c>
      <c r="Q4" s="1">
        <f t="shared" si="2"/>
        <v>18275.402972999997</v>
      </c>
      <c r="R4" s="1">
        <f t="shared" si="2"/>
        <v>13822.783797</v>
      </c>
      <c r="S4" s="1">
        <f t="shared" si="2"/>
        <v>22113.890039999998</v>
      </c>
      <c r="U4">
        <v>2976.4906899999996</v>
      </c>
      <c r="X4" s="1">
        <v>1002</v>
      </c>
      <c r="Y4" s="2">
        <v>45090</v>
      </c>
      <c r="Z4" s="1" t="str">
        <v>North</v>
      </c>
      <c r="AA4" s="1" t="str">
        <v>Tablet</v>
      </c>
      <c r="AB4" s="1" t="str">
        <v>Electronics</v>
      </c>
      <c r="AC4" s="1">
        <v>4796.1499999999996</v>
      </c>
      <c r="AD4" s="1" t="str">
        <v>Mrs. Marissa Hall</v>
      </c>
      <c r="AE4" s="1">
        <v>24232</v>
      </c>
      <c r="AF4" s="1">
        <v>45100</v>
      </c>
      <c r="AG4" s="1">
        <v>37.94</v>
      </c>
      <c r="AH4" s="1">
        <v>1819.6593099999998</v>
      </c>
      <c r="AI4" s="1">
        <v>2976.4906899999996</v>
      </c>
    </row>
    <row r="5" spans="1:35" x14ac:dyDescent="0.35">
      <c r="A5" s="1">
        <v>1003</v>
      </c>
      <c r="B5" s="2">
        <v>45255</v>
      </c>
      <c r="C5" s="1" t="s">
        <v>21</v>
      </c>
      <c r="D5" s="1" t="s">
        <v>22</v>
      </c>
      <c r="E5" s="1" t="s">
        <v>19</v>
      </c>
      <c r="F5" s="1">
        <v>2768.66</v>
      </c>
      <c r="G5" s="1" t="s">
        <v>23</v>
      </c>
      <c r="H5" s="2">
        <v>38378</v>
      </c>
      <c r="I5" s="2">
        <v>45261</v>
      </c>
      <c r="J5" s="1">
        <v>2.4500000000000002</v>
      </c>
      <c r="K5" s="1">
        <f t="shared" si="0"/>
        <v>67.832170000000005</v>
      </c>
      <c r="L5" s="1">
        <f t="shared" si="1"/>
        <v>2700.8278299999997</v>
      </c>
      <c r="M5" s="7"/>
      <c r="N5" s="1" t="s">
        <v>15</v>
      </c>
      <c r="O5" s="1">
        <f t="shared" si="2"/>
        <v>21116.544680999999</v>
      </c>
      <c r="P5" s="1">
        <f t="shared" si="2"/>
        <v>20435.280376999999</v>
      </c>
      <c r="Q5" s="1">
        <f t="shared" si="2"/>
        <v>12599.487802000001</v>
      </c>
      <c r="R5" s="1">
        <f t="shared" si="2"/>
        <v>11797.819992000001</v>
      </c>
      <c r="S5" s="1">
        <f t="shared" si="2"/>
        <v>9868.5469329999996</v>
      </c>
      <c r="U5">
        <v>2700.8278299999997</v>
      </c>
      <c r="X5" s="1">
        <v>1003</v>
      </c>
      <c r="Y5" s="2">
        <v>45255</v>
      </c>
      <c r="Z5" s="1" t="str">
        <v>South</v>
      </c>
      <c r="AA5" s="1" t="str">
        <v>Headphones</v>
      </c>
      <c r="AB5" s="1" t="str">
        <v>Electronics</v>
      </c>
      <c r="AC5" s="1">
        <v>2768.66</v>
      </c>
      <c r="AD5" s="1" t="str">
        <v>Darryl Cooper</v>
      </c>
      <c r="AE5" s="1">
        <v>38378</v>
      </c>
      <c r="AF5" s="1">
        <v>45261</v>
      </c>
      <c r="AG5" s="1">
        <v>2.4500000000000002</v>
      </c>
      <c r="AH5" s="1">
        <v>67.832170000000005</v>
      </c>
      <c r="AI5" s="1">
        <v>2700.8278299999997</v>
      </c>
    </row>
    <row r="6" spans="1:35" x14ac:dyDescent="0.35">
      <c r="A6" s="1">
        <v>1004</v>
      </c>
      <c r="B6" s="2">
        <v>44906</v>
      </c>
      <c r="C6" s="1" t="s">
        <v>14</v>
      </c>
      <c r="D6" s="1" t="s">
        <v>24</v>
      </c>
      <c r="E6" s="1" t="s">
        <v>19</v>
      </c>
      <c r="F6" s="1">
        <v>3730.38</v>
      </c>
      <c r="G6" s="1" t="s">
        <v>25</v>
      </c>
      <c r="H6" s="2">
        <v>33386</v>
      </c>
      <c r="I6" s="2">
        <v>44915</v>
      </c>
      <c r="J6" s="1">
        <v>39.65</v>
      </c>
      <c r="K6" s="1">
        <f t="shared" si="0"/>
        <v>1479.0956699999999</v>
      </c>
      <c r="L6" s="1">
        <f t="shared" si="1"/>
        <v>2251.2843300000004</v>
      </c>
      <c r="N6" s="1" t="s">
        <v>18</v>
      </c>
      <c r="O6" s="1">
        <f t="shared" si="2"/>
        <v>8700.0212389999997</v>
      </c>
      <c r="P6" s="1">
        <f t="shared" si="2"/>
        <v>18426.055741</v>
      </c>
      <c r="Q6" s="1">
        <f t="shared" si="2"/>
        <v>12136.505643000002</v>
      </c>
      <c r="R6" s="1">
        <f t="shared" si="2"/>
        <v>12013.589629000002</v>
      </c>
      <c r="S6" s="1">
        <f t="shared" si="2"/>
        <v>15877.998234999997</v>
      </c>
      <c r="U6">
        <v>2251.2843300000004</v>
      </c>
      <c r="X6" s="1">
        <v>1004</v>
      </c>
      <c r="Y6" s="2">
        <v>44906</v>
      </c>
      <c r="Z6" s="1" t="str">
        <v>North</v>
      </c>
      <c r="AA6" s="1" t="str">
        <v>Camera</v>
      </c>
      <c r="AB6" s="1" t="str">
        <v>Electronics</v>
      </c>
      <c r="AC6" s="1">
        <v>3730.38</v>
      </c>
      <c r="AD6" s="1" t="str">
        <v>Melissa Douglas</v>
      </c>
      <c r="AE6" s="1">
        <v>33386</v>
      </c>
      <c r="AF6" s="1">
        <v>44915</v>
      </c>
      <c r="AG6" s="1">
        <v>39.65</v>
      </c>
      <c r="AH6" s="1">
        <v>1479.0956699999999</v>
      </c>
      <c r="AI6" s="1">
        <v>2251.2843300000004</v>
      </c>
    </row>
    <row r="7" spans="1:35" x14ac:dyDescent="0.35">
      <c r="A7" s="1">
        <v>1005</v>
      </c>
      <c r="B7" s="2">
        <v>45350</v>
      </c>
      <c r="C7" s="1" t="s">
        <v>26</v>
      </c>
      <c r="D7" s="1" t="s">
        <v>27</v>
      </c>
      <c r="E7" s="1" t="s">
        <v>28</v>
      </c>
      <c r="F7" s="1">
        <v>393.8</v>
      </c>
      <c r="G7" s="1" t="s">
        <v>29</v>
      </c>
      <c r="H7" s="2">
        <v>24033</v>
      </c>
      <c r="I7" s="2">
        <v>45364</v>
      </c>
      <c r="J7" s="1">
        <v>7.32</v>
      </c>
      <c r="K7" s="1">
        <f t="shared" si="0"/>
        <v>28.826160000000002</v>
      </c>
      <c r="L7" s="1">
        <f t="shared" si="1"/>
        <v>364.97384</v>
      </c>
      <c r="N7" s="1" t="s">
        <v>22</v>
      </c>
      <c r="O7" s="1">
        <f t="shared" si="2"/>
        <v>13574.051336</v>
      </c>
      <c r="P7" s="1">
        <f t="shared" si="2"/>
        <v>17898.582703</v>
      </c>
      <c r="Q7" s="1">
        <f t="shared" si="2"/>
        <v>31758.806628000006</v>
      </c>
      <c r="R7" s="1">
        <f t="shared" si="2"/>
        <v>10387.250131000001</v>
      </c>
      <c r="S7" s="1">
        <f t="shared" si="2"/>
        <v>12444.513693000001</v>
      </c>
      <c r="U7">
        <v>1268.17128</v>
      </c>
      <c r="X7" s="1">
        <v>1006</v>
      </c>
      <c r="Y7" s="2">
        <v>45582</v>
      </c>
      <c r="Z7" s="1" t="str">
        <v>West</v>
      </c>
      <c r="AA7" s="1" t="str">
        <v>Jeans</v>
      </c>
      <c r="AB7" s="1" t="str">
        <v>Clothing</v>
      </c>
      <c r="AC7" s="1">
        <v>1661.65</v>
      </c>
      <c r="AD7" s="1" t="str">
        <v>Wesley Olson</v>
      </c>
      <c r="AE7" s="1">
        <v>27166</v>
      </c>
      <c r="AF7" s="1">
        <v>45596</v>
      </c>
      <c r="AG7" s="1">
        <v>23.68</v>
      </c>
      <c r="AH7" s="1">
        <v>393.47872000000007</v>
      </c>
      <c r="AI7" s="1">
        <v>1268.17128</v>
      </c>
    </row>
    <row r="8" spans="1:35" x14ac:dyDescent="0.35">
      <c r="A8" s="1">
        <v>1006</v>
      </c>
      <c r="B8" s="2">
        <v>45582</v>
      </c>
      <c r="C8" s="1" t="s">
        <v>10</v>
      </c>
      <c r="D8" s="1" t="s">
        <v>30</v>
      </c>
      <c r="E8" s="1" t="s">
        <v>31</v>
      </c>
      <c r="F8" s="1">
        <v>1661.65</v>
      </c>
      <c r="G8" s="1" t="s">
        <v>32</v>
      </c>
      <c r="H8" s="2">
        <v>27166</v>
      </c>
      <c r="I8" s="2">
        <v>45596</v>
      </c>
      <c r="J8" s="1">
        <v>23.68</v>
      </c>
      <c r="K8" s="1">
        <f t="shared" si="0"/>
        <v>393.47872000000007</v>
      </c>
      <c r="L8" s="1">
        <f t="shared" si="1"/>
        <v>1268.17128</v>
      </c>
      <c r="N8" s="1" t="s">
        <v>24</v>
      </c>
      <c r="O8" s="1">
        <f t="shared" si="2"/>
        <v>17944.727806000003</v>
      </c>
      <c r="P8" s="1">
        <f t="shared" si="2"/>
        <v>11929.703928000001</v>
      </c>
      <c r="Q8" s="1">
        <f t="shared" si="2"/>
        <v>23516.723790999997</v>
      </c>
      <c r="R8" s="1">
        <f t="shared" si="2"/>
        <v>13527.419404</v>
      </c>
      <c r="S8" s="1">
        <f t="shared" si="2"/>
        <v>16589.259041999998</v>
      </c>
      <c r="U8">
        <v>1176.132188</v>
      </c>
      <c r="X8" s="1">
        <v>1007</v>
      </c>
      <c r="Y8" s="2">
        <v>45601</v>
      </c>
      <c r="Z8" s="1" t="str">
        <v>South</v>
      </c>
      <c r="AA8" s="1" t="str">
        <v>Oil</v>
      </c>
      <c r="AB8" s="1" t="str">
        <v>Groceries</v>
      </c>
      <c r="AC8" s="1">
        <v>1343.23</v>
      </c>
      <c r="AD8" s="1" t="str">
        <v>Lawrence Frazier</v>
      </c>
      <c r="AE8" s="1">
        <v>25232</v>
      </c>
      <c r="AF8" s="1">
        <v>45606</v>
      </c>
      <c r="AG8" s="1">
        <v>12.44</v>
      </c>
      <c r="AH8" s="1">
        <v>167.097812</v>
      </c>
      <c r="AI8" s="1">
        <v>1176.132188</v>
      </c>
    </row>
    <row r="9" spans="1:35" x14ac:dyDescent="0.35">
      <c r="A9" s="1">
        <v>1007</v>
      </c>
      <c r="B9" s="2">
        <v>45601</v>
      </c>
      <c r="C9" s="1" t="s">
        <v>21</v>
      </c>
      <c r="D9" s="1" t="s">
        <v>33</v>
      </c>
      <c r="E9" s="1" t="s">
        <v>16</v>
      </c>
      <c r="F9" s="1">
        <v>1343.23</v>
      </c>
      <c r="G9" s="1" t="s">
        <v>34</v>
      </c>
      <c r="H9" s="2">
        <v>25232</v>
      </c>
      <c r="I9" s="2">
        <v>45606</v>
      </c>
      <c r="J9" s="1">
        <v>12.44</v>
      </c>
      <c r="K9" s="1">
        <f t="shared" si="0"/>
        <v>167.097812</v>
      </c>
      <c r="L9" s="1">
        <f t="shared" si="1"/>
        <v>1176.132188</v>
      </c>
      <c r="N9" s="1" t="s">
        <v>27</v>
      </c>
      <c r="O9" s="1">
        <f t="shared" si="2"/>
        <v>17194.107555000002</v>
      </c>
      <c r="P9" s="1">
        <f t="shared" si="2"/>
        <v>4155.4466609999999</v>
      </c>
      <c r="Q9" s="1">
        <f t="shared" si="2"/>
        <v>13387.898766999999</v>
      </c>
      <c r="R9" s="1">
        <f t="shared" si="2"/>
        <v>24380.956568999998</v>
      </c>
      <c r="S9" s="1">
        <f t="shared" si="2"/>
        <v>11248.260897</v>
      </c>
      <c r="U9">
        <v>3547.6989360000002</v>
      </c>
      <c r="X9" s="1">
        <v>1008</v>
      </c>
      <c r="Y9" s="2">
        <v>45269</v>
      </c>
      <c r="Z9" s="1" t="str">
        <v>Central</v>
      </c>
      <c r="AA9" s="1" t="str">
        <v>Wardrobe</v>
      </c>
      <c r="AB9" s="1" t="str">
        <v>Furniture</v>
      </c>
      <c r="AC9" s="1">
        <v>3813.09</v>
      </c>
      <c r="AD9" s="1" t="str">
        <v>Derek Boyle</v>
      </c>
      <c r="AE9" s="1">
        <v>27534</v>
      </c>
      <c r="AF9" s="1">
        <v>45279</v>
      </c>
      <c r="AG9" s="1">
        <v>6.96</v>
      </c>
      <c r="AH9" s="1">
        <v>265.39106399999997</v>
      </c>
      <c r="AI9" s="1">
        <v>3547.6989360000002</v>
      </c>
    </row>
    <row r="10" spans="1:35" x14ac:dyDescent="0.35">
      <c r="A10" s="1">
        <v>1008</v>
      </c>
      <c r="B10" s="2">
        <v>45269</v>
      </c>
      <c r="C10" s="1" t="s">
        <v>35</v>
      </c>
      <c r="D10" s="1" t="s">
        <v>36</v>
      </c>
      <c r="E10" s="1" t="s">
        <v>28</v>
      </c>
      <c r="F10" s="1">
        <v>3813.09</v>
      </c>
      <c r="G10" s="1" t="s">
        <v>37</v>
      </c>
      <c r="H10" s="2">
        <v>27534</v>
      </c>
      <c r="I10" s="2">
        <v>45279</v>
      </c>
      <c r="J10" s="1">
        <v>6.96</v>
      </c>
      <c r="K10" s="1">
        <f t="shared" si="0"/>
        <v>265.39106399999997</v>
      </c>
      <c r="L10" s="1">
        <f t="shared" si="1"/>
        <v>3547.6989360000002</v>
      </c>
      <c r="N10" s="1" t="s">
        <v>30</v>
      </c>
      <c r="O10" s="1">
        <f t="shared" si="2"/>
        <v>13967.498909000002</v>
      </c>
      <c r="P10" s="1">
        <f t="shared" si="2"/>
        <v>17236.673562999997</v>
      </c>
      <c r="Q10" s="1">
        <f t="shared" si="2"/>
        <v>16091.424983999999</v>
      </c>
      <c r="R10" s="1">
        <f t="shared" si="2"/>
        <v>11567.439582999999</v>
      </c>
      <c r="S10" s="1">
        <f t="shared" si="2"/>
        <v>12421.640986999999</v>
      </c>
      <c r="U10">
        <v>3241.6585999999998</v>
      </c>
      <c r="X10" s="1">
        <v>1009</v>
      </c>
      <c r="Y10" s="2">
        <v>44110</v>
      </c>
      <c r="Z10" s="1" t="str">
        <v>Central</v>
      </c>
      <c r="AA10" s="1" t="str">
        <v>Sofa</v>
      </c>
      <c r="AB10" s="1" t="str">
        <v>Furniture</v>
      </c>
      <c r="AC10" s="1">
        <v>4445.5</v>
      </c>
      <c r="AD10" s="1" t="str">
        <v>Danielle Holloway</v>
      </c>
      <c r="AE10" s="1">
        <v>26282</v>
      </c>
      <c r="AF10" s="1">
        <v>44123</v>
      </c>
      <c r="AG10" s="1">
        <v>27.08</v>
      </c>
      <c r="AH10" s="1">
        <v>1203.8414</v>
      </c>
      <c r="AI10" s="1">
        <v>3241.6585999999998</v>
      </c>
    </row>
    <row r="11" spans="1:35" x14ac:dyDescent="0.35">
      <c r="A11" s="1">
        <v>1009</v>
      </c>
      <c r="B11" s="2">
        <v>44110</v>
      </c>
      <c r="C11" s="1" t="s">
        <v>35</v>
      </c>
      <c r="D11" s="1" t="s">
        <v>38</v>
      </c>
      <c r="E11" s="1" t="s">
        <v>28</v>
      </c>
      <c r="F11" s="1">
        <v>4445.5</v>
      </c>
      <c r="G11" s="1" t="s">
        <v>39</v>
      </c>
      <c r="H11" s="2">
        <v>26282</v>
      </c>
      <c r="I11" s="2">
        <v>44123</v>
      </c>
      <c r="J11" s="1">
        <v>27.08</v>
      </c>
      <c r="K11" s="1">
        <f t="shared" si="0"/>
        <v>1203.8414</v>
      </c>
      <c r="L11" s="1">
        <f t="shared" si="1"/>
        <v>3241.6585999999998</v>
      </c>
      <c r="N11" s="1" t="s">
        <v>33</v>
      </c>
      <c r="O11" s="1">
        <f t="shared" si="2"/>
        <v>10624.184970999999</v>
      </c>
      <c r="P11" s="1">
        <f t="shared" si="2"/>
        <v>24902.74685</v>
      </c>
      <c r="Q11" s="1">
        <f t="shared" si="2"/>
        <v>19544.846390000002</v>
      </c>
      <c r="R11" s="1">
        <f t="shared" si="2"/>
        <v>20431.595993000003</v>
      </c>
      <c r="S11" s="1">
        <f t="shared" si="2"/>
        <v>12366.755685</v>
      </c>
      <c r="U11">
        <v>2383.6192969999997</v>
      </c>
      <c r="X11" s="1">
        <v>1011</v>
      </c>
      <c r="Y11" s="2">
        <v>44588</v>
      </c>
      <c r="Z11" s="1" t="str">
        <v>West</v>
      </c>
      <c r="AA11" s="1" t="str">
        <v>Rice</v>
      </c>
      <c r="AB11" s="1" t="str">
        <v>Groceries</v>
      </c>
      <c r="AC11" s="1">
        <v>3282.77</v>
      </c>
      <c r="AD11" s="1" t="str">
        <v>Jerry Smith</v>
      </c>
      <c r="AE11" s="1">
        <v>26027</v>
      </c>
      <c r="AF11" s="1">
        <v>44597</v>
      </c>
      <c r="AG11" s="1">
        <v>27.39</v>
      </c>
      <c r="AH11" s="1">
        <v>899.15070300000014</v>
      </c>
      <c r="AI11" s="1">
        <v>2383.6192969999997</v>
      </c>
    </row>
    <row r="12" spans="1:35" x14ac:dyDescent="0.35">
      <c r="A12" s="1">
        <v>1010</v>
      </c>
      <c r="B12" s="2">
        <v>45125</v>
      </c>
      <c r="C12" s="1" t="s">
        <v>14</v>
      </c>
      <c r="D12" s="1" t="s">
        <v>40</v>
      </c>
      <c r="E12" s="1" t="s">
        <v>16</v>
      </c>
      <c r="F12" s="1">
        <v>179.63</v>
      </c>
      <c r="G12" s="1" t="s">
        <v>41</v>
      </c>
      <c r="H12" s="2">
        <v>35818</v>
      </c>
      <c r="I12" s="2">
        <v>45128</v>
      </c>
      <c r="J12" s="1">
        <v>19.760000000000002</v>
      </c>
      <c r="K12" s="1">
        <f t="shared" si="0"/>
        <v>35.494888000000003</v>
      </c>
      <c r="L12" s="1">
        <f t="shared" si="1"/>
        <v>144.13511199999999</v>
      </c>
      <c r="N12" s="1" t="s">
        <v>36</v>
      </c>
      <c r="O12" s="1">
        <f t="shared" si="2"/>
        <v>14623.975061000001</v>
      </c>
      <c r="P12" s="1">
        <f t="shared" si="2"/>
        <v>19711.502863999998</v>
      </c>
      <c r="Q12" s="1">
        <f t="shared" si="2"/>
        <v>9965.6133650000011</v>
      </c>
      <c r="R12" s="1">
        <f t="shared" si="2"/>
        <v>5762.2296850000002</v>
      </c>
      <c r="S12" s="1">
        <f t="shared" si="2"/>
        <v>22972.102836000005</v>
      </c>
      <c r="U12">
        <v>3212.4611519999999</v>
      </c>
      <c r="X12" s="1">
        <v>1014</v>
      </c>
      <c r="Y12" s="2">
        <v>45352</v>
      </c>
      <c r="Z12" s="1" t="str">
        <v>East</v>
      </c>
      <c r="AA12" s="1" t="str">
        <v>Rice</v>
      </c>
      <c r="AB12" s="1" t="str">
        <v>Groceries</v>
      </c>
      <c r="AC12" s="1">
        <v>4448.16</v>
      </c>
      <c r="AD12" s="1" t="str">
        <v>Brittany Allen</v>
      </c>
      <c r="AE12" s="1">
        <v>24670</v>
      </c>
      <c r="AF12" s="1">
        <v>45366</v>
      </c>
      <c r="AG12" s="1">
        <v>27.78</v>
      </c>
      <c r="AH12" s="1">
        <v>1235.698848</v>
      </c>
      <c r="AI12" s="1">
        <v>3212.4611519999999</v>
      </c>
    </row>
    <row r="13" spans="1:35" x14ac:dyDescent="0.35">
      <c r="A13" s="1">
        <v>1011</v>
      </c>
      <c r="B13" s="2">
        <v>44588</v>
      </c>
      <c r="C13" s="1" t="s">
        <v>10</v>
      </c>
      <c r="D13" s="1" t="s">
        <v>40</v>
      </c>
      <c r="E13" s="1" t="s">
        <v>16</v>
      </c>
      <c r="F13" s="1">
        <v>3282.77</v>
      </c>
      <c r="G13" s="1" t="s">
        <v>42</v>
      </c>
      <c r="H13" s="2">
        <v>26027</v>
      </c>
      <c r="I13" s="2">
        <v>44597</v>
      </c>
      <c r="J13" s="1">
        <v>27.39</v>
      </c>
      <c r="K13" s="1">
        <f t="shared" si="0"/>
        <v>899.15070300000014</v>
      </c>
      <c r="L13" s="1">
        <f t="shared" si="1"/>
        <v>2383.6192969999997</v>
      </c>
      <c r="N13" s="1" t="s">
        <v>38</v>
      </c>
      <c r="O13" s="1">
        <f t="shared" si="2"/>
        <v>18774.302478000001</v>
      </c>
      <c r="P13" s="1">
        <f t="shared" si="2"/>
        <v>11135.182799999999</v>
      </c>
      <c r="Q13" s="1">
        <f t="shared" si="2"/>
        <v>15492.599142999999</v>
      </c>
      <c r="R13" s="1">
        <f t="shared" si="2"/>
        <v>15264.040042000001</v>
      </c>
      <c r="S13" s="1">
        <f t="shared" si="2"/>
        <v>23042.403295</v>
      </c>
      <c r="U13">
        <v>1698.0321600000002</v>
      </c>
      <c r="X13" s="1">
        <v>1015</v>
      </c>
      <c r="Y13" s="2">
        <v>45567</v>
      </c>
      <c r="Z13" s="1" t="str">
        <v>West</v>
      </c>
      <c r="AA13" s="1" t="str">
        <v>Tennis Racket</v>
      </c>
      <c r="AB13" s="1" t="str">
        <v>Sports</v>
      </c>
      <c r="AC13" s="1">
        <v>1994.4</v>
      </c>
      <c r="AD13" s="1" t="str">
        <v>Timothy Mueller</v>
      </c>
      <c r="AE13" s="1">
        <v>22315</v>
      </c>
      <c r="AF13" s="1">
        <v>45572</v>
      </c>
      <c r="AG13" s="1">
        <v>14.86</v>
      </c>
      <c r="AH13" s="1">
        <v>296.36784</v>
      </c>
      <c r="AI13" s="1">
        <v>1698.0321600000002</v>
      </c>
    </row>
    <row r="14" spans="1:35" x14ac:dyDescent="0.35">
      <c r="A14" s="1">
        <v>1012</v>
      </c>
      <c r="B14" s="2">
        <v>45413</v>
      </c>
      <c r="C14" s="1" t="s">
        <v>26</v>
      </c>
      <c r="D14" s="1" t="s">
        <v>11</v>
      </c>
      <c r="E14" s="1" t="s">
        <v>12</v>
      </c>
      <c r="F14" s="1">
        <v>1004.87</v>
      </c>
      <c r="G14" s="1" t="s">
        <v>43</v>
      </c>
      <c r="H14" s="2">
        <v>30054</v>
      </c>
      <c r="I14" s="2">
        <v>45421</v>
      </c>
      <c r="J14" s="1">
        <v>21.81</v>
      </c>
      <c r="K14" s="1">
        <f t="shared" si="0"/>
        <v>219.16214699999998</v>
      </c>
      <c r="L14" s="1">
        <f t="shared" si="1"/>
        <v>785.707853</v>
      </c>
      <c r="N14" s="1" t="s">
        <v>40</v>
      </c>
      <c r="O14" s="1">
        <f t="shared" ref="O14:S27" si="3">SUMIFS($L$2:$L$1001,$D$2:$D$1001,$N14,$C$2:$C$1001,O$3)</f>
        <v>19456.017368000001</v>
      </c>
      <c r="P14" s="1">
        <f t="shared" si="3"/>
        <v>6957.1131800000003</v>
      </c>
      <c r="Q14" s="1">
        <f t="shared" si="3"/>
        <v>24187.411568000003</v>
      </c>
      <c r="R14" s="1">
        <f t="shared" si="3"/>
        <v>14609.811164000001</v>
      </c>
      <c r="S14" s="1">
        <f t="shared" si="3"/>
        <v>5018.8434180000004</v>
      </c>
      <c r="U14">
        <v>1493.4993480000001</v>
      </c>
      <c r="X14" s="1">
        <v>1016</v>
      </c>
      <c r="Y14" s="2">
        <v>44980</v>
      </c>
      <c r="Z14" s="1" t="str">
        <v>West</v>
      </c>
      <c r="AA14" s="1" t="str">
        <v>Football</v>
      </c>
      <c r="AB14" s="1" t="str">
        <v>Sports</v>
      </c>
      <c r="AC14" s="1">
        <v>2282.94</v>
      </c>
      <c r="AD14" s="1" t="str">
        <v>David Noble</v>
      </c>
      <c r="AE14" s="1">
        <v>22594</v>
      </c>
      <c r="AF14" s="1">
        <v>44982</v>
      </c>
      <c r="AG14" s="1">
        <v>34.58</v>
      </c>
      <c r="AH14" s="1">
        <v>789.440652</v>
      </c>
      <c r="AI14" s="1">
        <v>1493.4993480000001</v>
      </c>
    </row>
    <row r="15" spans="1:35" x14ac:dyDescent="0.35">
      <c r="A15" s="1">
        <v>1013</v>
      </c>
      <c r="B15" s="2">
        <v>45452</v>
      </c>
      <c r="C15" s="1" t="s">
        <v>21</v>
      </c>
      <c r="D15" s="1" t="s">
        <v>44</v>
      </c>
      <c r="E15" s="1" t="s">
        <v>16</v>
      </c>
      <c r="F15" s="1">
        <v>1447.5</v>
      </c>
      <c r="G15" s="1" t="s">
        <v>45</v>
      </c>
      <c r="H15" s="2">
        <v>34367</v>
      </c>
      <c r="I15" s="2">
        <v>45465</v>
      </c>
      <c r="J15" s="1">
        <v>41.59</v>
      </c>
      <c r="K15" s="1">
        <f t="shared" si="0"/>
        <v>602.01525000000004</v>
      </c>
      <c r="L15" s="1">
        <f t="shared" si="1"/>
        <v>845.48474999999996</v>
      </c>
      <c r="N15" s="1" t="s">
        <v>44</v>
      </c>
      <c r="O15" s="1">
        <f t="shared" si="3"/>
        <v>20315.323038999999</v>
      </c>
      <c r="P15" s="1">
        <f t="shared" si="3"/>
        <v>19053.344494999998</v>
      </c>
      <c r="Q15" s="1">
        <f t="shared" si="3"/>
        <v>9179.4633799999992</v>
      </c>
      <c r="R15" s="1">
        <f t="shared" si="3"/>
        <v>20255.753116999997</v>
      </c>
      <c r="S15" s="1">
        <f t="shared" si="3"/>
        <v>14331.297607</v>
      </c>
      <c r="U15">
        <v>1752.9302319999999</v>
      </c>
      <c r="X15" s="1">
        <v>1018</v>
      </c>
      <c r="Y15" s="2">
        <v>44949</v>
      </c>
      <c r="Z15" s="1" t="str">
        <v>East</v>
      </c>
      <c r="AA15" s="1" t="str">
        <v>Rice</v>
      </c>
      <c r="AB15" s="1" t="str">
        <v>Groceries</v>
      </c>
      <c r="AC15" s="1">
        <v>3380.12</v>
      </c>
      <c r="AD15" s="1" t="str">
        <v>Gregory Cohen</v>
      </c>
      <c r="AE15" s="1">
        <v>30154</v>
      </c>
      <c r="AF15" s="1">
        <v>44959</v>
      </c>
      <c r="AG15" s="1">
        <v>48.14</v>
      </c>
      <c r="AH15" s="1">
        <v>1627.189768</v>
      </c>
      <c r="AI15" s="1">
        <v>1752.9302319999999</v>
      </c>
    </row>
    <row r="16" spans="1:35" x14ac:dyDescent="0.35">
      <c r="A16" s="1">
        <v>1014</v>
      </c>
      <c r="B16" s="2">
        <v>45352</v>
      </c>
      <c r="C16" s="1" t="s">
        <v>26</v>
      </c>
      <c r="D16" s="1" t="s">
        <v>40</v>
      </c>
      <c r="E16" s="1" t="s">
        <v>16</v>
      </c>
      <c r="F16" s="1">
        <v>4448.16</v>
      </c>
      <c r="G16" s="1" t="s">
        <v>46</v>
      </c>
      <c r="H16" s="2">
        <v>24670</v>
      </c>
      <c r="I16" s="2">
        <v>45366</v>
      </c>
      <c r="J16" s="1">
        <v>27.78</v>
      </c>
      <c r="K16" s="1">
        <f t="shared" si="0"/>
        <v>1235.698848</v>
      </c>
      <c r="L16" s="1">
        <f t="shared" si="1"/>
        <v>3212.4611519999999</v>
      </c>
      <c r="N16" s="1" t="s">
        <v>47</v>
      </c>
      <c r="O16" s="1">
        <f t="shared" si="3"/>
        <v>17807.785813999999</v>
      </c>
      <c r="P16" s="1">
        <f t="shared" si="3"/>
        <v>21463.640185999997</v>
      </c>
      <c r="Q16" s="1">
        <f t="shared" si="3"/>
        <v>2294.54612</v>
      </c>
      <c r="R16" s="1">
        <f t="shared" si="3"/>
        <v>15567.676257000001</v>
      </c>
      <c r="S16" s="1">
        <f t="shared" si="3"/>
        <v>11510.963246000001</v>
      </c>
      <c r="U16">
        <v>1362.3840899999998</v>
      </c>
      <c r="X16" s="1">
        <v>1019</v>
      </c>
      <c r="Y16" s="2">
        <v>44364</v>
      </c>
      <c r="Z16" s="1" t="str">
        <v>East</v>
      </c>
      <c r="AA16" s="1" t="str">
        <v>Chair</v>
      </c>
      <c r="AB16" s="1" t="str">
        <v>Furniture</v>
      </c>
      <c r="AC16" s="1">
        <v>2449.4499999999998</v>
      </c>
      <c r="AD16" s="1" t="str">
        <v>Nathaniel Gonzalez</v>
      </c>
      <c r="AE16" s="1">
        <v>31082</v>
      </c>
      <c r="AF16" s="1">
        <v>44369</v>
      </c>
      <c r="AG16" s="1">
        <v>44.38</v>
      </c>
      <c r="AH16" s="1">
        <v>1087.06591</v>
      </c>
      <c r="AI16" s="1">
        <v>1362.3840899999998</v>
      </c>
    </row>
    <row r="17" spans="1:35" x14ac:dyDescent="0.35">
      <c r="A17" s="1">
        <v>1015</v>
      </c>
      <c r="B17" s="2">
        <v>45567</v>
      </c>
      <c r="C17" s="1" t="s">
        <v>10</v>
      </c>
      <c r="D17" s="1" t="s">
        <v>47</v>
      </c>
      <c r="E17" s="1" t="s">
        <v>12</v>
      </c>
      <c r="F17" s="1">
        <v>1994.4</v>
      </c>
      <c r="G17" s="1" t="s">
        <v>48</v>
      </c>
      <c r="H17" s="2">
        <v>22315</v>
      </c>
      <c r="I17" s="2">
        <v>45572</v>
      </c>
      <c r="J17" s="1">
        <v>14.86</v>
      </c>
      <c r="K17" s="1">
        <f t="shared" si="0"/>
        <v>296.36784</v>
      </c>
      <c r="L17" s="1">
        <f t="shared" si="1"/>
        <v>1698.0321600000002</v>
      </c>
      <c r="N17" s="1" t="s">
        <v>49</v>
      </c>
      <c r="O17" s="1">
        <f t="shared" si="3"/>
        <v>11894.975898999999</v>
      </c>
      <c r="P17" s="1">
        <f t="shared" si="3"/>
        <v>19096.945331999999</v>
      </c>
      <c r="Q17" s="1">
        <f t="shared" si="3"/>
        <v>18301.355189000002</v>
      </c>
      <c r="R17" s="1">
        <f t="shared" si="3"/>
        <v>27415.185325999999</v>
      </c>
      <c r="S17" s="1">
        <f t="shared" si="3"/>
        <v>10862.339264000002</v>
      </c>
      <c r="U17">
        <v>2156.759145</v>
      </c>
      <c r="X17" s="1">
        <v>1021</v>
      </c>
      <c r="Y17" s="2">
        <v>44260</v>
      </c>
      <c r="Z17" s="1" t="str">
        <v>West</v>
      </c>
      <c r="AA17" s="1" t="str">
        <v>Rice</v>
      </c>
      <c r="AB17" s="1" t="str">
        <v>Groceries</v>
      </c>
      <c r="AC17" s="1">
        <v>3787.11</v>
      </c>
      <c r="AD17" s="1" t="str">
        <v>Daniel Owens MD</v>
      </c>
      <c r="AE17" s="1">
        <v>38353</v>
      </c>
      <c r="AF17" s="1">
        <v>44274</v>
      </c>
      <c r="AG17" s="1">
        <v>43.05</v>
      </c>
      <c r="AH17" s="1">
        <v>1630.3508550000001</v>
      </c>
      <c r="AI17" s="1">
        <v>2156.759145</v>
      </c>
    </row>
    <row r="18" spans="1:35" x14ac:dyDescent="0.35">
      <c r="A18" s="1">
        <v>1016</v>
      </c>
      <c r="B18" s="2">
        <v>44980</v>
      </c>
      <c r="C18" s="1" t="s">
        <v>10</v>
      </c>
      <c r="D18" s="1" t="s">
        <v>49</v>
      </c>
      <c r="E18" s="1" t="s">
        <v>12</v>
      </c>
      <c r="F18" s="1">
        <v>2282.94</v>
      </c>
      <c r="G18" s="1" t="s">
        <v>50</v>
      </c>
      <c r="H18" s="2">
        <v>22594</v>
      </c>
      <c r="I18" s="2">
        <v>44982</v>
      </c>
      <c r="J18" s="1">
        <v>34.58</v>
      </c>
      <c r="K18" s="1">
        <f t="shared" si="0"/>
        <v>789.440652</v>
      </c>
      <c r="L18" s="1">
        <f t="shared" si="1"/>
        <v>1493.4993480000001</v>
      </c>
      <c r="N18" s="1" t="s">
        <v>53</v>
      </c>
      <c r="O18" s="1">
        <f t="shared" si="3"/>
        <v>20376.32056</v>
      </c>
      <c r="P18" s="1">
        <f t="shared" si="3"/>
        <v>18514.835601000002</v>
      </c>
      <c r="Q18" s="1">
        <f t="shared" si="3"/>
        <v>18885.019901999996</v>
      </c>
      <c r="R18" s="1">
        <f t="shared" si="3"/>
        <v>15188.697836000001</v>
      </c>
      <c r="S18" s="1">
        <f t="shared" si="3"/>
        <v>27284.160637999994</v>
      </c>
      <c r="U18">
        <v>2629.0797149999999</v>
      </c>
      <c r="X18" s="1">
        <v>1022</v>
      </c>
      <c r="Y18" s="2">
        <v>44985</v>
      </c>
      <c r="Z18" s="1" t="str">
        <v>South</v>
      </c>
      <c r="AA18" s="1" t="str">
        <v>Cap</v>
      </c>
      <c r="AB18" s="1" t="str">
        <v>Clothing</v>
      </c>
      <c r="AC18" s="1">
        <v>4407.51</v>
      </c>
      <c r="AD18" s="1" t="str">
        <v>Zachary Franklin</v>
      </c>
      <c r="AE18" s="1">
        <v>25166</v>
      </c>
      <c r="AF18" s="1">
        <v>44991</v>
      </c>
      <c r="AG18" s="1">
        <v>40.35</v>
      </c>
      <c r="AH18" s="1">
        <v>1778.4302850000001</v>
      </c>
      <c r="AI18" s="1">
        <v>2629.0797149999999</v>
      </c>
    </row>
    <row r="19" spans="1:35" x14ac:dyDescent="0.35">
      <c r="A19" s="1">
        <v>1017</v>
      </c>
      <c r="B19" s="2">
        <v>45057</v>
      </c>
      <c r="C19" s="1" t="s">
        <v>10</v>
      </c>
      <c r="D19" s="1" t="s">
        <v>27</v>
      </c>
      <c r="E19" s="1" t="s">
        <v>28</v>
      </c>
      <c r="F19" s="1">
        <v>300.31</v>
      </c>
      <c r="G19" s="1" t="s">
        <v>51</v>
      </c>
      <c r="H19" s="2">
        <v>30183</v>
      </c>
      <c r="I19" s="2">
        <v>45069</v>
      </c>
      <c r="J19" s="1">
        <v>23.72</v>
      </c>
      <c r="K19" s="1">
        <f t="shared" si="0"/>
        <v>71.233531999999997</v>
      </c>
      <c r="L19" s="1">
        <f t="shared" si="1"/>
        <v>229.07646800000001</v>
      </c>
      <c r="N19" s="1" t="s">
        <v>55</v>
      </c>
      <c r="O19" s="1">
        <f t="shared" si="3"/>
        <v>6384.2846939999999</v>
      </c>
      <c r="P19" s="1">
        <f t="shared" si="3"/>
        <v>24952.950777000002</v>
      </c>
      <c r="Q19" s="1">
        <f t="shared" si="3"/>
        <v>14511.610420999999</v>
      </c>
      <c r="R19" s="1">
        <f t="shared" si="3"/>
        <v>16561.904835999998</v>
      </c>
      <c r="S19" s="1">
        <f t="shared" si="3"/>
        <v>17760.707903999999</v>
      </c>
      <c r="U19">
        <v>1909.2274239999999</v>
      </c>
      <c r="X19" s="1">
        <v>1023</v>
      </c>
      <c r="Y19" s="2">
        <v>44173</v>
      </c>
      <c r="Z19" s="1" t="str">
        <v>East</v>
      </c>
      <c r="AA19" s="1" t="str">
        <v>Jeans</v>
      </c>
      <c r="AB19" s="1" t="str">
        <v>Clothing</v>
      </c>
      <c r="AC19" s="1">
        <v>2818.88</v>
      </c>
      <c r="AD19" s="1" t="str">
        <v>Donald Mckenzie</v>
      </c>
      <c r="AE19" s="1">
        <v>33482</v>
      </c>
      <c r="AF19" s="1">
        <v>44181</v>
      </c>
      <c r="AG19" s="1">
        <v>32.270000000000003</v>
      </c>
      <c r="AH19" s="1">
        <v>909.65257600000018</v>
      </c>
      <c r="AI19" s="1">
        <v>1909.2274239999999</v>
      </c>
    </row>
    <row r="20" spans="1:35" x14ac:dyDescent="0.35">
      <c r="A20" s="1">
        <v>1018</v>
      </c>
      <c r="B20" s="2">
        <v>44949</v>
      </c>
      <c r="C20" s="1" t="s">
        <v>26</v>
      </c>
      <c r="D20" s="1" t="s">
        <v>40</v>
      </c>
      <c r="E20" s="1" t="s">
        <v>16</v>
      </c>
      <c r="F20" s="1">
        <v>3380.12</v>
      </c>
      <c r="G20" s="1" t="s">
        <v>52</v>
      </c>
      <c r="H20" s="2">
        <v>30154</v>
      </c>
      <c r="I20" s="2">
        <v>44959</v>
      </c>
      <c r="J20" s="1">
        <v>48.14</v>
      </c>
      <c r="K20" s="1">
        <f t="shared" si="0"/>
        <v>1627.189768</v>
      </c>
      <c r="L20" s="1">
        <f t="shared" si="1"/>
        <v>1752.9302319999999</v>
      </c>
      <c r="N20" s="1" t="s">
        <v>58</v>
      </c>
      <c r="O20" s="1">
        <f t="shared" si="3"/>
        <v>16277.490684000002</v>
      </c>
      <c r="P20" s="1">
        <f t="shared" si="3"/>
        <v>8527.6539760000014</v>
      </c>
      <c r="Q20" s="1">
        <f t="shared" si="3"/>
        <v>21320.674734</v>
      </c>
      <c r="R20" s="1">
        <f t="shared" si="3"/>
        <v>10825.978095999999</v>
      </c>
      <c r="S20" s="1">
        <f t="shared" si="3"/>
        <v>27641.722716000004</v>
      </c>
      <c r="U20">
        <v>1341.72406</v>
      </c>
      <c r="X20" s="1">
        <v>1026</v>
      </c>
      <c r="Y20" s="2">
        <v>44998</v>
      </c>
      <c r="Z20" s="1" t="str">
        <v>West</v>
      </c>
      <c r="AA20" s="1" t="str">
        <v>Wheat</v>
      </c>
      <c r="AB20" s="1" t="str">
        <v>Groceries</v>
      </c>
      <c r="AC20" s="1">
        <v>2239.94</v>
      </c>
      <c r="AD20" s="1" t="str">
        <v>Mrs. Vanessa Henson</v>
      </c>
      <c r="AE20" s="1">
        <v>32375</v>
      </c>
      <c r="AF20" s="1">
        <v>45003</v>
      </c>
      <c r="AG20" s="1">
        <v>40.1</v>
      </c>
      <c r="AH20" s="1">
        <v>898.21594000000005</v>
      </c>
      <c r="AI20" s="1">
        <v>1341.72406</v>
      </c>
    </row>
    <row r="21" spans="1:35" x14ac:dyDescent="0.35">
      <c r="A21" s="1">
        <v>1019</v>
      </c>
      <c r="B21" s="2">
        <v>44364</v>
      </c>
      <c r="C21" s="1" t="s">
        <v>26</v>
      </c>
      <c r="D21" s="1" t="s">
        <v>53</v>
      </c>
      <c r="E21" s="1" t="s">
        <v>28</v>
      </c>
      <c r="F21" s="1">
        <v>2449.4499999999998</v>
      </c>
      <c r="G21" s="1" t="s">
        <v>54</v>
      </c>
      <c r="H21" s="2">
        <v>31082</v>
      </c>
      <c r="I21" s="2">
        <v>44369</v>
      </c>
      <c r="J21" s="1">
        <v>44.38</v>
      </c>
      <c r="K21" s="1">
        <f t="shared" si="0"/>
        <v>1087.06591</v>
      </c>
      <c r="L21" s="1">
        <f t="shared" si="1"/>
        <v>1362.3840899999998</v>
      </c>
      <c r="N21" s="1" t="s">
        <v>61</v>
      </c>
      <c r="O21" s="1">
        <f t="shared" si="3"/>
        <v>4938.1956459999992</v>
      </c>
      <c r="P21" s="1">
        <f t="shared" si="3"/>
        <v>18171.778410999999</v>
      </c>
      <c r="Q21" s="1">
        <f t="shared" si="3"/>
        <v>12771.498486</v>
      </c>
      <c r="R21" s="1">
        <f t="shared" si="3"/>
        <v>22155.555258999997</v>
      </c>
      <c r="S21" s="1">
        <f t="shared" si="3"/>
        <v>22554.783214000003</v>
      </c>
      <c r="U21">
        <v>1663.1949500000001</v>
      </c>
      <c r="X21" s="1">
        <v>1027</v>
      </c>
      <c r="Y21" s="2">
        <v>45397</v>
      </c>
      <c r="Z21" s="1" t="str">
        <v>North</v>
      </c>
      <c r="AA21" s="1" t="str">
        <v>Smartphone</v>
      </c>
      <c r="AB21" s="1" t="str">
        <v>Electronics</v>
      </c>
      <c r="AC21" s="1">
        <v>1759.25</v>
      </c>
      <c r="AD21" s="1" t="str">
        <v>Nancy French</v>
      </c>
      <c r="AE21" s="1">
        <v>33192</v>
      </c>
      <c r="AF21" s="1">
        <v>45401</v>
      </c>
      <c r="AG21" s="1">
        <v>5.46</v>
      </c>
      <c r="AH21" s="1">
        <v>96.055050000000008</v>
      </c>
      <c r="AI21" s="1">
        <v>1663.1949500000001</v>
      </c>
    </row>
    <row r="22" spans="1:35" x14ac:dyDescent="0.35">
      <c r="A22" s="1">
        <v>1020</v>
      </c>
      <c r="B22" s="2">
        <v>44609</v>
      </c>
      <c r="C22" s="1" t="s">
        <v>35</v>
      </c>
      <c r="D22" s="1" t="s">
        <v>55</v>
      </c>
      <c r="E22" s="1" t="s">
        <v>31</v>
      </c>
      <c r="F22" s="1">
        <v>1160.4000000000001</v>
      </c>
      <c r="G22" s="1" t="s">
        <v>56</v>
      </c>
      <c r="H22" s="2">
        <v>25712</v>
      </c>
      <c r="I22" s="2">
        <v>44618</v>
      </c>
      <c r="J22" s="1">
        <v>40.840000000000003</v>
      </c>
      <c r="K22" s="1">
        <f t="shared" si="0"/>
        <v>473.9073600000001</v>
      </c>
      <c r="L22" s="1">
        <f t="shared" si="1"/>
        <v>686.49263999999994</v>
      </c>
      <c r="N22" s="1" t="s">
        <v>65</v>
      </c>
      <c r="O22" s="1">
        <f t="shared" si="3"/>
        <v>10229.696199000002</v>
      </c>
      <c r="P22" s="1">
        <f t="shared" si="3"/>
        <v>15481.582421999999</v>
      </c>
      <c r="Q22" s="1">
        <f t="shared" si="3"/>
        <v>6948.0010870000006</v>
      </c>
      <c r="R22" s="1">
        <f t="shared" si="3"/>
        <v>17250.480422000001</v>
      </c>
      <c r="S22" s="1">
        <f t="shared" si="3"/>
        <v>17227.387569999999</v>
      </c>
      <c r="U22">
        <v>3215.6197039999997</v>
      </c>
      <c r="X22" s="1">
        <v>1028</v>
      </c>
      <c r="Y22" s="2">
        <v>45841</v>
      </c>
      <c r="Z22" s="1" t="str">
        <v>West</v>
      </c>
      <c r="AA22" s="1" t="str">
        <v>Milk</v>
      </c>
      <c r="AB22" s="1" t="str">
        <v>Groceries</v>
      </c>
      <c r="AC22" s="1">
        <v>4018.52</v>
      </c>
      <c r="AD22" s="1" t="str">
        <v>Jason Davidson</v>
      </c>
      <c r="AE22" s="1">
        <v>34016</v>
      </c>
      <c r="AF22" s="1">
        <v>45852</v>
      </c>
      <c r="AG22" s="1">
        <v>19.98</v>
      </c>
      <c r="AH22" s="1">
        <v>802.90029600000003</v>
      </c>
      <c r="AI22" s="1">
        <v>3215.6197039999997</v>
      </c>
    </row>
    <row r="23" spans="1:35" x14ac:dyDescent="0.35">
      <c r="A23" s="1">
        <v>1021</v>
      </c>
      <c r="B23" s="2">
        <v>44260</v>
      </c>
      <c r="C23" s="1" t="s">
        <v>10</v>
      </c>
      <c r="D23" s="1" t="s">
        <v>40</v>
      </c>
      <c r="E23" s="1" t="s">
        <v>16</v>
      </c>
      <c r="F23" s="1">
        <v>3787.11</v>
      </c>
      <c r="G23" s="1" t="s">
        <v>57</v>
      </c>
      <c r="H23" s="2">
        <v>38353</v>
      </c>
      <c r="I23" s="2">
        <v>44274</v>
      </c>
      <c r="J23" s="1">
        <v>43.05</v>
      </c>
      <c r="K23" s="1">
        <f t="shared" si="0"/>
        <v>1630.3508550000001</v>
      </c>
      <c r="L23" s="1">
        <f t="shared" si="1"/>
        <v>2156.759145</v>
      </c>
      <c r="N23" s="1" t="s">
        <v>69</v>
      </c>
      <c r="O23" s="1">
        <f t="shared" si="3"/>
        <v>17234.832297000001</v>
      </c>
      <c r="P23" s="1">
        <f t="shared" si="3"/>
        <v>27070.480656</v>
      </c>
      <c r="Q23" s="1">
        <f t="shared" si="3"/>
        <v>25200.205017000004</v>
      </c>
      <c r="R23" s="1">
        <f t="shared" si="3"/>
        <v>17974.809279000001</v>
      </c>
      <c r="S23" s="1">
        <f t="shared" si="3"/>
        <v>22103.611244000003</v>
      </c>
      <c r="U23">
        <v>1521.4498940000001</v>
      </c>
      <c r="X23" s="1">
        <v>1029</v>
      </c>
      <c r="Y23" s="2">
        <v>44115</v>
      </c>
      <c r="Z23" s="1" t="str">
        <v>North</v>
      </c>
      <c r="AA23" s="1" t="str">
        <v>Tennis Racket</v>
      </c>
      <c r="AB23" s="1" t="str">
        <v>Sports</v>
      </c>
      <c r="AC23" s="1">
        <v>1620.46</v>
      </c>
      <c r="AD23" s="1" t="str">
        <v>Andrew Watson</v>
      </c>
      <c r="AE23" s="1">
        <v>22079</v>
      </c>
      <c r="AF23" s="1">
        <v>44127</v>
      </c>
      <c r="AG23" s="1">
        <v>6.11</v>
      </c>
      <c r="AH23" s="1">
        <v>99.010106000000007</v>
      </c>
      <c r="AI23" s="1">
        <v>1521.4498940000001</v>
      </c>
    </row>
    <row r="24" spans="1:35" x14ac:dyDescent="0.35">
      <c r="A24" s="1">
        <v>1022</v>
      </c>
      <c r="B24" s="2">
        <v>44985</v>
      </c>
      <c r="C24" s="1" t="s">
        <v>21</v>
      </c>
      <c r="D24" s="1" t="s">
        <v>58</v>
      </c>
      <c r="E24" s="1" t="s">
        <v>31</v>
      </c>
      <c r="F24" s="1">
        <v>4407.51</v>
      </c>
      <c r="G24" s="1" t="s">
        <v>59</v>
      </c>
      <c r="H24" s="2">
        <v>25166</v>
      </c>
      <c r="I24" s="2">
        <v>44991</v>
      </c>
      <c r="J24" s="1">
        <v>40.35</v>
      </c>
      <c r="K24" s="1">
        <f t="shared" si="0"/>
        <v>1778.4302850000001</v>
      </c>
      <c r="L24" s="1">
        <f t="shared" si="1"/>
        <v>2629.0797149999999</v>
      </c>
      <c r="N24" s="1" t="s">
        <v>71</v>
      </c>
      <c r="O24" s="1">
        <f t="shared" si="3"/>
        <v>3448.1077139999998</v>
      </c>
      <c r="P24" s="1">
        <f t="shared" si="3"/>
        <v>6863.4399300000014</v>
      </c>
      <c r="Q24" s="1">
        <f t="shared" si="3"/>
        <v>18118.285498000001</v>
      </c>
      <c r="R24" s="1">
        <f t="shared" si="3"/>
        <v>13181.933997</v>
      </c>
      <c r="S24" s="1">
        <f t="shared" si="3"/>
        <v>22373.111027999996</v>
      </c>
      <c r="U24">
        <v>3181.9804939999999</v>
      </c>
      <c r="X24" s="1">
        <v>1030</v>
      </c>
      <c r="Y24" s="2">
        <v>44911</v>
      </c>
      <c r="Z24" s="1" t="str">
        <v>West</v>
      </c>
      <c r="AA24" s="1" t="str">
        <v>Shoes</v>
      </c>
      <c r="AB24" s="1" t="str">
        <v>Sports</v>
      </c>
      <c r="AC24" s="1">
        <v>4976.51</v>
      </c>
      <c r="AD24" s="1" t="str">
        <v>Samuel Humphrey</v>
      </c>
      <c r="AE24" s="1">
        <v>30887</v>
      </c>
      <c r="AF24" s="1">
        <v>44925</v>
      </c>
      <c r="AG24" s="1">
        <v>36.06</v>
      </c>
      <c r="AH24" s="1">
        <v>1794.5295060000003</v>
      </c>
      <c r="AI24" s="1">
        <v>3181.9804939999999</v>
      </c>
    </row>
    <row r="25" spans="1:35" x14ac:dyDescent="0.35">
      <c r="A25" s="1">
        <v>1023</v>
      </c>
      <c r="B25" s="2">
        <v>44173</v>
      </c>
      <c r="C25" s="1" t="s">
        <v>26</v>
      </c>
      <c r="D25" s="1" t="s">
        <v>30</v>
      </c>
      <c r="E25" s="1" t="s">
        <v>31</v>
      </c>
      <c r="F25" s="1">
        <v>2818.88</v>
      </c>
      <c r="G25" s="1" t="s">
        <v>60</v>
      </c>
      <c r="H25" s="2">
        <v>33482</v>
      </c>
      <c r="I25" s="2">
        <v>44181</v>
      </c>
      <c r="J25" s="1">
        <v>32.270000000000003</v>
      </c>
      <c r="K25" s="1">
        <f t="shared" si="0"/>
        <v>909.65257600000018</v>
      </c>
      <c r="L25" s="1">
        <f t="shared" si="1"/>
        <v>1909.2274239999999</v>
      </c>
      <c r="N25" s="1" t="s">
        <v>73</v>
      </c>
      <c r="O25" s="1">
        <f t="shared" si="3"/>
        <v>17111.943144000001</v>
      </c>
      <c r="P25" s="1">
        <f t="shared" si="3"/>
        <v>13395.521755000002</v>
      </c>
      <c r="Q25" s="1">
        <f t="shared" si="3"/>
        <v>7286.4188340000001</v>
      </c>
      <c r="R25" s="1">
        <f t="shared" si="3"/>
        <v>19566.182631</v>
      </c>
      <c r="S25" s="1">
        <f t="shared" si="3"/>
        <v>36908.120677999999</v>
      </c>
      <c r="U25">
        <v>3218.9218560000004</v>
      </c>
      <c r="X25" s="1">
        <v>1031</v>
      </c>
      <c r="Y25" s="2">
        <v>44709</v>
      </c>
      <c r="Z25" s="1" t="str">
        <v>North</v>
      </c>
      <c r="AA25" s="1" t="str">
        <v>T-Shirt</v>
      </c>
      <c r="AB25" s="1" t="str">
        <v>Clothing</v>
      </c>
      <c r="AC25" s="1">
        <v>4139.5600000000004</v>
      </c>
      <c r="AD25" s="1" t="str">
        <v>Kayla Patel</v>
      </c>
      <c r="AE25" s="1">
        <v>32992</v>
      </c>
      <c r="AF25" s="1">
        <v>44715</v>
      </c>
      <c r="AG25" s="1">
        <v>22.24</v>
      </c>
      <c r="AH25" s="1">
        <v>920.63814400000001</v>
      </c>
      <c r="AI25" s="1">
        <v>3218.9218560000004</v>
      </c>
    </row>
    <row r="26" spans="1:35" x14ac:dyDescent="0.35">
      <c r="A26" s="1">
        <v>1024</v>
      </c>
      <c r="B26" s="2">
        <v>45385</v>
      </c>
      <c r="C26" s="1" t="s">
        <v>21</v>
      </c>
      <c r="D26" s="1" t="s">
        <v>61</v>
      </c>
      <c r="E26" s="1" t="s">
        <v>19</v>
      </c>
      <c r="F26" s="1">
        <v>923.98</v>
      </c>
      <c r="G26" s="1" t="s">
        <v>62</v>
      </c>
      <c r="H26" s="2">
        <v>22870</v>
      </c>
      <c r="I26" s="2">
        <v>45387</v>
      </c>
      <c r="J26" s="1">
        <v>1.62</v>
      </c>
      <c r="K26" s="1">
        <f t="shared" si="0"/>
        <v>14.968476000000003</v>
      </c>
      <c r="L26" s="1">
        <f t="shared" si="1"/>
        <v>909.01152400000001</v>
      </c>
      <c r="N26" s="1" t="s">
        <v>88</v>
      </c>
      <c r="O26" s="1">
        <f t="shared" si="3"/>
        <v>8688.128666999999</v>
      </c>
      <c r="P26" s="1">
        <f t="shared" si="3"/>
        <v>5580.9074010000004</v>
      </c>
      <c r="Q26" s="1">
        <f t="shared" si="3"/>
        <v>16743.391615</v>
      </c>
      <c r="R26" s="1">
        <f t="shared" si="3"/>
        <v>3818.6457290000003</v>
      </c>
      <c r="S26" s="1">
        <f t="shared" si="3"/>
        <v>24988.191609999998</v>
      </c>
      <c r="U26">
        <v>3001.8502799999997</v>
      </c>
      <c r="X26" s="1">
        <v>1032</v>
      </c>
      <c r="Y26" s="2">
        <v>44282</v>
      </c>
      <c r="Z26" s="1" t="str">
        <v>Central</v>
      </c>
      <c r="AA26" s="1" t="str">
        <v>Sofa</v>
      </c>
      <c r="AB26" s="1" t="str">
        <v>Furniture</v>
      </c>
      <c r="AC26" s="1">
        <v>4770.8999999999996</v>
      </c>
      <c r="AD26" s="1" t="str">
        <v>Jerry Smith</v>
      </c>
      <c r="AE26" s="1">
        <v>26027</v>
      </c>
      <c r="AF26" s="1">
        <v>44284</v>
      </c>
      <c r="AG26" s="1">
        <v>37.08</v>
      </c>
      <c r="AH26" s="1">
        <v>1769.0497199999998</v>
      </c>
      <c r="AI26" s="1">
        <v>3001.8502799999997</v>
      </c>
    </row>
    <row r="27" spans="1:35" x14ac:dyDescent="0.35">
      <c r="A27" s="1">
        <v>1025</v>
      </c>
      <c r="B27" s="2">
        <v>45184</v>
      </c>
      <c r="C27" s="1" t="s">
        <v>10</v>
      </c>
      <c r="D27" s="1" t="s">
        <v>30</v>
      </c>
      <c r="E27" s="1" t="s">
        <v>31</v>
      </c>
      <c r="F27" s="1">
        <v>1341.71</v>
      </c>
      <c r="G27" s="1" t="s">
        <v>63</v>
      </c>
      <c r="H27" s="2">
        <v>25430</v>
      </c>
      <c r="I27" s="2">
        <v>45189</v>
      </c>
      <c r="J27" s="1">
        <v>38.22</v>
      </c>
      <c r="K27" s="1">
        <f t="shared" si="0"/>
        <v>512.80156199999999</v>
      </c>
      <c r="L27" s="1">
        <f t="shared" si="1"/>
        <v>828.90843800000005</v>
      </c>
      <c r="N27" s="1" t="s">
        <v>102</v>
      </c>
      <c r="O27" s="1">
        <f t="shared" si="3"/>
        <v>26288.759423</v>
      </c>
      <c r="P27" s="1">
        <f t="shared" si="3"/>
        <v>4675.1584629999998</v>
      </c>
      <c r="Q27" s="1">
        <f t="shared" si="3"/>
        <v>13196.889268999999</v>
      </c>
      <c r="R27" s="1">
        <f t="shared" si="3"/>
        <v>2257.2024030000002</v>
      </c>
      <c r="S27" s="1">
        <f t="shared" si="3"/>
        <v>1470.5745390000002</v>
      </c>
      <c r="U27">
        <v>3353.5033269999994</v>
      </c>
      <c r="X27" s="1">
        <v>1033</v>
      </c>
      <c r="Y27" s="2">
        <v>44348</v>
      </c>
      <c r="Z27" s="1" t="str">
        <v>West</v>
      </c>
      <c r="AA27" s="1" t="str">
        <v>Table</v>
      </c>
      <c r="AB27" s="1" t="str">
        <v>Furniture</v>
      </c>
      <c r="AC27" s="1">
        <v>4960.07</v>
      </c>
      <c r="AD27" s="1" t="str">
        <v>Billy Chavez</v>
      </c>
      <c r="AE27" s="1">
        <v>31224</v>
      </c>
      <c r="AF27" s="1">
        <v>44362</v>
      </c>
      <c r="AG27" s="1">
        <v>32.39</v>
      </c>
      <c r="AH27" s="1">
        <v>1606.566673</v>
      </c>
      <c r="AI27" s="1">
        <v>3353.5033269999994</v>
      </c>
    </row>
    <row r="28" spans="1:35" x14ac:dyDescent="0.35">
      <c r="A28" s="1">
        <v>1026</v>
      </c>
      <c r="B28" s="2">
        <v>44998</v>
      </c>
      <c r="C28" s="1" t="s">
        <v>10</v>
      </c>
      <c r="D28" s="1" t="s">
        <v>44</v>
      </c>
      <c r="E28" s="1" t="s">
        <v>16</v>
      </c>
      <c r="F28" s="1">
        <v>2239.94</v>
      </c>
      <c r="G28" s="1" t="s">
        <v>64</v>
      </c>
      <c r="H28" s="2">
        <v>32375</v>
      </c>
      <c r="I28" s="2">
        <v>45003</v>
      </c>
      <c r="J28" s="1">
        <v>40.1</v>
      </c>
      <c r="K28" s="1">
        <f t="shared" si="0"/>
        <v>898.21594000000005</v>
      </c>
      <c r="L28" s="1">
        <f t="shared" si="1"/>
        <v>1341.72406</v>
      </c>
      <c r="U28">
        <v>3498.1210799999999</v>
      </c>
      <c r="X28" s="1">
        <v>1034</v>
      </c>
      <c r="Y28" s="2">
        <v>45016</v>
      </c>
      <c r="Z28" s="1" t="str">
        <v>West</v>
      </c>
      <c r="AA28" s="1" t="str">
        <v>Tennis Racket</v>
      </c>
      <c r="AB28" s="1" t="str">
        <v>Sports</v>
      </c>
      <c r="AC28" s="1">
        <v>3598.89</v>
      </c>
      <c r="AD28" s="1" t="str">
        <v>Taylor Richardson</v>
      </c>
      <c r="AE28" s="1">
        <v>25853</v>
      </c>
      <c r="AF28" s="1">
        <v>45026</v>
      </c>
      <c r="AG28" s="1">
        <v>2.8</v>
      </c>
      <c r="AH28" s="1">
        <v>100.76891999999998</v>
      </c>
      <c r="AI28" s="1">
        <v>3498.1210799999999</v>
      </c>
    </row>
    <row r="29" spans="1:35" x14ac:dyDescent="0.35">
      <c r="A29" s="1">
        <v>1027</v>
      </c>
      <c r="B29" s="2">
        <v>45397</v>
      </c>
      <c r="C29" s="1" t="s">
        <v>14</v>
      </c>
      <c r="D29" s="1" t="s">
        <v>65</v>
      </c>
      <c r="E29" s="1" t="s">
        <v>19</v>
      </c>
      <c r="F29" s="1">
        <v>1759.25</v>
      </c>
      <c r="G29" s="1" t="s">
        <v>66</v>
      </c>
      <c r="H29" s="2">
        <v>33192</v>
      </c>
      <c r="I29" s="2">
        <v>45401</v>
      </c>
      <c r="J29" s="1">
        <v>5.46</v>
      </c>
      <c r="K29" s="1">
        <f t="shared" si="0"/>
        <v>96.055050000000008</v>
      </c>
      <c r="L29" s="1">
        <f t="shared" si="1"/>
        <v>1663.1949500000001</v>
      </c>
      <c r="U29">
        <v>2210.8133600000001</v>
      </c>
      <c r="X29" s="1">
        <v>1035</v>
      </c>
      <c r="Y29" s="2">
        <v>45070</v>
      </c>
      <c r="Z29" s="1" t="str">
        <v>East</v>
      </c>
      <c r="AA29" s="1" t="str">
        <v>Shoes</v>
      </c>
      <c r="AB29" s="1" t="str">
        <v>Clothing</v>
      </c>
      <c r="AC29" s="1">
        <v>2445.59</v>
      </c>
      <c r="AD29" s="1" t="str">
        <v>Carol Lopez</v>
      </c>
      <c r="AE29" s="1">
        <v>37049</v>
      </c>
      <c r="AF29" s="1">
        <v>45081</v>
      </c>
      <c r="AG29" s="1">
        <v>9.6</v>
      </c>
      <c r="AH29" s="1">
        <v>234.77664000000001</v>
      </c>
      <c r="AI29" s="1">
        <v>2210.8133600000001</v>
      </c>
    </row>
    <row r="30" spans="1:35" x14ac:dyDescent="0.35">
      <c r="A30" s="1">
        <v>1028</v>
      </c>
      <c r="B30" s="2">
        <v>45841</v>
      </c>
      <c r="C30" s="1" t="s">
        <v>10</v>
      </c>
      <c r="D30" s="1" t="s">
        <v>15</v>
      </c>
      <c r="E30" s="1" t="s">
        <v>16</v>
      </c>
      <c r="F30" s="1">
        <v>4018.52</v>
      </c>
      <c r="G30" s="1" t="s">
        <v>67</v>
      </c>
      <c r="H30" s="2">
        <v>34016</v>
      </c>
      <c r="I30" s="2">
        <v>45852</v>
      </c>
      <c r="J30" s="1">
        <v>19.98</v>
      </c>
      <c r="K30" s="1">
        <f t="shared" si="0"/>
        <v>802.90029600000003</v>
      </c>
      <c r="L30" s="1">
        <f t="shared" si="1"/>
        <v>3215.6197039999997</v>
      </c>
      <c r="U30">
        <v>2423.7812560000002</v>
      </c>
      <c r="X30" s="1">
        <v>1036</v>
      </c>
      <c r="Y30" s="2">
        <v>45035</v>
      </c>
      <c r="Z30" s="1" t="str">
        <v>Central</v>
      </c>
      <c r="AA30" s="1" t="str">
        <v>Cap</v>
      </c>
      <c r="AB30" s="1" t="str">
        <v>Clothing</v>
      </c>
      <c r="AC30" s="1">
        <v>3781.84</v>
      </c>
      <c r="AD30" s="1" t="str">
        <v>Sherry Henry</v>
      </c>
      <c r="AE30" s="1">
        <v>38696</v>
      </c>
      <c r="AF30" s="1">
        <v>45038</v>
      </c>
      <c r="AG30" s="1">
        <v>35.909999999999997</v>
      </c>
      <c r="AH30" s="1">
        <v>1358.0587439999999</v>
      </c>
      <c r="AI30" s="1">
        <v>2423.7812560000002</v>
      </c>
    </row>
    <row r="31" spans="1:35" x14ac:dyDescent="0.35">
      <c r="A31" s="1">
        <v>1029</v>
      </c>
      <c r="B31" s="2">
        <v>44115</v>
      </c>
      <c r="C31" s="1" t="s">
        <v>14</v>
      </c>
      <c r="D31" s="1" t="s">
        <v>47</v>
      </c>
      <c r="E31" s="1" t="s">
        <v>12</v>
      </c>
      <c r="F31" s="1">
        <v>1620.46</v>
      </c>
      <c r="G31" s="1" t="s">
        <v>68</v>
      </c>
      <c r="H31" s="2">
        <v>22079</v>
      </c>
      <c r="I31" s="2">
        <v>44127</v>
      </c>
      <c r="J31" s="1">
        <v>6.11</v>
      </c>
      <c r="K31" s="1">
        <f t="shared" si="0"/>
        <v>99.010106000000007</v>
      </c>
      <c r="L31" s="1">
        <f t="shared" si="1"/>
        <v>1521.4498940000001</v>
      </c>
      <c r="N31" s="10" t="s">
        <v>333</v>
      </c>
      <c r="O31" s="10"/>
      <c r="P31" s="10"/>
      <c r="Q31" s="10"/>
      <c r="R31" s="10"/>
      <c r="S31" s="10"/>
      <c r="U31">
        <v>2203.1456920000001</v>
      </c>
      <c r="X31" s="1">
        <v>1037</v>
      </c>
      <c r="Y31" s="2">
        <v>45283</v>
      </c>
      <c r="Z31" s="1" t="str">
        <v>South</v>
      </c>
      <c r="AA31" s="1" t="str">
        <v>T-Shirt</v>
      </c>
      <c r="AB31" s="1" t="str">
        <v>Clothing</v>
      </c>
      <c r="AC31" s="1">
        <v>2577.08</v>
      </c>
      <c r="AD31" s="1" t="str">
        <v>Shane Morgan</v>
      </c>
      <c r="AE31" s="1">
        <v>25099</v>
      </c>
      <c r="AF31" s="1">
        <v>45294</v>
      </c>
      <c r="AG31" s="1">
        <v>14.51</v>
      </c>
      <c r="AH31" s="1">
        <v>373.93430799999999</v>
      </c>
      <c r="AI31" s="1">
        <v>2203.1456920000001</v>
      </c>
    </row>
    <row r="32" spans="1:35" x14ac:dyDescent="0.35">
      <c r="A32" s="1">
        <v>1030</v>
      </c>
      <c r="B32" s="2">
        <v>44911</v>
      </c>
      <c r="C32" s="1" t="s">
        <v>10</v>
      </c>
      <c r="D32" s="1" t="s">
        <v>69</v>
      </c>
      <c r="E32" s="1" t="s">
        <v>12</v>
      </c>
      <c r="F32" s="1">
        <v>4976.51</v>
      </c>
      <c r="G32" s="1" t="s">
        <v>70</v>
      </c>
      <c r="H32" s="2">
        <v>30887</v>
      </c>
      <c r="I32" s="2">
        <v>44925</v>
      </c>
      <c r="J32" s="1">
        <v>36.06</v>
      </c>
      <c r="K32" s="1">
        <f t="shared" si="0"/>
        <v>1794.5295060000003</v>
      </c>
      <c r="L32" s="1">
        <f t="shared" si="1"/>
        <v>3181.9804939999999</v>
      </c>
      <c r="N32" s="11"/>
      <c r="O32" s="11"/>
      <c r="P32" s="11"/>
      <c r="Q32" s="11"/>
      <c r="R32" s="11"/>
      <c r="S32" s="11"/>
      <c r="U32">
        <v>1733.7205200000003</v>
      </c>
      <c r="X32" s="1">
        <v>1039</v>
      </c>
      <c r="Y32" s="2">
        <v>44521</v>
      </c>
      <c r="Z32" s="1" t="str">
        <v>Central</v>
      </c>
      <c r="AA32" s="1" t="str">
        <v>Cap</v>
      </c>
      <c r="AB32" s="1" t="str">
        <v>Clothing</v>
      </c>
      <c r="AC32" s="1">
        <v>2471.8000000000002</v>
      </c>
      <c r="AD32" s="1" t="str">
        <v>Lisa Garcia</v>
      </c>
      <c r="AE32" s="1">
        <v>31578</v>
      </c>
      <c r="AF32" s="1">
        <v>44522</v>
      </c>
      <c r="AG32" s="1">
        <v>29.86</v>
      </c>
      <c r="AH32" s="1">
        <v>738.07947999999999</v>
      </c>
      <c r="AI32" s="1">
        <v>1733.7205200000003</v>
      </c>
    </row>
    <row r="33" spans="1:35" x14ac:dyDescent="0.35">
      <c r="A33" s="1">
        <v>1031</v>
      </c>
      <c r="B33" s="2">
        <v>44709</v>
      </c>
      <c r="C33" s="1" t="s">
        <v>14</v>
      </c>
      <c r="D33" s="1" t="s">
        <v>71</v>
      </c>
      <c r="E33" s="1" t="s">
        <v>31</v>
      </c>
      <c r="F33" s="1">
        <v>4139.5600000000004</v>
      </c>
      <c r="G33" s="1" t="s">
        <v>72</v>
      </c>
      <c r="H33" s="2">
        <v>32992</v>
      </c>
      <c r="I33" s="2">
        <v>44715</v>
      </c>
      <c r="J33" s="1">
        <v>22.24</v>
      </c>
      <c r="K33" s="1">
        <f t="shared" si="0"/>
        <v>920.63814400000001</v>
      </c>
      <c r="L33" s="1">
        <f t="shared" si="1"/>
        <v>3218.9218560000004</v>
      </c>
      <c r="N33" s="8" t="s">
        <v>3</v>
      </c>
      <c r="O33" s="8" t="s">
        <v>10</v>
      </c>
      <c r="P33" s="8" t="s">
        <v>14</v>
      </c>
      <c r="Q33" s="8" t="s">
        <v>21</v>
      </c>
      <c r="R33" s="8" t="s">
        <v>26</v>
      </c>
      <c r="S33" s="8" t="s">
        <v>35</v>
      </c>
      <c r="U33">
        <v>1407.604284</v>
      </c>
      <c r="X33" s="1">
        <v>1040</v>
      </c>
      <c r="Y33" s="2">
        <v>45056</v>
      </c>
      <c r="Z33" s="1" t="str">
        <v>West</v>
      </c>
      <c r="AA33" s="1" t="str">
        <v>Camera</v>
      </c>
      <c r="AB33" s="1" t="str">
        <v>Electronics</v>
      </c>
      <c r="AC33" s="1">
        <v>2421.06</v>
      </c>
      <c r="AD33" s="1" t="str">
        <v>Timothy Diaz</v>
      </c>
      <c r="AE33" s="1">
        <v>38350</v>
      </c>
      <c r="AF33" s="1">
        <v>45069</v>
      </c>
      <c r="AG33" s="1">
        <v>41.86</v>
      </c>
      <c r="AH33" s="1">
        <v>1013.4557159999999</v>
      </c>
      <c r="AI33" s="1">
        <v>1407.604284</v>
      </c>
    </row>
    <row r="34" spans="1:35" x14ac:dyDescent="0.35">
      <c r="A34" s="1">
        <v>1032</v>
      </c>
      <c r="B34" s="2">
        <v>44282</v>
      </c>
      <c r="C34" s="1" t="s">
        <v>35</v>
      </c>
      <c r="D34" s="1" t="s">
        <v>38</v>
      </c>
      <c r="E34" s="1" t="s">
        <v>28</v>
      </c>
      <c r="F34" s="1">
        <v>4770.8999999999996</v>
      </c>
      <c r="G34" s="1" t="s">
        <v>42</v>
      </c>
      <c r="H34" s="2">
        <v>26027</v>
      </c>
      <c r="I34" s="2">
        <v>44284</v>
      </c>
      <c r="J34" s="1">
        <v>37.08</v>
      </c>
      <c r="K34" s="1">
        <f t="shared" si="0"/>
        <v>1769.0497199999998</v>
      </c>
      <c r="L34" s="1">
        <f t="shared" si="1"/>
        <v>3001.8502799999997</v>
      </c>
      <c r="N34" s="1" t="s">
        <v>11</v>
      </c>
      <c r="O34" s="1">
        <f t="shared" ref="O34:S43" si="4">COUNTIFS($D$2:$D$1001,$N34,$C$2:$C$1001,O$33)</f>
        <v>11</v>
      </c>
      <c r="P34" s="1">
        <f t="shared" si="4"/>
        <v>8</v>
      </c>
      <c r="Q34" s="1">
        <f t="shared" si="4"/>
        <v>12</v>
      </c>
      <c r="R34" s="1">
        <f t="shared" si="4"/>
        <v>6</v>
      </c>
      <c r="S34" s="1">
        <f t="shared" si="4"/>
        <v>10</v>
      </c>
      <c r="U34">
        <v>2533.8569550000002</v>
      </c>
      <c r="X34" s="1">
        <v>1041</v>
      </c>
      <c r="Y34" s="2">
        <v>44876</v>
      </c>
      <c r="Z34" s="1" t="str">
        <v>East</v>
      </c>
      <c r="AA34" s="1" t="str">
        <v>Tablet</v>
      </c>
      <c r="AB34" s="1" t="str">
        <v>Electronics</v>
      </c>
      <c r="AC34" s="1">
        <v>2755.69</v>
      </c>
      <c r="AD34" s="1" t="str">
        <v>Anthony Lee</v>
      </c>
      <c r="AE34" s="1">
        <v>38879</v>
      </c>
      <c r="AF34" s="1">
        <v>44881</v>
      </c>
      <c r="AG34" s="1">
        <v>8.0500000000000007</v>
      </c>
      <c r="AH34" s="1">
        <v>221.833045</v>
      </c>
      <c r="AI34" s="1">
        <v>2533.8569550000002</v>
      </c>
    </row>
    <row r="35" spans="1:35" x14ac:dyDescent="0.35">
      <c r="A35" s="1">
        <v>1033</v>
      </c>
      <c r="B35" s="2">
        <v>44348</v>
      </c>
      <c r="C35" s="1" t="s">
        <v>10</v>
      </c>
      <c r="D35" s="1" t="s">
        <v>73</v>
      </c>
      <c r="E35" s="1" t="s">
        <v>28</v>
      </c>
      <c r="F35" s="1">
        <v>4960.07</v>
      </c>
      <c r="G35" s="1" t="s">
        <v>74</v>
      </c>
      <c r="H35" s="2">
        <v>31224</v>
      </c>
      <c r="I35" s="2">
        <v>44362</v>
      </c>
      <c r="J35" s="1">
        <v>32.39</v>
      </c>
      <c r="K35" s="1">
        <f t="shared" si="0"/>
        <v>1606.566673</v>
      </c>
      <c r="L35" s="1">
        <f t="shared" si="1"/>
        <v>3353.5033269999994</v>
      </c>
      <c r="N35" s="1" t="s">
        <v>15</v>
      </c>
      <c r="O35" s="1">
        <f t="shared" si="4"/>
        <v>11</v>
      </c>
      <c r="P35" s="1">
        <f t="shared" si="4"/>
        <v>10</v>
      </c>
      <c r="Q35" s="1">
        <f t="shared" si="4"/>
        <v>6</v>
      </c>
      <c r="R35" s="1">
        <f t="shared" si="4"/>
        <v>7</v>
      </c>
      <c r="S35" s="1">
        <f t="shared" si="4"/>
        <v>6</v>
      </c>
      <c r="U35">
        <v>2170.309737</v>
      </c>
      <c r="X35" s="1">
        <v>1042</v>
      </c>
      <c r="Y35" s="2">
        <v>44218</v>
      </c>
      <c r="Z35" s="1" t="str">
        <v>Central</v>
      </c>
      <c r="AA35" s="1" t="str">
        <v>Smartphone</v>
      </c>
      <c r="AB35" s="1" t="str">
        <v>Electronics</v>
      </c>
      <c r="AC35" s="1">
        <v>2810.19</v>
      </c>
      <c r="AD35" s="1" t="str">
        <v>Patricia Burton</v>
      </c>
      <c r="AE35" s="1">
        <v>24673</v>
      </c>
      <c r="AF35" s="1">
        <v>44225</v>
      </c>
      <c r="AG35" s="1">
        <v>22.77</v>
      </c>
      <c r="AH35" s="1">
        <v>639.88026300000001</v>
      </c>
      <c r="AI35" s="1">
        <v>2170.309737</v>
      </c>
    </row>
    <row r="36" spans="1:35" x14ac:dyDescent="0.35">
      <c r="A36" s="1">
        <v>1034</v>
      </c>
      <c r="B36" s="2">
        <v>45016</v>
      </c>
      <c r="C36" s="1" t="s">
        <v>10</v>
      </c>
      <c r="D36" s="1" t="s">
        <v>47</v>
      </c>
      <c r="E36" s="1" t="s">
        <v>12</v>
      </c>
      <c r="F36" s="1">
        <v>3598.89</v>
      </c>
      <c r="G36" s="1" t="s">
        <v>75</v>
      </c>
      <c r="H36" s="2">
        <v>25853</v>
      </c>
      <c r="I36" s="2">
        <v>45026</v>
      </c>
      <c r="J36" s="1">
        <v>2.8</v>
      </c>
      <c r="K36" s="1">
        <f t="shared" si="0"/>
        <v>100.76891999999998</v>
      </c>
      <c r="L36" s="1">
        <f t="shared" si="1"/>
        <v>3498.1210799999999</v>
      </c>
      <c r="N36" s="1" t="s">
        <v>18</v>
      </c>
      <c r="O36" s="1">
        <f t="shared" si="4"/>
        <v>4</v>
      </c>
      <c r="P36" s="1">
        <f t="shared" si="4"/>
        <v>11</v>
      </c>
      <c r="Q36" s="1">
        <f t="shared" si="4"/>
        <v>6</v>
      </c>
      <c r="R36" s="1">
        <f t="shared" si="4"/>
        <v>7</v>
      </c>
      <c r="S36" s="1">
        <f t="shared" si="4"/>
        <v>10</v>
      </c>
      <c r="U36">
        <v>1461.0440599999999</v>
      </c>
      <c r="X36" s="1">
        <v>1043</v>
      </c>
      <c r="Y36" s="2">
        <v>45566</v>
      </c>
      <c r="Z36" s="1" t="str">
        <v>South</v>
      </c>
      <c r="AA36" s="1" t="str">
        <v>T-Shirt</v>
      </c>
      <c r="AB36" s="1" t="str">
        <v>Clothing</v>
      </c>
      <c r="AC36" s="1">
        <v>2567.7399999999998</v>
      </c>
      <c r="AD36" s="1" t="str">
        <v>Alexandria Stone</v>
      </c>
      <c r="AE36" s="1">
        <v>26472</v>
      </c>
      <c r="AF36" s="1">
        <v>45578</v>
      </c>
      <c r="AG36" s="1">
        <v>43.1</v>
      </c>
      <c r="AH36" s="1">
        <v>1106.6959399999998</v>
      </c>
      <c r="AI36" s="1">
        <v>1461.0440599999999</v>
      </c>
    </row>
    <row r="37" spans="1:35" x14ac:dyDescent="0.35">
      <c r="A37" s="1">
        <v>1035</v>
      </c>
      <c r="B37" s="2">
        <v>45070</v>
      </c>
      <c r="C37" s="1" t="s">
        <v>26</v>
      </c>
      <c r="D37" s="1" t="s">
        <v>69</v>
      </c>
      <c r="E37" s="1" t="s">
        <v>31</v>
      </c>
      <c r="F37" s="1">
        <v>2445.59</v>
      </c>
      <c r="G37" s="1" t="s">
        <v>76</v>
      </c>
      <c r="H37" s="2">
        <v>37049</v>
      </c>
      <c r="I37" s="2">
        <v>45081</v>
      </c>
      <c r="J37" s="1">
        <v>9.6</v>
      </c>
      <c r="K37" s="1">
        <f t="shared" si="0"/>
        <v>234.77664000000001</v>
      </c>
      <c r="L37" s="1">
        <f t="shared" si="1"/>
        <v>2210.8133600000001</v>
      </c>
      <c r="N37" s="1" t="s">
        <v>22</v>
      </c>
      <c r="O37" s="1">
        <f t="shared" si="4"/>
        <v>8</v>
      </c>
      <c r="P37" s="1">
        <f t="shared" si="4"/>
        <v>8</v>
      </c>
      <c r="Q37" s="1">
        <f t="shared" si="4"/>
        <v>12</v>
      </c>
      <c r="R37" s="1">
        <f t="shared" si="4"/>
        <v>7</v>
      </c>
      <c r="S37" s="1">
        <f t="shared" si="4"/>
        <v>7</v>
      </c>
      <c r="U37">
        <v>1638.752097</v>
      </c>
      <c r="X37" s="1">
        <v>1044</v>
      </c>
      <c r="Y37" s="2">
        <v>45605</v>
      </c>
      <c r="Z37" s="1" t="str">
        <v>East</v>
      </c>
      <c r="AA37" s="1" t="str">
        <v>Wheat</v>
      </c>
      <c r="AB37" s="1" t="str">
        <v>Groceries</v>
      </c>
      <c r="AC37" s="1">
        <v>1716.51</v>
      </c>
      <c r="AD37" s="1" t="str">
        <v>Jason Davidson</v>
      </c>
      <c r="AE37" s="1">
        <v>34016</v>
      </c>
      <c r="AF37" s="1">
        <v>45619</v>
      </c>
      <c r="AG37" s="1">
        <v>4.53</v>
      </c>
      <c r="AH37" s="1">
        <v>77.757902999999999</v>
      </c>
      <c r="AI37" s="1">
        <v>1638.752097</v>
      </c>
    </row>
    <row r="38" spans="1:35" x14ac:dyDescent="0.35">
      <c r="A38" s="1">
        <v>1036</v>
      </c>
      <c r="B38" s="2">
        <v>45035</v>
      </c>
      <c r="C38" s="1" t="s">
        <v>35</v>
      </c>
      <c r="D38" s="1" t="s">
        <v>58</v>
      </c>
      <c r="E38" s="1" t="s">
        <v>31</v>
      </c>
      <c r="F38" s="1">
        <v>3781.84</v>
      </c>
      <c r="G38" s="1" t="s">
        <v>77</v>
      </c>
      <c r="H38" s="2">
        <v>38696</v>
      </c>
      <c r="I38" s="2">
        <v>45038</v>
      </c>
      <c r="J38" s="1">
        <v>35.909999999999997</v>
      </c>
      <c r="K38" s="1">
        <f t="shared" si="0"/>
        <v>1358.0587439999999</v>
      </c>
      <c r="L38" s="1">
        <f t="shared" si="1"/>
        <v>2423.7812560000002</v>
      </c>
      <c r="N38" s="1" t="s">
        <v>24</v>
      </c>
      <c r="O38" s="1">
        <f t="shared" si="4"/>
        <v>9</v>
      </c>
      <c r="P38" s="1">
        <f t="shared" si="4"/>
        <v>8</v>
      </c>
      <c r="Q38" s="1">
        <f t="shared" si="4"/>
        <v>14</v>
      </c>
      <c r="R38" s="1">
        <f t="shared" si="4"/>
        <v>6</v>
      </c>
      <c r="S38" s="1">
        <f t="shared" si="4"/>
        <v>12</v>
      </c>
      <c r="U38">
        <v>1183.42536</v>
      </c>
      <c r="X38" s="1">
        <v>1045</v>
      </c>
      <c r="Y38" s="2">
        <v>44129</v>
      </c>
      <c r="Z38" s="1" t="str">
        <v>West</v>
      </c>
      <c r="AA38" s="1" t="str">
        <v>Wheat</v>
      </c>
      <c r="AB38" s="1" t="str">
        <v>Groceries</v>
      </c>
      <c r="AC38" s="1">
        <v>2117.04</v>
      </c>
      <c r="AD38" s="1" t="str">
        <v>Adrian Howe</v>
      </c>
      <c r="AE38" s="1">
        <v>37236</v>
      </c>
      <c r="AF38" s="1">
        <v>44138</v>
      </c>
      <c r="AG38" s="1">
        <v>44.1</v>
      </c>
      <c r="AH38" s="1">
        <v>933.61464000000001</v>
      </c>
      <c r="AI38" s="1">
        <v>1183.42536</v>
      </c>
    </row>
    <row r="39" spans="1:35" x14ac:dyDescent="0.35">
      <c r="A39" s="1">
        <v>1037</v>
      </c>
      <c r="B39" s="2">
        <v>45283</v>
      </c>
      <c r="C39" s="1" t="s">
        <v>21</v>
      </c>
      <c r="D39" s="1" t="s">
        <v>71</v>
      </c>
      <c r="E39" s="1" t="s">
        <v>31</v>
      </c>
      <c r="F39" s="1">
        <v>2577.08</v>
      </c>
      <c r="G39" s="1" t="s">
        <v>78</v>
      </c>
      <c r="H39" s="2">
        <v>25099</v>
      </c>
      <c r="I39" s="2">
        <v>45294</v>
      </c>
      <c r="J39" s="1">
        <v>14.51</v>
      </c>
      <c r="K39" s="1">
        <f t="shared" si="0"/>
        <v>373.93430799999999</v>
      </c>
      <c r="L39" s="1">
        <f t="shared" si="1"/>
        <v>2203.1456920000001</v>
      </c>
      <c r="N39" s="1" t="s">
        <v>27</v>
      </c>
      <c r="O39" s="1">
        <f t="shared" si="4"/>
        <v>9</v>
      </c>
      <c r="P39" s="1">
        <f t="shared" si="4"/>
        <v>3</v>
      </c>
      <c r="Q39" s="1">
        <f t="shared" si="4"/>
        <v>6</v>
      </c>
      <c r="R39" s="1">
        <f t="shared" si="4"/>
        <v>10</v>
      </c>
      <c r="S39" s="1">
        <f t="shared" si="4"/>
        <v>6</v>
      </c>
      <c r="U39">
        <v>3315.8168520000004</v>
      </c>
      <c r="X39" s="1">
        <v>1046</v>
      </c>
      <c r="Y39" s="2">
        <v>45878</v>
      </c>
      <c r="Z39" s="1" t="str">
        <v>North</v>
      </c>
      <c r="AA39" s="1" t="str">
        <v>Jacket</v>
      </c>
      <c r="AB39" s="1" t="str">
        <v>Clothing</v>
      </c>
      <c r="AC39" s="1">
        <v>4425.8100000000004</v>
      </c>
      <c r="AD39" s="1" t="str">
        <v>Melanie Shaffer</v>
      </c>
      <c r="AE39" s="1">
        <v>37858</v>
      </c>
      <c r="AF39" s="1">
        <v>45886</v>
      </c>
      <c r="AG39" s="1">
        <v>25.08</v>
      </c>
      <c r="AH39" s="1">
        <v>1109.993148</v>
      </c>
      <c r="AI39" s="1">
        <v>3315.8168520000004</v>
      </c>
    </row>
    <row r="40" spans="1:35" x14ac:dyDescent="0.35">
      <c r="A40" s="1">
        <v>1038</v>
      </c>
      <c r="B40" s="2">
        <v>45444</v>
      </c>
      <c r="C40" s="1" t="s">
        <v>26</v>
      </c>
      <c r="D40" s="1" t="s">
        <v>33</v>
      </c>
      <c r="E40" s="1" t="s">
        <v>16</v>
      </c>
      <c r="F40" s="1">
        <v>301.27999999999997</v>
      </c>
      <c r="G40" s="1" t="s">
        <v>79</v>
      </c>
      <c r="H40" s="2">
        <v>28675</v>
      </c>
      <c r="I40" s="2">
        <v>45447</v>
      </c>
      <c r="J40" s="1">
        <v>40.67</v>
      </c>
      <c r="K40" s="1">
        <f t="shared" si="0"/>
        <v>122.530576</v>
      </c>
      <c r="L40" s="1">
        <f t="shared" si="1"/>
        <v>178.74942399999998</v>
      </c>
      <c r="N40" s="1" t="s">
        <v>30</v>
      </c>
      <c r="O40" s="1">
        <f t="shared" si="4"/>
        <v>9</v>
      </c>
      <c r="P40" s="1">
        <f t="shared" si="4"/>
        <v>9</v>
      </c>
      <c r="Q40" s="1">
        <f t="shared" si="4"/>
        <v>11</v>
      </c>
      <c r="R40" s="1">
        <f t="shared" si="4"/>
        <v>8</v>
      </c>
      <c r="S40" s="1">
        <f t="shared" si="4"/>
        <v>5</v>
      </c>
      <c r="U40">
        <v>1349.6287320000001</v>
      </c>
      <c r="X40" s="1">
        <v>1048</v>
      </c>
      <c r="Y40" s="2">
        <v>44436</v>
      </c>
      <c r="Z40" s="1" t="str">
        <v>South</v>
      </c>
      <c r="AA40" s="1" t="str">
        <v>Eggs</v>
      </c>
      <c r="AB40" s="1" t="str">
        <v>Groceries</v>
      </c>
      <c r="AC40" s="1">
        <v>2162.52</v>
      </c>
      <c r="AD40" s="1" t="str">
        <v>Margaret Wilson</v>
      </c>
      <c r="AE40" s="1">
        <v>37141</v>
      </c>
      <c r="AF40" s="1">
        <v>44437</v>
      </c>
      <c r="AG40" s="1">
        <v>37.590000000000003</v>
      </c>
      <c r="AH40" s="1">
        <v>812.89126799999997</v>
      </c>
      <c r="AI40" s="1">
        <v>1349.6287320000001</v>
      </c>
    </row>
    <row r="41" spans="1:35" x14ac:dyDescent="0.35">
      <c r="A41" s="1">
        <v>1039</v>
      </c>
      <c r="B41" s="2">
        <v>44521</v>
      </c>
      <c r="C41" s="1" t="s">
        <v>35</v>
      </c>
      <c r="D41" s="1" t="s">
        <v>58</v>
      </c>
      <c r="E41" s="1" t="s">
        <v>31</v>
      </c>
      <c r="F41" s="1">
        <v>2471.8000000000002</v>
      </c>
      <c r="G41" s="1" t="s">
        <v>80</v>
      </c>
      <c r="H41" s="2">
        <v>31578</v>
      </c>
      <c r="I41" s="2">
        <v>44522</v>
      </c>
      <c r="J41" s="1">
        <v>29.86</v>
      </c>
      <c r="K41" s="1">
        <f t="shared" si="0"/>
        <v>738.07947999999999</v>
      </c>
      <c r="L41" s="1">
        <f t="shared" si="1"/>
        <v>1733.7205200000003</v>
      </c>
      <c r="N41" s="1" t="s">
        <v>33</v>
      </c>
      <c r="O41" s="1">
        <f t="shared" si="4"/>
        <v>6</v>
      </c>
      <c r="P41" s="1">
        <f t="shared" si="4"/>
        <v>12</v>
      </c>
      <c r="Q41" s="1">
        <f t="shared" si="4"/>
        <v>11</v>
      </c>
      <c r="R41" s="1">
        <f t="shared" si="4"/>
        <v>12</v>
      </c>
      <c r="S41" s="1">
        <f t="shared" si="4"/>
        <v>8</v>
      </c>
      <c r="U41">
        <v>1508.7123940000001</v>
      </c>
      <c r="X41" s="1">
        <v>1049</v>
      </c>
      <c r="Y41" s="2">
        <v>44339</v>
      </c>
      <c r="Z41" s="1" t="str">
        <v>North</v>
      </c>
      <c r="AA41" s="1" t="str">
        <v>Camera</v>
      </c>
      <c r="AB41" s="1" t="str">
        <v>Electronics</v>
      </c>
      <c r="AC41" s="1">
        <v>2194.81</v>
      </c>
      <c r="AD41" s="1" t="str">
        <v>Troy Kelley</v>
      </c>
      <c r="AE41" s="1">
        <v>29348</v>
      </c>
      <c r="AF41" s="1">
        <v>44343</v>
      </c>
      <c r="AG41" s="1">
        <v>31.26</v>
      </c>
      <c r="AH41" s="1">
        <v>686.09760599999993</v>
      </c>
      <c r="AI41" s="1">
        <v>1508.7123940000001</v>
      </c>
    </row>
    <row r="42" spans="1:35" x14ac:dyDescent="0.35">
      <c r="A42" s="1">
        <v>1040</v>
      </c>
      <c r="B42" s="2">
        <v>45056</v>
      </c>
      <c r="C42" s="1" t="s">
        <v>10</v>
      </c>
      <c r="D42" s="1" t="s">
        <v>24</v>
      </c>
      <c r="E42" s="1" t="s">
        <v>19</v>
      </c>
      <c r="F42" s="1">
        <v>2421.06</v>
      </c>
      <c r="G42" s="1" t="s">
        <v>81</v>
      </c>
      <c r="H42" s="2">
        <v>38350</v>
      </c>
      <c r="I42" s="2">
        <v>45069</v>
      </c>
      <c r="J42" s="1">
        <v>41.86</v>
      </c>
      <c r="K42" s="1">
        <f t="shared" si="0"/>
        <v>1013.4557159999999</v>
      </c>
      <c r="L42" s="1">
        <f t="shared" si="1"/>
        <v>1407.604284</v>
      </c>
      <c r="N42" s="1" t="s">
        <v>36</v>
      </c>
      <c r="O42" s="1">
        <f t="shared" si="4"/>
        <v>6</v>
      </c>
      <c r="P42" s="1">
        <f t="shared" si="4"/>
        <v>11</v>
      </c>
      <c r="Q42" s="1">
        <f t="shared" si="4"/>
        <v>7</v>
      </c>
      <c r="R42" s="1">
        <f t="shared" si="4"/>
        <v>5</v>
      </c>
      <c r="S42" s="1">
        <f t="shared" si="4"/>
        <v>10</v>
      </c>
      <c r="U42">
        <v>2915.4841560000004</v>
      </c>
      <c r="X42" s="1">
        <v>1050</v>
      </c>
      <c r="Y42" s="2">
        <v>45450</v>
      </c>
      <c r="Z42" s="1" t="str">
        <v>Central</v>
      </c>
      <c r="AA42" s="1" t="str">
        <v>Laptop</v>
      </c>
      <c r="AB42" s="1" t="str">
        <v>Electronics</v>
      </c>
      <c r="AC42" s="1">
        <v>4255.5600000000004</v>
      </c>
      <c r="AD42" s="1" t="str">
        <v>Jenna Campbell</v>
      </c>
      <c r="AE42" s="1">
        <v>34220</v>
      </c>
      <c r="AF42" s="1">
        <v>45452</v>
      </c>
      <c r="AG42" s="1">
        <v>31.49</v>
      </c>
      <c r="AH42" s="1">
        <v>1340.075844</v>
      </c>
      <c r="AI42" s="1">
        <v>2915.4841560000004</v>
      </c>
    </row>
    <row r="43" spans="1:35" x14ac:dyDescent="0.35">
      <c r="A43" s="1">
        <v>1041</v>
      </c>
      <c r="B43" s="2">
        <v>44876</v>
      </c>
      <c r="C43" s="1" t="s">
        <v>26</v>
      </c>
      <c r="D43" s="1" t="s">
        <v>18</v>
      </c>
      <c r="E43" s="1" t="s">
        <v>19</v>
      </c>
      <c r="F43" s="1">
        <v>2755.69</v>
      </c>
      <c r="G43" s="1" t="s">
        <v>82</v>
      </c>
      <c r="H43" s="2">
        <v>38879</v>
      </c>
      <c r="I43" s="2">
        <v>44881</v>
      </c>
      <c r="J43" s="1">
        <v>8.0500000000000007</v>
      </c>
      <c r="K43" s="1">
        <f t="shared" si="0"/>
        <v>221.833045</v>
      </c>
      <c r="L43" s="1">
        <f t="shared" si="1"/>
        <v>2533.8569550000002</v>
      </c>
      <c r="N43" s="1" t="s">
        <v>38</v>
      </c>
      <c r="O43" s="1">
        <f t="shared" si="4"/>
        <v>9</v>
      </c>
      <c r="P43" s="1">
        <f t="shared" si="4"/>
        <v>5</v>
      </c>
      <c r="Q43" s="1">
        <f t="shared" si="4"/>
        <v>11</v>
      </c>
      <c r="R43" s="1">
        <f t="shared" si="4"/>
        <v>9</v>
      </c>
      <c r="S43" s="1">
        <f t="shared" si="4"/>
        <v>10</v>
      </c>
      <c r="U43">
        <v>3003.00812</v>
      </c>
      <c r="X43" s="1">
        <v>1051</v>
      </c>
      <c r="Y43" s="2">
        <v>44296</v>
      </c>
      <c r="Z43" s="1" t="str">
        <v>Central</v>
      </c>
      <c r="AA43" s="1" t="str">
        <v>Shoes</v>
      </c>
      <c r="AB43" s="1" t="str">
        <v>Sports</v>
      </c>
      <c r="AC43" s="1">
        <v>3921.4</v>
      </c>
      <c r="AD43" s="1" t="str">
        <v>Regina Lopez</v>
      </c>
      <c r="AE43" s="1">
        <v>24544</v>
      </c>
      <c r="AF43" s="1">
        <v>44304</v>
      </c>
      <c r="AG43" s="1">
        <v>23.42</v>
      </c>
      <c r="AH43" s="1">
        <v>918.39188000000013</v>
      </c>
      <c r="AI43" s="1">
        <v>3003.00812</v>
      </c>
    </row>
    <row r="44" spans="1:35" x14ac:dyDescent="0.35">
      <c r="A44" s="1">
        <v>1042</v>
      </c>
      <c r="B44" s="2">
        <v>44218</v>
      </c>
      <c r="C44" s="1" t="s">
        <v>35</v>
      </c>
      <c r="D44" s="1" t="s">
        <v>65</v>
      </c>
      <c r="E44" s="1" t="s">
        <v>19</v>
      </c>
      <c r="F44" s="1">
        <v>2810.19</v>
      </c>
      <c r="G44" s="1" t="s">
        <v>83</v>
      </c>
      <c r="H44" s="2">
        <v>24673</v>
      </c>
      <c r="I44" s="2">
        <v>44225</v>
      </c>
      <c r="J44" s="1">
        <v>22.77</v>
      </c>
      <c r="K44" s="1">
        <f t="shared" si="0"/>
        <v>639.88026300000001</v>
      </c>
      <c r="L44" s="1">
        <f t="shared" si="1"/>
        <v>2170.309737</v>
      </c>
      <c r="N44" s="1" t="s">
        <v>40</v>
      </c>
      <c r="O44" s="1">
        <f t="shared" ref="O44:S57" si="5">COUNTIFS($D$2:$D$1001,$N44,$C$2:$C$1001,O$33)</f>
        <v>10</v>
      </c>
      <c r="P44" s="1">
        <f t="shared" si="5"/>
        <v>7</v>
      </c>
      <c r="Q44" s="1">
        <f t="shared" si="5"/>
        <v>12</v>
      </c>
      <c r="R44" s="1">
        <f t="shared" si="5"/>
        <v>7</v>
      </c>
      <c r="S44" s="1">
        <f t="shared" si="5"/>
        <v>4</v>
      </c>
      <c r="U44">
        <v>4122.5946320000003</v>
      </c>
      <c r="X44" s="1">
        <v>1052</v>
      </c>
      <c r="Y44" s="2">
        <v>44954</v>
      </c>
      <c r="Z44" s="1" t="str">
        <v>Central</v>
      </c>
      <c r="AA44" s="1" t="str">
        <v>Smartphone</v>
      </c>
      <c r="AB44" s="1" t="str">
        <v>Electronics</v>
      </c>
      <c r="AC44" s="1">
        <v>4847.83</v>
      </c>
      <c r="AD44" s="1" t="str">
        <v>Alicia Campbell</v>
      </c>
      <c r="AE44" s="1">
        <v>33984</v>
      </c>
      <c r="AF44" s="1">
        <v>44960</v>
      </c>
      <c r="AG44" s="1">
        <v>14.96</v>
      </c>
      <c r="AH44" s="1">
        <v>725.23536799999999</v>
      </c>
      <c r="AI44" s="1">
        <v>4122.5946320000003</v>
      </c>
    </row>
    <row r="45" spans="1:35" x14ac:dyDescent="0.35">
      <c r="A45" s="1">
        <v>1043</v>
      </c>
      <c r="B45" s="2">
        <v>45566</v>
      </c>
      <c r="C45" s="1" t="s">
        <v>21</v>
      </c>
      <c r="D45" s="1" t="s">
        <v>71</v>
      </c>
      <c r="E45" s="1" t="s">
        <v>31</v>
      </c>
      <c r="F45" s="1">
        <v>2567.7399999999998</v>
      </c>
      <c r="G45" s="1" t="s">
        <v>84</v>
      </c>
      <c r="H45" s="2">
        <v>26472</v>
      </c>
      <c r="I45" s="2">
        <v>45578</v>
      </c>
      <c r="J45" s="1">
        <v>43.1</v>
      </c>
      <c r="K45" s="1">
        <f t="shared" si="0"/>
        <v>1106.6959399999998</v>
      </c>
      <c r="L45" s="1">
        <f t="shared" si="1"/>
        <v>1461.0440599999999</v>
      </c>
      <c r="N45" s="1" t="s">
        <v>44</v>
      </c>
      <c r="O45" s="1">
        <f t="shared" si="5"/>
        <v>8</v>
      </c>
      <c r="P45" s="1">
        <f t="shared" si="5"/>
        <v>10</v>
      </c>
      <c r="Q45" s="1">
        <f t="shared" si="5"/>
        <v>8</v>
      </c>
      <c r="R45" s="1">
        <f t="shared" si="5"/>
        <v>11</v>
      </c>
      <c r="S45" s="1">
        <f t="shared" si="5"/>
        <v>10</v>
      </c>
      <c r="U45">
        <v>1588.0572790000001</v>
      </c>
      <c r="X45" s="1">
        <v>1053</v>
      </c>
      <c r="Y45" s="2">
        <v>45512</v>
      </c>
      <c r="Z45" s="1" t="str">
        <v>North</v>
      </c>
      <c r="AA45" s="1" t="str">
        <v>Tablet</v>
      </c>
      <c r="AB45" s="1" t="str">
        <v>Electronics</v>
      </c>
      <c r="AC45" s="1">
        <v>1731.23</v>
      </c>
      <c r="AD45" s="1" t="str">
        <v>Angela Mooney</v>
      </c>
      <c r="AE45" s="1">
        <v>25516</v>
      </c>
      <c r="AF45" s="1">
        <v>45516</v>
      </c>
      <c r="AG45" s="1">
        <v>8.27</v>
      </c>
      <c r="AH45" s="1">
        <v>143.172721</v>
      </c>
      <c r="AI45" s="1">
        <v>1588.0572790000001</v>
      </c>
    </row>
    <row r="46" spans="1:35" x14ac:dyDescent="0.35">
      <c r="A46" s="1">
        <v>1044</v>
      </c>
      <c r="B46" s="2">
        <v>45605</v>
      </c>
      <c r="C46" s="1" t="s">
        <v>26</v>
      </c>
      <c r="D46" s="1" t="s">
        <v>44</v>
      </c>
      <c r="E46" s="1" t="s">
        <v>16</v>
      </c>
      <c r="F46" s="1">
        <v>1716.51</v>
      </c>
      <c r="G46" s="1" t="s">
        <v>67</v>
      </c>
      <c r="H46" s="2">
        <v>34016</v>
      </c>
      <c r="I46" s="2">
        <v>45619</v>
      </c>
      <c r="J46" s="1">
        <v>4.53</v>
      </c>
      <c r="K46" s="1">
        <f t="shared" si="0"/>
        <v>77.757902999999999</v>
      </c>
      <c r="L46" s="1">
        <f t="shared" si="1"/>
        <v>1638.752097</v>
      </c>
      <c r="N46" s="1" t="s">
        <v>47</v>
      </c>
      <c r="O46" s="1">
        <f t="shared" si="5"/>
        <v>10</v>
      </c>
      <c r="P46" s="1">
        <f t="shared" si="5"/>
        <v>13</v>
      </c>
      <c r="Q46" s="1">
        <f t="shared" si="5"/>
        <v>1</v>
      </c>
      <c r="R46" s="1">
        <f t="shared" si="5"/>
        <v>10</v>
      </c>
      <c r="S46" s="1">
        <f t="shared" si="5"/>
        <v>5</v>
      </c>
      <c r="U46">
        <v>1268.7637089999998</v>
      </c>
      <c r="X46" s="1">
        <v>1054</v>
      </c>
      <c r="Y46" s="2">
        <v>45579</v>
      </c>
      <c r="Z46" s="1" t="str">
        <v>West</v>
      </c>
      <c r="AA46" s="1" t="str">
        <v>Milk</v>
      </c>
      <c r="AB46" s="1" t="str">
        <v>Groceries</v>
      </c>
      <c r="AC46" s="1">
        <v>1414.61</v>
      </c>
      <c r="AD46" s="1" t="str">
        <v>Joe Rivera</v>
      </c>
      <c r="AE46" s="1">
        <v>25821</v>
      </c>
      <c r="AF46" s="1">
        <v>45580</v>
      </c>
      <c r="AG46" s="1">
        <v>10.31</v>
      </c>
      <c r="AH46" s="1">
        <v>145.84629100000001</v>
      </c>
      <c r="AI46" s="1">
        <v>1268.7637089999998</v>
      </c>
    </row>
    <row r="47" spans="1:35" x14ac:dyDescent="0.35">
      <c r="A47" s="1">
        <v>1045</v>
      </c>
      <c r="B47" s="2">
        <v>44129</v>
      </c>
      <c r="C47" s="1" t="s">
        <v>10</v>
      </c>
      <c r="D47" s="1" t="s">
        <v>44</v>
      </c>
      <c r="E47" s="1" t="s">
        <v>16</v>
      </c>
      <c r="F47" s="1">
        <v>2117.04</v>
      </c>
      <c r="G47" s="1" t="s">
        <v>85</v>
      </c>
      <c r="H47" s="2">
        <v>37236</v>
      </c>
      <c r="I47" s="2">
        <v>44138</v>
      </c>
      <c r="J47" s="1">
        <v>44.1</v>
      </c>
      <c r="K47" s="1">
        <f t="shared" si="0"/>
        <v>933.61464000000001</v>
      </c>
      <c r="L47" s="1">
        <f t="shared" si="1"/>
        <v>1183.42536</v>
      </c>
      <c r="N47" s="1" t="s">
        <v>49</v>
      </c>
      <c r="O47" s="1">
        <f t="shared" si="5"/>
        <v>5</v>
      </c>
      <c r="P47" s="1">
        <f t="shared" si="5"/>
        <v>7</v>
      </c>
      <c r="Q47" s="1">
        <f t="shared" si="5"/>
        <v>12</v>
      </c>
      <c r="R47" s="1">
        <f t="shared" si="5"/>
        <v>13</v>
      </c>
      <c r="S47" s="1">
        <f t="shared" si="5"/>
        <v>8</v>
      </c>
      <c r="U47">
        <v>1703.4249759999998</v>
      </c>
      <c r="X47" s="1">
        <v>1055</v>
      </c>
      <c r="Y47" s="2">
        <v>45293</v>
      </c>
      <c r="Z47" s="1" t="str">
        <v>Central</v>
      </c>
      <c r="AA47" s="1" t="str">
        <v>Bed</v>
      </c>
      <c r="AB47" s="1" t="str">
        <v>Furniture</v>
      </c>
      <c r="AC47" s="1">
        <v>2130.08</v>
      </c>
      <c r="AD47" s="1" t="str">
        <v>Andrea Mendez</v>
      </c>
      <c r="AE47" s="1">
        <v>36236</v>
      </c>
      <c r="AF47" s="1">
        <v>45298</v>
      </c>
      <c r="AG47" s="1">
        <v>20.03</v>
      </c>
      <c r="AH47" s="1">
        <v>426.65502400000003</v>
      </c>
      <c r="AI47" s="1">
        <v>1703.4249759999998</v>
      </c>
    </row>
    <row r="48" spans="1:35" x14ac:dyDescent="0.35">
      <c r="A48" s="1">
        <v>1046</v>
      </c>
      <c r="B48" s="2">
        <v>45878</v>
      </c>
      <c r="C48" s="1" t="s">
        <v>14</v>
      </c>
      <c r="D48" s="1" t="s">
        <v>55</v>
      </c>
      <c r="E48" s="1" t="s">
        <v>31</v>
      </c>
      <c r="F48" s="1">
        <v>4425.8100000000004</v>
      </c>
      <c r="G48" s="1" t="s">
        <v>86</v>
      </c>
      <c r="H48" s="2">
        <v>37858</v>
      </c>
      <c r="I48" s="2">
        <v>45886</v>
      </c>
      <c r="J48" s="1">
        <v>25.08</v>
      </c>
      <c r="K48" s="1">
        <f t="shared" si="0"/>
        <v>1109.993148</v>
      </c>
      <c r="L48" s="1">
        <f t="shared" si="1"/>
        <v>3315.8168520000004</v>
      </c>
      <c r="N48" s="1" t="s">
        <v>53</v>
      </c>
      <c r="O48" s="1">
        <f t="shared" si="5"/>
        <v>8</v>
      </c>
      <c r="P48" s="1">
        <f t="shared" si="5"/>
        <v>8</v>
      </c>
      <c r="Q48" s="1">
        <f t="shared" si="5"/>
        <v>12</v>
      </c>
      <c r="R48" s="1">
        <f t="shared" si="5"/>
        <v>9</v>
      </c>
      <c r="S48" s="1">
        <f t="shared" si="5"/>
        <v>9</v>
      </c>
      <c r="U48">
        <v>2568.3292929999998</v>
      </c>
      <c r="X48" s="1">
        <v>1056</v>
      </c>
      <c r="Y48" s="2">
        <v>44987</v>
      </c>
      <c r="Z48" s="1" t="str">
        <v>West</v>
      </c>
      <c r="AA48" s="1" t="str">
        <v>Rice</v>
      </c>
      <c r="AB48" s="1" t="str">
        <v>Groceries</v>
      </c>
      <c r="AC48" s="1">
        <v>3373.61</v>
      </c>
      <c r="AD48" s="1" t="str">
        <v>Joseph Vaughan</v>
      </c>
      <c r="AE48" s="1">
        <v>24706</v>
      </c>
      <c r="AF48" s="1">
        <v>45000</v>
      </c>
      <c r="AG48" s="1">
        <v>23.87</v>
      </c>
      <c r="AH48" s="1">
        <v>805.28070700000012</v>
      </c>
      <c r="AI48" s="1">
        <v>2568.3292929999998</v>
      </c>
    </row>
    <row r="49" spans="1:35" x14ac:dyDescent="0.35">
      <c r="A49" s="1">
        <v>1047</v>
      </c>
      <c r="B49" s="2">
        <v>45337</v>
      </c>
      <c r="C49" s="1" t="s">
        <v>26</v>
      </c>
      <c r="D49" s="1" t="s">
        <v>18</v>
      </c>
      <c r="E49" s="1" t="s">
        <v>19</v>
      </c>
      <c r="F49" s="1">
        <v>1443.45</v>
      </c>
      <c r="G49" s="1" t="s">
        <v>87</v>
      </c>
      <c r="H49" s="2">
        <v>36012</v>
      </c>
      <c r="I49" s="2">
        <v>45338</v>
      </c>
      <c r="J49" s="1">
        <v>34.08</v>
      </c>
      <c r="K49" s="1">
        <f t="shared" si="0"/>
        <v>491.92775999999998</v>
      </c>
      <c r="L49" s="1">
        <f t="shared" si="1"/>
        <v>951.52224000000001</v>
      </c>
      <c r="N49" s="1" t="s">
        <v>55</v>
      </c>
      <c r="O49" s="1">
        <f t="shared" si="5"/>
        <v>5</v>
      </c>
      <c r="P49" s="1">
        <f t="shared" si="5"/>
        <v>11</v>
      </c>
      <c r="Q49" s="1">
        <f t="shared" si="5"/>
        <v>7</v>
      </c>
      <c r="R49" s="1">
        <f t="shared" si="5"/>
        <v>8</v>
      </c>
      <c r="S49" s="1">
        <f t="shared" si="5"/>
        <v>7</v>
      </c>
      <c r="U49">
        <v>1990.6563149999999</v>
      </c>
      <c r="X49" s="1">
        <v>1057</v>
      </c>
      <c r="Y49" s="2">
        <v>44784</v>
      </c>
      <c r="Z49" s="1" t="str">
        <v>Central</v>
      </c>
      <c r="AA49" s="1" t="str">
        <v>Chair</v>
      </c>
      <c r="AB49" s="1" t="str">
        <v>Furniture</v>
      </c>
      <c r="AC49" s="1">
        <v>2471.33</v>
      </c>
      <c r="AD49" s="1" t="str">
        <v>Wesley Olson</v>
      </c>
      <c r="AE49" s="1">
        <v>27166</v>
      </c>
      <c r="AF49" s="1">
        <v>44788</v>
      </c>
      <c r="AG49" s="1">
        <v>19.45</v>
      </c>
      <c r="AH49" s="1">
        <v>480.67368499999998</v>
      </c>
      <c r="AI49" s="1">
        <v>1990.6563149999999</v>
      </c>
    </row>
    <row r="50" spans="1:35" x14ac:dyDescent="0.35">
      <c r="A50" s="1">
        <v>1048</v>
      </c>
      <c r="B50" s="2">
        <v>44436</v>
      </c>
      <c r="C50" s="1" t="s">
        <v>21</v>
      </c>
      <c r="D50" s="1" t="s">
        <v>88</v>
      </c>
      <c r="E50" s="1" t="s">
        <v>16</v>
      </c>
      <c r="F50" s="1">
        <v>2162.52</v>
      </c>
      <c r="G50" s="1" t="s">
        <v>89</v>
      </c>
      <c r="H50" s="2">
        <v>37141</v>
      </c>
      <c r="I50" s="2">
        <v>44437</v>
      </c>
      <c r="J50" s="1">
        <v>37.590000000000003</v>
      </c>
      <c r="K50" s="1">
        <f t="shared" si="0"/>
        <v>812.89126799999997</v>
      </c>
      <c r="L50" s="1">
        <f t="shared" si="1"/>
        <v>1349.6287320000001</v>
      </c>
      <c r="N50" s="1" t="s">
        <v>58</v>
      </c>
      <c r="O50" s="1">
        <f t="shared" si="5"/>
        <v>9</v>
      </c>
      <c r="P50" s="1">
        <f t="shared" si="5"/>
        <v>3</v>
      </c>
      <c r="Q50" s="1">
        <f t="shared" si="5"/>
        <v>11</v>
      </c>
      <c r="R50" s="1">
        <f t="shared" si="5"/>
        <v>7</v>
      </c>
      <c r="S50" s="1">
        <f t="shared" si="5"/>
        <v>12</v>
      </c>
      <c r="U50">
        <v>2826.6456720000001</v>
      </c>
      <c r="X50" s="1">
        <v>1058</v>
      </c>
      <c r="Y50" s="2">
        <v>44862</v>
      </c>
      <c r="Z50" s="1" t="str">
        <v>South</v>
      </c>
      <c r="AA50" s="1" t="str">
        <v>Chair</v>
      </c>
      <c r="AB50" s="1" t="str">
        <v>Furniture</v>
      </c>
      <c r="AC50" s="1">
        <v>2895.56</v>
      </c>
      <c r="AD50" s="1" t="str">
        <v>Suzanne Brooks</v>
      </c>
      <c r="AE50" s="1">
        <v>38134</v>
      </c>
      <c r="AF50" s="1">
        <v>44870</v>
      </c>
      <c r="AG50" s="1">
        <v>2.38</v>
      </c>
      <c r="AH50" s="1">
        <v>68.914327999999998</v>
      </c>
      <c r="AI50" s="1">
        <v>2826.6456720000001</v>
      </c>
    </row>
    <row r="51" spans="1:35" x14ac:dyDescent="0.35">
      <c r="A51" s="1">
        <v>1049</v>
      </c>
      <c r="B51" s="2">
        <v>44339</v>
      </c>
      <c r="C51" s="1" t="s">
        <v>14</v>
      </c>
      <c r="D51" s="1" t="s">
        <v>24</v>
      </c>
      <c r="E51" s="1" t="s">
        <v>19</v>
      </c>
      <c r="F51" s="1">
        <v>2194.81</v>
      </c>
      <c r="G51" s="1" t="s">
        <v>90</v>
      </c>
      <c r="H51" s="2">
        <v>29348</v>
      </c>
      <c r="I51" s="2">
        <v>44343</v>
      </c>
      <c r="J51" s="1">
        <v>31.26</v>
      </c>
      <c r="K51" s="1">
        <f t="shared" si="0"/>
        <v>686.09760599999993</v>
      </c>
      <c r="L51" s="1">
        <f t="shared" si="1"/>
        <v>1508.7123940000001</v>
      </c>
      <c r="N51" s="1" t="s">
        <v>61</v>
      </c>
      <c r="O51" s="1">
        <f t="shared" si="5"/>
        <v>4</v>
      </c>
      <c r="P51" s="1">
        <f t="shared" si="5"/>
        <v>9</v>
      </c>
      <c r="Q51" s="1">
        <f t="shared" si="5"/>
        <v>8</v>
      </c>
      <c r="R51" s="1">
        <f t="shared" si="5"/>
        <v>9</v>
      </c>
      <c r="S51" s="1">
        <f t="shared" si="5"/>
        <v>8</v>
      </c>
      <c r="U51">
        <v>1247.0470749999999</v>
      </c>
      <c r="X51" s="1">
        <v>1060</v>
      </c>
      <c r="Y51" s="2">
        <v>44494</v>
      </c>
      <c r="Z51" s="1" t="str">
        <v>West</v>
      </c>
      <c r="AA51" s="1" t="str">
        <v>Basketball</v>
      </c>
      <c r="AB51" s="1" t="str">
        <v>Sports</v>
      </c>
      <c r="AC51" s="1">
        <v>2174.4499999999998</v>
      </c>
      <c r="AD51" s="1" t="str">
        <v>Dustin Cooley</v>
      </c>
      <c r="AE51" s="1">
        <v>26397</v>
      </c>
      <c r="AF51" s="1">
        <v>44501</v>
      </c>
      <c r="AG51" s="1">
        <v>42.65</v>
      </c>
      <c r="AH51" s="1">
        <v>927.40292499999987</v>
      </c>
      <c r="AI51" s="1">
        <v>1247.0470749999999</v>
      </c>
    </row>
    <row r="52" spans="1:35" x14ac:dyDescent="0.35">
      <c r="A52" s="1">
        <v>1050</v>
      </c>
      <c r="B52" s="2">
        <v>45450</v>
      </c>
      <c r="C52" s="1" t="s">
        <v>35</v>
      </c>
      <c r="D52" s="1" t="s">
        <v>61</v>
      </c>
      <c r="E52" s="1" t="s">
        <v>19</v>
      </c>
      <c r="F52" s="1">
        <v>4255.5600000000004</v>
      </c>
      <c r="G52" s="1" t="s">
        <v>91</v>
      </c>
      <c r="H52" s="2">
        <v>34220</v>
      </c>
      <c r="I52" s="2">
        <v>45452</v>
      </c>
      <c r="J52" s="1">
        <v>31.49</v>
      </c>
      <c r="K52" s="1">
        <f t="shared" si="0"/>
        <v>1340.075844</v>
      </c>
      <c r="L52" s="1">
        <f t="shared" si="1"/>
        <v>2915.4841560000004</v>
      </c>
      <c r="N52" s="1" t="s">
        <v>65</v>
      </c>
      <c r="O52" s="1">
        <f t="shared" si="5"/>
        <v>9</v>
      </c>
      <c r="P52" s="1">
        <f t="shared" si="5"/>
        <v>9</v>
      </c>
      <c r="Q52" s="1">
        <f t="shared" si="5"/>
        <v>6</v>
      </c>
      <c r="R52" s="1">
        <f t="shared" si="5"/>
        <v>7</v>
      </c>
      <c r="S52" s="1">
        <f t="shared" si="5"/>
        <v>8</v>
      </c>
      <c r="U52">
        <v>2342.9178160000001</v>
      </c>
      <c r="X52" s="1">
        <v>1061</v>
      </c>
      <c r="Y52" s="2">
        <v>45886</v>
      </c>
      <c r="Z52" s="1" t="str">
        <v>North</v>
      </c>
      <c r="AA52" s="1" t="str">
        <v>Cap</v>
      </c>
      <c r="AB52" s="1" t="str">
        <v>Clothing</v>
      </c>
      <c r="AC52" s="1">
        <v>2919.16</v>
      </c>
      <c r="AD52" s="1" t="str">
        <v>Jaime Haynes</v>
      </c>
      <c r="AE52" s="1">
        <v>22100</v>
      </c>
      <c r="AF52" s="1">
        <v>45892</v>
      </c>
      <c r="AG52" s="1">
        <v>19.739999999999998</v>
      </c>
      <c r="AH52" s="1">
        <v>576.24218399999995</v>
      </c>
      <c r="AI52" s="1">
        <v>2342.9178160000001</v>
      </c>
    </row>
    <row r="53" spans="1:35" x14ac:dyDescent="0.35">
      <c r="A53" s="1">
        <v>1051</v>
      </c>
      <c r="B53" s="2">
        <v>44296</v>
      </c>
      <c r="C53" s="1" t="s">
        <v>35</v>
      </c>
      <c r="D53" s="1" t="s">
        <v>69</v>
      </c>
      <c r="E53" s="1" t="s">
        <v>12</v>
      </c>
      <c r="F53" s="1">
        <v>3921.4</v>
      </c>
      <c r="G53" s="1" t="s">
        <v>92</v>
      </c>
      <c r="H53" s="2">
        <v>24544</v>
      </c>
      <c r="I53" s="2">
        <v>44304</v>
      </c>
      <c r="J53" s="1">
        <v>23.42</v>
      </c>
      <c r="K53" s="1">
        <f t="shared" si="0"/>
        <v>918.39188000000013</v>
      </c>
      <c r="L53" s="1">
        <f t="shared" si="1"/>
        <v>3003.00812</v>
      </c>
      <c r="N53" s="1" t="s">
        <v>69</v>
      </c>
      <c r="O53" s="1">
        <f t="shared" si="5"/>
        <v>11</v>
      </c>
      <c r="P53" s="1">
        <f t="shared" si="5"/>
        <v>15</v>
      </c>
      <c r="Q53" s="1">
        <f t="shared" si="5"/>
        <v>15</v>
      </c>
      <c r="R53" s="1">
        <f t="shared" si="5"/>
        <v>9</v>
      </c>
      <c r="S53" s="1">
        <f t="shared" si="5"/>
        <v>15</v>
      </c>
      <c r="U53">
        <v>4718.7504689999996</v>
      </c>
      <c r="X53" s="1">
        <v>1062</v>
      </c>
      <c r="Y53" s="2">
        <v>45749</v>
      </c>
      <c r="Z53" s="1" t="str">
        <v>West</v>
      </c>
      <c r="AA53" s="1" t="str">
        <v>Oil</v>
      </c>
      <c r="AB53" s="1" t="str">
        <v>Groceries</v>
      </c>
      <c r="AC53" s="1">
        <v>4834.29</v>
      </c>
      <c r="AD53" s="1" t="str">
        <v>Karla Garcia</v>
      </c>
      <c r="AE53" s="1">
        <v>31331</v>
      </c>
      <c r="AF53" s="1">
        <v>45759</v>
      </c>
      <c r="AG53" s="1">
        <v>2.39</v>
      </c>
      <c r="AH53" s="1">
        <v>115.53953100000001</v>
      </c>
      <c r="AI53" s="1">
        <v>4718.7504689999996</v>
      </c>
    </row>
    <row r="54" spans="1:35" x14ac:dyDescent="0.35">
      <c r="A54" s="1">
        <v>1052</v>
      </c>
      <c r="B54" s="2">
        <v>44954</v>
      </c>
      <c r="C54" s="1" t="s">
        <v>35</v>
      </c>
      <c r="D54" s="1" t="s">
        <v>65</v>
      </c>
      <c r="E54" s="1" t="s">
        <v>19</v>
      </c>
      <c r="F54" s="1">
        <v>4847.83</v>
      </c>
      <c r="G54" s="1" t="s">
        <v>93</v>
      </c>
      <c r="H54" s="2">
        <v>33984</v>
      </c>
      <c r="I54" s="2">
        <v>44960</v>
      </c>
      <c r="J54" s="1">
        <v>14.96</v>
      </c>
      <c r="K54" s="1">
        <f t="shared" si="0"/>
        <v>725.23536799999999</v>
      </c>
      <c r="L54" s="1">
        <f t="shared" si="1"/>
        <v>4122.5946320000003</v>
      </c>
      <c r="N54" s="1" t="s">
        <v>71</v>
      </c>
      <c r="O54" s="1">
        <f t="shared" si="5"/>
        <v>5</v>
      </c>
      <c r="P54" s="1">
        <f t="shared" si="5"/>
        <v>4</v>
      </c>
      <c r="Q54" s="1">
        <f t="shared" si="5"/>
        <v>9</v>
      </c>
      <c r="R54" s="1">
        <f t="shared" si="5"/>
        <v>5</v>
      </c>
      <c r="S54" s="1">
        <f t="shared" si="5"/>
        <v>9</v>
      </c>
      <c r="U54">
        <v>2219.7029130000001</v>
      </c>
      <c r="X54" s="1">
        <v>1065</v>
      </c>
      <c r="Y54" s="2">
        <v>45418</v>
      </c>
      <c r="Z54" s="1" t="str">
        <v>East</v>
      </c>
      <c r="AA54" s="1" t="str">
        <v>Cap</v>
      </c>
      <c r="AB54" s="1" t="str">
        <v>Clothing</v>
      </c>
      <c r="AC54" s="1">
        <v>3284.07</v>
      </c>
      <c r="AD54" s="1" t="str">
        <v>Laura Sanchez</v>
      </c>
      <c r="AE54" s="1">
        <v>30923</v>
      </c>
      <c r="AF54" s="1">
        <v>45425</v>
      </c>
      <c r="AG54" s="1">
        <v>32.409999999999997</v>
      </c>
      <c r="AH54" s="1">
        <v>1064.3670869999999</v>
      </c>
      <c r="AI54" s="1">
        <v>2219.7029130000001</v>
      </c>
    </row>
    <row r="55" spans="1:35" x14ac:dyDescent="0.35">
      <c r="A55" s="1">
        <v>1053</v>
      </c>
      <c r="B55" s="2">
        <v>45512</v>
      </c>
      <c r="C55" s="1" t="s">
        <v>14</v>
      </c>
      <c r="D55" s="1" t="s">
        <v>18</v>
      </c>
      <c r="E55" s="1" t="s">
        <v>19</v>
      </c>
      <c r="F55" s="1">
        <v>1731.23</v>
      </c>
      <c r="G55" s="1" t="s">
        <v>94</v>
      </c>
      <c r="H55" s="2">
        <v>25516</v>
      </c>
      <c r="I55" s="2">
        <v>45516</v>
      </c>
      <c r="J55" s="1">
        <v>8.27</v>
      </c>
      <c r="K55" s="1">
        <f t="shared" si="0"/>
        <v>143.172721</v>
      </c>
      <c r="L55" s="1">
        <f t="shared" si="1"/>
        <v>1588.0572790000001</v>
      </c>
      <c r="N55" s="1" t="s">
        <v>73</v>
      </c>
      <c r="O55" s="1">
        <f t="shared" si="5"/>
        <v>7</v>
      </c>
      <c r="P55" s="1">
        <f t="shared" si="5"/>
        <v>8</v>
      </c>
      <c r="Q55" s="1">
        <f t="shared" si="5"/>
        <v>6</v>
      </c>
      <c r="R55" s="1">
        <f t="shared" si="5"/>
        <v>8</v>
      </c>
      <c r="S55" s="1">
        <f t="shared" si="5"/>
        <v>14</v>
      </c>
      <c r="U55">
        <v>2555.3314019999998</v>
      </c>
      <c r="X55" s="1">
        <v>1066</v>
      </c>
      <c r="Y55" s="2">
        <v>44121</v>
      </c>
      <c r="Z55" s="1" t="str">
        <v>North</v>
      </c>
      <c r="AA55" s="1" t="str">
        <v>Jeans</v>
      </c>
      <c r="AB55" s="1" t="str">
        <v>Clothing</v>
      </c>
      <c r="AC55" s="1">
        <v>3022.63</v>
      </c>
      <c r="AD55" s="1" t="str">
        <v>Kristi Chan</v>
      </c>
      <c r="AE55" s="1">
        <v>24852</v>
      </c>
      <c r="AF55" s="1">
        <v>44124</v>
      </c>
      <c r="AG55" s="1">
        <v>15.46</v>
      </c>
      <c r="AH55" s="1">
        <v>467.29859800000008</v>
      </c>
      <c r="AI55" s="1">
        <v>2555.3314019999998</v>
      </c>
    </row>
    <row r="56" spans="1:35" x14ac:dyDescent="0.35">
      <c r="A56" s="1">
        <v>1054</v>
      </c>
      <c r="B56" s="2">
        <v>45579</v>
      </c>
      <c r="C56" s="1" t="s">
        <v>10</v>
      </c>
      <c r="D56" s="1" t="s">
        <v>15</v>
      </c>
      <c r="E56" s="1" t="s">
        <v>16</v>
      </c>
      <c r="F56" s="1">
        <v>1414.61</v>
      </c>
      <c r="G56" s="1" t="s">
        <v>95</v>
      </c>
      <c r="H56" s="2">
        <v>25821</v>
      </c>
      <c r="I56" s="2">
        <v>45580</v>
      </c>
      <c r="J56" s="1">
        <v>10.31</v>
      </c>
      <c r="K56" s="1">
        <f t="shared" si="0"/>
        <v>145.84629100000001</v>
      </c>
      <c r="L56" s="1">
        <f t="shared" si="1"/>
        <v>1268.7637089999998</v>
      </c>
      <c r="N56" s="1" t="s">
        <v>88</v>
      </c>
      <c r="O56" s="1">
        <f t="shared" si="5"/>
        <v>6</v>
      </c>
      <c r="P56" s="1">
        <f t="shared" si="5"/>
        <v>3</v>
      </c>
      <c r="Q56" s="1">
        <f t="shared" si="5"/>
        <v>8</v>
      </c>
      <c r="R56" s="1">
        <f t="shared" si="5"/>
        <v>3</v>
      </c>
      <c r="S56" s="1">
        <f t="shared" si="5"/>
        <v>13</v>
      </c>
      <c r="U56">
        <v>1100.873372</v>
      </c>
      <c r="X56" s="1">
        <v>1067</v>
      </c>
      <c r="Y56" s="2">
        <v>44633</v>
      </c>
      <c r="Z56" s="1" t="str">
        <v>North</v>
      </c>
      <c r="AA56" s="1" t="str">
        <v>Laptop</v>
      </c>
      <c r="AB56" s="1" t="str">
        <v>Electronics</v>
      </c>
      <c r="AC56" s="1">
        <v>1227.01</v>
      </c>
      <c r="AD56" s="1" t="str">
        <v>Savannah Smith</v>
      </c>
      <c r="AE56" s="1">
        <v>35889</v>
      </c>
      <c r="AF56" s="1">
        <v>44635</v>
      </c>
      <c r="AG56" s="1">
        <v>10.28</v>
      </c>
      <c r="AH56" s="1">
        <v>126.13662799999999</v>
      </c>
      <c r="AI56" s="1">
        <v>1100.873372</v>
      </c>
    </row>
    <row r="57" spans="1:35" x14ac:dyDescent="0.35">
      <c r="A57" s="1">
        <v>1055</v>
      </c>
      <c r="B57" s="2">
        <v>45293</v>
      </c>
      <c r="C57" s="1" t="s">
        <v>35</v>
      </c>
      <c r="D57" s="1" t="s">
        <v>27</v>
      </c>
      <c r="E57" s="1" t="s">
        <v>28</v>
      </c>
      <c r="F57" s="1">
        <v>2130.08</v>
      </c>
      <c r="G57" s="1" t="s">
        <v>96</v>
      </c>
      <c r="H57" s="2">
        <v>36236</v>
      </c>
      <c r="I57" s="2">
        <v>45298</v>
      </c>
      <c r="J57" s="1">
        <v>20.03</v>
      </c>
      <c r="K57" s="1">
        <f t="shared" si="0"/>
        <v>426.65502400000003</v>
      </c>
      <c r="L57" s="1">
        <f t="shared" si="1"/>
        <v>1703.4249759999998</v>
      </c>
      <c r="N57" s="1" t="s">
        <v>102</v>
      </c>
      <c r="O57" s="1">
        <f t="shared" si="5"/>
        <v>11</v>
      </c>
      <c r="P57" s="1">
        <f t="shared" si="5"/>
        <v>4</v>
      </c>
      <c r="Q57" s="1">
        <f t="shared" si="5"/>
        <v>10</v>
      </c>
      <c r="R57" s="1">
        <f t="shared" si="5"/>
        <v>1</v>
      </c>
      <c r="S57" s="1">
        <f t="shared" si="5"/>
        <v>3</v>
      </c>
      <c r="U57">
        <v>1075.7207840000001</v>
      </c>
      <c r="X57" s="1">
        <v>1068</v>
      </c>
      <c r="Y57" s="2">
        <v>45567</v>
      </c>
      <c r="Z57" s="1" t="str">
        <v>West</v>
      </c>
      <c r="AA57" s="1" t="str">
        <v>Milk</v>
      </c>
      <c r="AB57" s="1" t="str">
        <v>Groceries</v>
      </c>
      <c r="AC57" s="1">
        <v>2133.52</v>
      </c>
      <c r="AD57" s="1" t="str">
        <v>April Morgan</v>
      </c>
      <c r="AE57" s="1">
        <v>22870</v>
      </c>
      <c r="AF57" s="1">
        <v>45572</v>
      </c>
      <c r="AG57" s="1">
        <v>49.58</v>
      </c>
      <c r="AH57" s="1">
        <v>1057.7992159999999</v>
      </c>
      <c r="AI57" s="1">
        <v>1075.7207840000001</v>
      </c>
    </row>
    <row r="58" spans="1:35" x14ac:dyDescent="0.35">
      <c r="A58" s="1">
        <v>1056</v>
      </c>
      <c r="B58" s="2">
        <v>44987</v>
      </c>
      <c r="C58" s="1" t="s">
        <v>10</v>
      </c>
      <c r="D58" s="1" t="s">
        <v>40</v>
      </c>
      <c r="E58" s="1" t="s">
        <v>16</v>
      </c>
      <c r="F58" s="1">
        <v>3373.61</v>
      </c>
      <c r="G58" s="1" t="s">
        <v>97</v>
      </c>
      <c r="H58" s="2">
        <v>24706</v>
      </c>
      <c r="I58" s="2">
        <v>45000</v>
      </c>
      <c r="J58" s="1">
        <v>23.87</v>
      </c>
      <c r="K58" s="1">
        <f t="shared" si="0"/>
        <v>805.28070700000012</v>
      </c>
      <c r="L58" s="1">
        <f t="shared" si="1"/>
        <v>2568.3292929999998</v>
      </c>
      <c r="U58">
        <v>1623.455952</v>
      </c>
      <c r="X58" s="1">
        <v>1069</v>
      </c>
      <c r="Y58" s="2">
        <v>45534</v>
      </c>
      <c r="Z58" s="1" t="str">
        <v>North</v>
      </c>
      <c r="AA58" s="1" t="str">
        <v>Wheat</v>
      </c>
      <c r="AB58" s="1" t="str">
        <v>Groceries</v>
      </c>
      <c r="AC58" s="1">
        <v>1837.32</v>
      </c>
      <c r="AD58" s="1" t="str">
        <v>Brandon Maxwell</v>
      </c>
      <c r="AE58" s="1">
        <v>35506</v>
      </c>
      <c r="AF58" s="1">
        <v>45540</v>
      </c>
      <c r="AG58" s="1">
        <v>11.64</v>
      </c>
      <c r="AH58" s="1">
        <v>213.864048</v>
      </c>
      <c r="AI58" s="1">
        <v>1623.455952</v>
      </c>
    </row>
    <row r="59" spans="1:35" x14ac:dyDescent="0.35">
      <c r="A59" s="1">
        <v>1057</v>
      </c>
      <c r="B59" s="2">
        <v>44784</v>
      </c>
      <c r="C59" s="1" t="s">
        <v>35</v>
      </c>
      <c r="D59" s="1" t="s">
        <v>53</v>
      </c>
      <c r="E59" s="1" t="s">
        <v>28</v>
      </c>
      <c r="F59" s="1">
        <v>2471.33</v>
      </c>
      <c r="G59" s="1" t="s">
        <v>32</v>
      </c>
      <c r="H59" s="2">
        <v>27166</v>
      </c>
      <c r="I59" s="2">
        <v>44788</v>
      </c>
      <c r="J59" s="1">
        <v>19.45</v>
      </c>
      <c r="K59" s="1">
        <f t="shared" si="0"/>
        <v>480.67368499999998</v>
      </c>
      <c r="L59" s="1">
        <f t="shared" si="1"/>
        <v>1990.6563149999999</v>
      </c>
      <c r="U59">
        <v>3077.466304</v>
      </c>
      <c r="X59" s="1">
        <v>1070</v>
      </c>
      <c r="Y59" s="2">
        <v>44633</v>
      </c>
      <c r="Z59" s="1" t="str">
        <v>East</v>
      </c>
      <c r="AA59" s="1" t="str">
        <v>Eggs</v>
      </c>
      <c r="AB59" s="1" t="str">
        <v>Groceries</v>
      </c>
      <c r="AC59" s="1">
        <v>3460.16</v>
      </c>
      <c r="AD59" s="1" t="str">
        <v>Vincent Wiggins</v>
      </c>
      <c r="AE59" s="1">
        <v>26671</v>
      </c>
      <c r="AF59" s="1">
        <v>44634</v>
      </c>
      <c r="AG59" s="1">
        <v>11.06</v>
      </c>
      <c r="AH59" s="1">
        <v>382.69369599999999</v>
      </c>
      <c r="AI59" s="1">
        <v>3077.466304</v>
      </c>
    </row>
    <row r="60" spans="1:35" x14ac:dyDescent="0.35">
      <c r="A60" s="1">
        <v>1058</v>
      </c>
      <c r="B60" s="2">
        <v>44862</v>
      </c>
      <c r="C60" s="1" t="s">
        <v>21</v>
      </c>
      <c r="D60" s="1" t="s">
        <v>53</v>
      </c>
      <c r="E60" s="1" t="s">
        <v>28</v>
      </c>
      <c r="F60" s="1">
        <v>2895.56</v>
      </c>
      <c r="G60" s="1" t="s">
        <v>98</v>
      </c>
      <c r="H60" s="2">
        <v>38134</v>
      </c>
      <c r="I60" s="2">
        <v>44870</v>
      </c>
      <c r="J60" s="1">
        <v>2.38</v>
      </c>
      <c r="K60" s="1">
        <f t="shared" si="0"/>
        <v>68.914327999999998</v>
      </c>
      <c r="L60" s="1">
        <f t="shared" si="1"/>
        <v>2826.6456720000001</v>
      </c>
      <c r="U60">
        <v>2468.1855679999999</v>
      </c>
      <c r="X60" s="1">
        <v>1071</v>
      </c>
      <c r="Y60" s="2">
        <v>45780</v>
      </c>
      <c r="Z60" s="1" t="str">
        <v>West</v>
      </c>
      <c r="AA60" s="1" t="str">
        <v>Basketball</v>
      </c>
      <c r="AB60" s="1" t="str">
        <v>Sports</v>
      </c>
      <c r="AC60" s="1">
        <v>3450.56</v>
      </c>
      <c r="AD60" s="1" t="str">
        <v>Lisa Bray MD</v>
      </c>
      <c r="AE60" s="1">
        <v>33413</v>
      </c>
      <c r="AF60" s="1">
        <v>45792</v>
      </c>
      <c r="AG60" s="1">
        <v>28.47</v>
      </c>
      <c r="AH60" s="1">
        <v>982.37443200000007</v>
      </c>
      <c r="AI60" s="1">
        <v>2468.1855679999999</v>
      </c>
    </row>
    <row r="61" spans="1:35" x14ac:dyDescent="0.35">
      <c r="A61" s="1">
        <v>1059</v>
      </c>
      <c r="B61" s="2">
        <v>45636</v>
      </c>
      <c r="C61" s="1" t="s">
        <v>10</v>
      </c>
      <c r="D61" s="1" t="s">
        <v>15</v>
      </c>
      <c r="E61" s="1" t="s">
        <v>16</v>
      </c>
      <c r="F61" s="1">
        <v>401.47</v>
      </c>
      <c r="G61" s="1" t="s">
        <v>66</v>
      </c>
      <c r="H61" s="2">
        <v>33192</v>
      </c>
      <c r="I61" s="2">
        <v>45637</v>
      </c>
      <c r="J61" s="1">
        <v>41.19</v>
      </c>
      <c r="K61" s="1">
        <f t="shared" si="0"/>
        <v>165.36549300000001</v>
      </c>
      <c r="L61" s="1">
        <f t="shared" si="1"/>
        <v>236.10450700000001</v>
      </c>
      <c r="N61" s="10" t="s">
        <v>336</v>
      </c>
      <c r="O61" s="10"/>
      <c r="P61" s="10"/>
      <c r="Q61" s="10"/>
      <c r="R61" s="10"/>
      <c r="S61" s="10"/>
      <c r="U61">
        <v>3788.2577499999998</v>
      </c>
      <c r="X61" s="1">
        <v>1072</v>
      </c>
      <c r="Y61" s="2">
        <v>45585</v>
      </c>
      <c r="Z61" s="1" t="str">
        <v>North</v>
      </c>
      <c r="AA61" s="1" t="str">
        <v>Basketball</v>
      </c>
      <c r="AB61" s="1" t="str">
        <v>Sports</v>
      </c>
      <c r="AC61" s="1">
        <v>4220.8999999999996</v>
      </c>
      <c r="AD61" s="1" t="str">
        <v>Alicia Campbell</v>
      </c>
      <c r="AE61" s="1">
        <v>33984</v>
      </c>
      <c r="AF61" s="1">
        <v>45590</v>
      </c>
      <c r="AG61" s="1">
        <v>10.25</v>
      </c>
      <c r="AH61" s="1">
        <v>432.64224999999993</v>
      </c>
      <c r="AI61" s="1">
        <v>3788.2577499999998</v>
      </c>
    </row>
    <row r="62" spans="1:35" x14ac:dyDescent="0.35">
      <c r="A62" s="1">
        <v>1060</v>
      </c>
      <c r="B62" s="2">
        <v>44494</v>
      </c>
      <c r="C62" s="1" t="s">
        <v>10</v>
      </c>
      <c r="D62" s="1" t="s">
        <v>11</v>
      </c>
      <c r="E62" s="1" t="s">
        <v>12</v>
      </c>
      <c r="F62" s="1">
        <v>2174.4499999999998</v>
      </c>
      <c r="G62" s="1" t="s">
        <v>99</v>
      </c>
      <c r="H62" s="2">
        <v>26397</v>
      </c>
      <c r="I62" s="2">
        <v>44501</v>
      </c>
      <c r="J62" s="1">
        <v>42.65</v>
      </c>
      <c r="K62" s="1">
        <f t="shared" si="0"/>
        <v>927.40292499999987</v>
      </c>
      <c r="L62" s="1">
        <f t="shared" si="1"/>
        <v>1247.0470749999999</v>
      </c>
      <c r="N62" s="11"/>
      <c r="O62" s="11"/>
      <c r="P62" s="11"/>
      <c r="Q62" s="11"/>
      <c r="R62" s="11"/>
      <c r="S62" s="11"/>
      <c r="U62">
        <v>1270.0150589999998</v>
      </c>
      <c r="X62" s="1">
        <v>1073</v>
      </c>
      <c r="Y62" s="2">
        <v>45238</v>
      </c>
      <c r="Z62" s="1" t="str">
        <v>South</v>
      </c>
      <c r="AA62" s="1" t="str">
        <v>Eggs</v>
      </c>
      <c r="AB62" s="1" t="str">
        <v>Groceries</v>
      </c>
      <c r="AC62" s="1">
        <v>1397.31</v>
      </c>
      <c r="AD62" s="1" t="str">
        <v>Karla Garcia</v>
      </c>
      <c r="AE62" s="1">
        <v>31331</v>
      </c>
      <c r="AF62" s="1">
        <v>45244</v>
      </c>
      <c r="AG62" s="1">
        <v>9.11</v>
      </c>
      <c r="AH62" s="1">
        <v>127.29494099999999</v>
      </c>
      <c r="AI62" s="1">
        <v>1270.0150589999998</v>
      </c>
    </row>
    <row r="63" spans="1:35" x14ac:dyDescent="0.35">
      <c r="A63" s="1">
        <v>1061</v>
      </c>
      <c r="B63" s="2">
        <v>45886</v>
      </c>
      <c r="C63" s="1" t="s">
        <v>14</v>
      </c>
      <c r="D63" s="1" t="s">
        <v>58</v>
      </c>
      <c r="E63" s="1" t="s">
        <v>31</v>
      </c>
      <c r="F63" s="1">
        <v>2919.16</v>
      </c>
      <c r="G63" s="1" t="s">
        <v>100</v>
      </c>
      <c r="H63" s="2">
        <v>22100</v>
      </c>
      <c r="I63" s="2">
        <v>45892</v>
      </c>
      <c r="J63" s="1">
        <v>19.739999999999998</v>
      </c>
      <c r="K63" s="1">
        <f t="shared" si="0"/>
        <v>576.24218399999995</v>
      </c>
      <c r="L63" s="1">
        <f t="shared" si="1"/>
        <v>2342.9178160000001</v>
      </c>
      <c r="N63" s="8" t="s">
        <v>3</v>
      </c>
      <c r="O63" s="8" t="s">
        <v>10</v>
      </c>
      <c r="P63" s="8" t="s">
        <v>14</v>
      </c>
      <c r="Q63" s="8" t="s">
        <v>21</v>
      </c>
      <c r="R63" s="8" t="s">
        <v>26</v>
      </c>
      <c r="S63" s="8" t="s">
        <v>35</v>
      </c>
      <c r="U63">
        <v>2306.7726659999998</v>
      </c>
      <c r="X63" s="1">
        <v>1074</v>
      </c>
      <c r="Y63" s="2">
        <v>45174</v>
      </c>
      <c r="Z63" s="1" t="str">
        <v>Central</v>
      </c>
      <c r="AA63" s="1" t="str">
        <v>Eggs</v>
      </c>
      <c r="AB63" s="1" t="str">
        <v>Groceries</v>
      </c>
      <c r="AC63" s="1">
        <v>2618.06</v>
      </c>
      <c r="AD63" s="1" t="str">
        <v>Christina Young</v>
      </c>
      <c r="AE63" s="1">
        <v>26011</v>
      </c>
      <c r="AF63" s="1">
        <v>45176</v>
      </c>
      <c r="AG63" s="1">
        <v>11.89</v>
      </c>
      <c r="AH63" s="1">
        <v>311.28733399999999</v>
      </c>
      <c r="AI63" s="1">
        <v>2306.7726659999998</v>
      </c>
    </row>
    <row r="64" spans="1:35" x14ac:dyDescent="0.35">
      <c r="A64" s="1">
        <v>1062</v>
      </c>
      <c r="B64" s="2">
        <v>45749</v>
      </c>
      <c r="C64" s="1" t="s">
        <v>10</v>
      </c>
      <c r="D64" s="1" t="s">
        <v>33</v>
      </c>
      <c r="E64" s="1" t="s">
        <v>16</v>
      </c>
      <c r="F64" s="1">
        <v>4834.29</v>
      </c>
      <c r="G64" s="1" t="s">
        <v>101</v>
      </c>
      <c r="H64" s="2">
        <v>31331</v>
      </c>
      <c r="I64" s="2">
        <v>45759</v>
      </c>
      <c r="J64" s="1">
        <v>2.39</v>
      </c>
      <c r="K64" s="1">
        <f t="shared" si="0"/>
        <v>115.53953100000001</v>
      </c>
      <c r="L64" s="1">
        <f t="shared" si="1"/>
        <v>4718.7504689999996</v>
      </c>
      <c r="N64" s="1" t="s">
        <v>11</v>
      </c>
      <c r="O64" s="1">
        <f>SUMIFS($L$2:$L$1001,$D$2:$D$1001,$N64,$C$2:$C$1001,O$63,$L$2:$L$1001,"&gt;1000")</f>
        <v>14232.651057999999</v>
      </c>
      <c r="P64" s="1">
        <f t="shared" ref="P64:S79" si="6">SUMIFS($L$2:$L$1001,$D$2:$D$1001,$N64,$C$2:$C$1001,P$63,$L$2:$L$1001,"&gt;1000")</f>
        <v>12971.374389999999</v>
      </c>
      <c r="Q64" s="1">
        <f t="shared" si="6"/>
        <v>15609.389131</v>
      </c>
      <c r="R64" s="1">
        <f t="shared" si="6"/>
        <v>13037.075943999998</v>
      </c>
      <c r="S64" s="1">
        <f t="shared" si="6"/>
        <v>21859.269948000001</v>
      </c>
      <c r="U64">
        <v>4727.2809999999999</v>
      </c>
      <c r="X64" s="1">
        <v>1075</v>
      </c>
      <c r="Y64" s="2">
        <v>45212</v>
      </c>
      <c r="Z64" s="1" t="str">
        <v>East</v>
      </c>
      <c r="AA64" s="1" t="str">
        <v>Bed</v>
      </c>
      <c r="AB64" s="1" t="str">
        <v>Furniture</v>
      </c>
      <c r="AC64" s="1">
        <v>4787.12</v>
      </c>
      <c r="AD64" s="1" t="str">
        <v>Kevin Preston</v>
      </c>
      <c r="AE64" s="1">
        <v>32064</v>
      </c>
      <c r="AF64" s="1">
        <v>45226</v>
      </c>
      <c r="AG64" s="1">
        <v>1.25</v>
      </c>
      <c r="AH64" s="1">
        <v>59.838999999999999</v>
      </c>
      <c r="AI64" s="1">
        <v>4727.2809999999999</v>
      </c>
    </row>
    <row r="65" spans="1:35" x14ac:dyDescent="0.35">
      <c r="A65" s="1">
        <v>1063</v>
      </c>
      <c r="B65" s="2">
        <v>44590</v>
      </c>
      <c r="C65" s="1" t="s">
        <v>14</v>
      </c>
      <c r="D65" s="1" t="s">
        <v>36</v>
      </c>
      <c r="E65" s="1" t="s">
        <v>28</v>
      </c>
      <c r="F65" s="1">
        <v>543.84</v>
      </c>
      <c r="G65" s="1" t="s">
        <v>39</v>
      </c>
      <c r="H65" s="2">
        <v>26282</v>
      </c>
      <c r="I65" s="2">
        <v>44603</v>
      </c>
      <c r="J65" s="1">
        <v>27.65</v>
      </c>
      <c r="K65" s="1">
        <f t="shared" si="0"/>
        <v>150.37175999999999</v>
      </c>
      <c r="L65" s="1">
        <f t="shared" si="1"/>
        <v>393.46824000000004</v>
      </c>
      <c r="N65" s="1" t="s">
        <v>15</v>
      </c>
      <c r="O65" s="1">
        <f t="shared" ref="O65:S87" si="7">SUMIFS($L$2:$L$1001,$D$2:$D$1001,$N65,$C$2:$C$1001,O$63,$L$2:$L$1001,"&gt;1000")</f>
        <v>19580.182897999999</v>
      </c>
      <c r="P65" s="1">
        <f t="shared" si="6"/>
        <v>19498.411032</v>
      </c>
      <c r="Q65" s="1">
        <f t="shared" si="6"/>
        <v>12599.487802000001</v>
      </c>
      <c r="R65" s="1">
        <f t="shared" si="6"/>
        <v>10676.368538999999</v>
      </c>
      <c r="S65" s="1">
        <f t="shared" si="6"/>
        <v>8512.7185939999999</v>
      </c>
      <c r="U65">
        <v>1660.6088319999999</v>
      </c>
      <c r="X65" s="1">
        <v>1077</v>
      </c>
      <c r="Y65" s="2">
        <v>44472</v>
      </c>
      <c r="Z65" s="1" t="str">
        <v>West</v>
      </c>
      <c r="AA65" s="1" t="str">
        <v>Oil</v>
      </c>
      <c r="AB65" s="1" t="str">
        <v>Groceries</v>
      </c>
      <c r="AC65" s="1">
        <v>2607.7399999999998</v>
      </c>
      <c r="AD65" s="1" t="str">
        <v>Frank Davis</v>
      </c>
      <c r="AE65" s="1">
        <v>38171</v>
      </c>
      <c r="AF65" s="1">
        <v>44482</v>
      </c>
      <c r="AG65" s="1">
        <v>36.32</v>
      </c>
      <c r="AH65" s="1">
        <v>947.131168</v>
      </c>
      <c r="AI65" s="1">
        <v>1660.6088319999999</v>
      </c>
    </row>
    <row r="66" spans="1:35" x14ac:dyDescent="0.35">
      <c r="A66" s="1">
        <v>1064</v>
      </c>
      <c r="B66" s="2">
        <v>44565</v>
      </c>
      <c r="C66" s="1" t="s">
        <v>35</v>
      </c>
      <c r="D66" s="1" t="s">
        <v>102</v>
      </c>
      <c r="E66" s="1" t="s">
        <v>12</v>
      </c>
      <c r="F66" s="1">
        <v>809.73</v>
      </c>
      <c r="G66" s="1" t="s">
        <v>94</v>
      </c>
      <c r="H66" s="2">
        <v>25516</v>
      </c>
      <c r="I66" s="2">
        <v>44571</v>
      </c>
      <c r="J66" s="1">
        <v>34.11</v>
      </c>
      <c r="K66" s="1">
        <f t="shared" si="0"/>
        <v>276.19890300000003</v>
      </c>
      <c r="L66" s="1">
        <f t="shared" si="1"/>
        <v>533.53109700000005</v>
      </c>
      <c r="N66" s="1" t="s">
        <v>18</v>
      </c>
      <c r="O66" s="1">
        <f t="shared" si="7"/>
        <v>8459.0007430000005</v>
      </c>
      <c r="P66" s="1">
        <f t="shared" si="6"/>
        <v>16527.033984000002</v>
      </c>
      <c r="Q66" s="1">
        <f t="shared" si="6"/>
        <v>11157.579183000002</v>
      </c>
      <c r="R66" s="1">
        <f t="shared" si="6"/>
        <v>9814.8741910000008</v>
      </c>
      <c r="S66" s="1">
        <f t="shared" si="6"/>
        <v>14390.946326999998</v>
      </c>
      <c r="U66">
        <v>1747.2853439999999</v>
      </c>
      <c r="X66" s="1">
        <v>1080</v>
      </c>
      <c r="Y66" s="2">
        <v>44967</v>
      </c>
      <c r="Z66" s="1" t="str">
        <v>North</v>
      </c>
      <c r="AA66" s="1" t="str">
        <v>Bed</v>
      </c>
      <c r="AB66" s="1" t="str">
        <v>Furniture</v>
      </c>
      <c r="AC66" s="1">
        <v>2009.76</v>
      </c>
      <c r="AD66" s="1" t="str">
        <v>Kayla Patel</v>
      </c>
      <c r="AE66" s="1">
        <v>32992</v>
      </c>
      <c r="AF66" s="1">
        <v>44971</v>
      </c>
      <c r="AG66" s="1">
        <v>13.06</v>
      </c>
      <c r="AH66" s="1">
        <v>262.47465599999998</v>
      </c>
      <c r="AI66" s="1">
        <v>1747.2853439999999</v>
      </c>
    </row>
    <row r="67" spans="1:35" x14ac:dyDescent="0.35">
      <c r="A67" s="1">
        <v>1065</v>
      </c>
      <c r="B67" s="2">
        <v>45418</v>
      </c>
      <c r="C67" s="1" t="s">
        <v>26</v>
      </c>
      <c r="D67" s="1" t="s">
        <v>58</v>
      </c>
      <c r="E67" s="1" t="s">
        <v>31</v>
      </c>
      <c r="F67" s="1">
        <v>3284.07</v>
      </c>
      <c r="G67" s="1" t="s">
        <v>103</v>
      </c>
      <c r="H67" s="2">
        <v>30923</v>
      </c>
      <c r="I67" s="2">
        <v>45425</v>
      </c>
      <c r="J67" s="1">
        <v>32.409999999999997</v>
      </c>
      <c r="K67" s="1">
        <f t="shared" ref="K67:K130" si="8">F67*J67%</f>
        <v>1064.3670869999999</v>
      </c>
      <c r="L67" s="1">
        <f t="shared" ref="L67:L130" si="9">F67-K67</f>
        <v>2219.7029130000001</v>
      </c>
      <c r="N67" s="1" t="s">
        <v>22</v>
      </c>
      <c r="O67" s="1">
        <f t="shared" si="7"/>
        <v>13384.526826000001</v>
      </c>
      <c r="P67" s="1">
        <f t="shared" si="6"/>
        <v>16864.921987999998</v>
      </c>
      <c r="Q67" s="1">
        <f t="shared" si="6"/>
        <v>31614.727778000004</v>
      </c>
      <c r="R67" s="1">
        <f t="shared" si="6"/>
        <v>8915.4822629999999</v>
      </c>
      <c r="S67" s="1">
        <f t="shared" si="6"/>
        <v>10421.416032000001</v>
      </c>
      <c r="U67">
        <v>2263.8837800000001</v>
      </c>
      <c r="X67" s="1">
        <v>1083</v>
      </c>
      <c r="Y67" s="2">
        <v>44429</v>
      </c>
      <c r="Z67" s="1" t="str">
        <v>West</v>
      </c>
      <c r="AA67" s="1" t="str">
        <v>Chair</v>
      </c>
      <c r="AB67" s="1" t="str">
        <v>Furniture</v>
      </c>
      <c r="AC67" s="1">
        <v>2800.45</v>
      </c>
      <c r="AD67" s="1" t="str">
        <v>Charles Delgado</v>
      </c>
      <c r="AE67" s="1">
        <v>29486</v>
      </c>
      <c r="AF67" s="1">
        <v>44430</v>
      </c>
      <c r="AG67" s="1">
        <v>19.16</v>
      </c>
      <c r="AH67" s="1">
        <v>536.56621999999993</v>
      </c>
      <c r="AI67" s="1">
        <v>2263.8837800000001</v>
      </c>
    </row>
    <row r="68" spans="1:35" x14ac:dyDescent="0.35">
      <c r="A68" s="1">
        <v>1066</v>
      </c>
      <c r="B68" s="2">
        <v>44121</v>
      </c>
      <c r="C68" s="1" t="s">
        <v>14</v>
      </c>
      <c r="D68" s="1" t="s">
        <v>30</v>
      </c>
      <c r="E68" s="1" t="s">
        <v>31</v>
      </c>
      <c r="F68" s="1">
        <v>3022.63</v>
      </c>
      <c r="G68" s="1" t="s">
        <v>104</v>
      </c>
      <c r="H68" s="2">
        <v>24852</v>
      </c>
      <c r="I68" s="2">
        <v>44124</v>
      </c>
      <c r="J68" s="1">
        <v>15.46</v>
      </c>
      <c r="K68" s="1">
        <f t="shared" si="8"/>
        <v>467.29859800000008</v>
      </c>
      <c r="L68" s="1">
        <f t="shared" si="9"/>
        <v>2555.3314019999998</v>
      </c>
      <c r="N68" s="1" t="s">
        <v>24</v>
      </c>
      <c r="O68" s="1">
        <f t="shared" si="7"/>
        <v>16658.048180999998</v>
      </c>
      <c r="P68" s="1">
        <f t="shared" si="6"/>
        <v>10194.903316000002</v>
      </c>
      <c r="Q68" s="1">
        <f t="shared" si="6"/>
        <v>23018.092332999997</v>
      </c>
      <c r="R68" s="1">
        <f t="shared" si="6"/>
        <v>12802.502431000001</v>
      </c>
      <c r="S68" s="1">
        <f t="shared" si="6"/>
        <v>14483.982447999999</v>
      </c>
      <c r="U68">
        <v>3032.7046379999997</v>
      </c>
      <c r="X68" s="1">
        <v>1084</v>
      </c>
      <c r="Y68" s="2">
        <v>44453</v>
      </c>
      <c r="Z68" s="1" t="str">
        <v>Central</v>
      </c>
      <c r="AA68" s="1" t="str">
        <v>T-Shirt</v>
      </c>
      <c r="AB68" s="1" t="str">
        <v>Clothing</v>
      </c>
      <c r="AC68" s="1">
        <v>3499.14</v>
      </c>
      <c r="AD68" s="1" t="str">
        <v>Mary Hicks</v>
      </c>
      <c r="AE68" s="1">
        <v>39294</v>
      </c>
      <c r="AF68" s="1">
        <v>44463</v>
      </c>
      <c r="AG68" s="1">
        <v>13.33</v>
      </c>
      <c r="AH68" s="1">
        <v>466.435362</v>
      </c>
      <c r="AI68" s="1">
        <v>3032.7046379999997</v>
      </c>
    </row>
    <row r="69" spans="1:35" x14ac:dyDescent="0.35">
      <c r="A69" s="1">
        <v>1067</v>
      </c>
      <c r="B69" s="2">
        <v>44633</v>
      </c>
      <c r="C69" s="1" t="s">
        <v>14</v>
      </c>
      <c r="D69" s="1" t="s">
        <v>61</v>
      </c>
      <c r="E69" s="1" t="s">
        <v>19</v>
      </c>
      <c r="F69" s="1">
        <v>1227.01</v>
      </c>
      <c r="G69" s="1" t="s">
        <v>105</v>
      </c>
      <c r="H69" s="2">
        <v>35889</v>
      </c>
      <c r="I69" s="2">
        <v>44635</v>
      </c>
      <c r="J69" s="1">
        <v>10.28</v>
      </c>
      <c r="K69" s="1">
        <f t="shared" si="8"/>
        <v>126.13662799999999</v>
      </c>
      <c r="L69" s="1">
        <f t="shared" si="9"/>
        <v>1100.873372</v>
      </c>
      <c r="N69" s="1" t="s">
        <v>27</v>
      </c>
      <c r="O69" s="1">
        <f t="shared" si="7"/>
        <v>16112.283347000001</v>
      </c>
      <c r="P69" s="1">
        <f t="shared" si="6"/>
        <v>3987.6198359999999</v>
      </c>
      <c r="Q69" s="1">
        <f t="shared" si="6"/>
        <v>11957.337758</v>
      </c>
      <c r="R69" s="1">
        <f t="shared" si="6"/>
        <v>23530.589200999999</v>
      </c>
      <c r="S69" s="1">
        <f t="shared" si="6"/>
        <v>11248.260897</v>
      </c>
      <c r="U69">
        <v>3006.2062639999995</v>
      </c>
      <c r="X69" s="1">
        <v>1085</v>
      </c>
      <c r="Y69" s="2">
        <v>44713</v>
      </c>
      <c r="Z69" s="1" t="str">
        <v>South</v>
      </c>
      <c r="AA69" s="1" t="str">
        <v>Football</v>
      </c>
      <c r="AB69" s="1" t="str">
        <v>Sports</v>
      </c>
      <c r="AC69" s="1">
        <v>4470.8599999999997</v>
      </c>
      <c r="AD69" s="1" t="str">
        <v>Charles Lewis</v>
      </c>
      <c r="AE69" s="1">
        <v>23513</v>
      </c>
      <c r="AF69" s="1">
        <v>44727</v>
      </c>
      <c r="AG69" s="1">
        <v>32.76</v>
      </c>
      <c r="AH69" s="1">
        <v>1464.653736</v>
      </c>
      <c r="AI69" s="1">
        <v>3006.2062639999995</v>
      </c>
    </row>
    <row r="70" spans="1:35" x14ac:dyDescent="0.35">
      <c r="A70" s="1">
        <v>1068</v>
      </c>
      <c r="B70" s="2">
        <v>45567</v>
      </c>
      <c r="C70" s="1" t="s">
        <v>10</v>
      </c>
      <c r="D70" s="1" t="s">
        <v>15</v>
      </c>
      <c r="E70" s="1" t="s">
        <v>16</v>
      </c>
      <c r="F70" s="1">
        <v>2133.52</v>
      </c>
      <c r="G70" s="1" t="s">
        <v>62</v>
      </c>
      <c r="H70" s="2">
        <v>22870</v>
      </c>
      <c r="I70" s="2">
        <v>45572</v>
      </c>
      <c r="J70" s="1">
        <v>49.58</v>
      </c>
      <c r="K70" s="1">
        <f t="shared" si="8"/>
        <v>1057.7992159999999</v>
      </c>
      <c r="L70" s="1">
        <f t="shared" si="9"/>
        <v>1075.7207840000001</v>
      </c>
      <c r="N70" s="1" t="s">
        <v>30</v>
      </c>
      <c r="O70" s="1">
        <f t="shared" si="7"/>
        <v>13080.097271000002</v>
      </c>
      <c r="P70" s="1">
        <f t="shared" si="6"/>
        <v>15343.852654999999</v>
      </c>
      <c r="Q70" s="1">
        <f t="shared" si="6"/>
        <v>15238.849525</v>
      </c>
      <c r="R70" s="1">
        <f t="shared" si="6"/>
        <v>10341.306952999999</v>
      </c>
      <c r="S70" s="1">
        <f t="shared" si="6"/>
        <v>11768.488358999999</v>
      </c>
      <c r="U70">
        <v>2772.6861449999997</v>
      </c>
      <c r="X70" s="1">
        <v>1086</v>
      </c>
      <c r="Y70" s="2">
        <v>45703</v>
      </c>
      <c r="Z70" s="1" t="str">
        <v>Central</v>
      </c>
      <c r="AA70" s="1" t="str">
        <v>Camera</v>
      </c>
      <c r="AB70" s="1" t="str">
        <v>Electronics</v>
      </c>
      <c r="AC70" s="1">
        <v>3968.35</v>
      </c>
      <c r="AD70" s="1" t="str">
        <v>Adam Martinez</v>
      </c>
      <c r="AE70" s="1">
        <v>22599</v>
      </c>
      <c r="AF70" s="1">
        <v>45712</v>
      </c>
      <c r="AG70" s="1">
        <v>30.13</v>
      </c>
      <c r="AH70" s="1">
        <v>1195.663855</v>
      </c>
      <c r="AI70" s="1">
        <v>2772.6861449999997</v>
      </c>
    </row>
    <row r="71" spans="1:35" x14ac:dyDescent="0.35">
      <c r="A71" s="1">
        <v>1069</v>
      </c>
      <c r="B71" s="2">
        <v>45534</v>
      </c>
      <c r="C71" s="1" t="s">
        <v>14</v>
      </c>
      <c r="D71" s="1" t="s">
        <v>44</v>
      </c>
      <c r="E71" s="1" t="s">
        <v>16</v>
      </c>
      <c r="F71" s="1">
        <v>1837.32</v>
      </c>
      <c r="G71" s="1" t="s">
        <v>106</v>
      </c>
      <c r="H71" s="2">
        <v>35506</v>
      </c>
      <c r="I71" s="2">
        <v>45540</v>
      </c>
      <c r="J71" s="1">
        <v>11.64</v>
      </c>
      <c r="K71" s="1">
        <f t="shared" si="8"/>
        <v>213.864048</v>
      </c>
      <c r="L71" s="1">
        <f t="shared" si="9"/>
        <v>1623.455952</v>
      </c>
      <c r="N71" s="1" t="s">
        <v>33</v>
      </c>
      <c r="O71" s="1">
        <f t="shared" si="7"/>
        <v>9829.3548069999997</v>
      </c>
      <c r="P71" s="1">
        <f t="shared" si="6"/>
        <v>23822.286853000001</v>
      </c>
      <c r="Q71" s="1">
        <f t="shared" si="6"/>
        <v>18683.454728000001</v>
      </c>
      <c r="R71" s="1">
        <f t="shared" si="6"/>
        <v>18346.162852000001</v>
      </c>
      <c r="S71" s="1">
        <f t="shared" si="6"/>
        <v>10548.327366000001</v>
      </c>
      <c r="U71">
        <v>2744.9424450000001</v>
      </c>
      <c r="X71" s="1">
        <v>1087</v>
      </c>
      <c r="Y71" s="2">
        <v>45003</v>
      </c>
      <c r="Z71" s="1" t="str">
        <v>Central</v>
      </c>
      <c r="AA71" s="1" t="str">
        <v>Football</v>
      </c>
      <c r="AB71" s="1" t="str">
        <v>Sports</v>
      </c>
      <c r="AC71" s="1">
        <v>4586.37</v>
      </c>
      <c r="AD71" s="1" t="str">
        <v>Beth Landry</v>
      </c>
      <c r="AE71" s="1">
        <v>34954</v>
      </c>
      <c r="AF71" s="1">
        <v>45005</v>
      </c>
      <c r="AG71" s="1">
        <v>40.15</v>
      </c>
      <c r="AH71" s="1">
        <v>1841.4275549999998</v>
      </c>
      <c r="AI71" s="1">
        <v>2744.9424450000001</v>
      </c>
    </row>
    <row r="72" spans="1:35" x14ac:dyDescent="0.35">
      <c r="A72" s="1">
        <v>1070</v>
      </c>
      <c r="B72" s="2">
        <v>44633</v>
      </c>
      <c r="C72" s="1" t="s">
        <v>26</v>
      </c>
      <c r="D72" s="1" t="s">
        <v>88</v>
      </c>
      <c r="E72" s="1" t="s">
        <v>16</v>
      </c>
      <c r="F72" s="1">
        <v>3460.16</v>
      </c>
      <c r="G72" s="1" t="s">
        <v>107</v>
      </c>
      <c r="H72" s="2">
        <v>26671</v>
      </c>
      <c r="I72" s="2">
        <v>44634</v>
      </c>
      <c r="J72" s="1">
        <v>11.06</v>
      </c>
      <c r="K72" s="1">
        <f t="shared" si="8"/>
        <v>382.69369599999999</v>
      </c>
      <c r="L72" s="1">
        <f t="shared" si="9"/>
        <v>3077.466304</v>
      </c>
      <c r="N72" s="1" t="s">
        <v>36</v>
      </c>
      <c r="O72" s="1">
        <f t="shared" si="7"/>
        <v>13850.360410000001</v>
      </c>
      <c r="P72" s="1">
        <f t="shared" si="6"/>
        <v>19318.034624</v>
      </c>
      <c r="Q72" s="1">
        <f t="shared" si="6"/>
        <v>9539.1251550000015</v>
      </c>
      <c r="R72" s="1">
        <f t="shared" si="6"/>
        <v>5628.8659090000001</v>
      </c>
      <c r="S72" s="1">
        <f t="shared" si="6"/>
        <v>21042.739970000002</v>
      </c>
      <c r="U72">
        <v>2503.0433279999997</v>
      </c>
      <c r="X72" s="1">
        <v>1088</v>
      </c>
      <c r="Y72" s="2">
        <v>45268</v>
      </c>
      <c r="Z72" s="1" t="str">
        <v>East</v>
      </c>
      <c r="AA72" s="1" t="str">
        <v>Rice</v>
      </c>
      <c r="AB72" s="1" t="str">
        <v>Groceries</v>
      </c>
      <c r="AC72" s="1">
        <v>3650.88</v>
      </c>
      <c r="AD72" s="1" t="str">
        <v>Mrs. Rebecca Young</v>
      </c>
      <c r="AE72" s="1">
        <v>30820</v>
      </c>
      <c r="AF72" s="1">
        <v>45270</v>
      </c>
      <c r="AG72" s="1">
        <v>31.44</v>
      </c>
      <c r="AH72" s="1">
        <v>1147.8366720000001</v>
      </c>
      <c r="AI72" s="1">
        <v>2503.0433279999997</v>
      </c>
    </row>
    <row r="73" spans="1:35" x14ac:dyDescent="0.35">
      <c r="A73" s="1">
        <v>1071</v>
      </c>
      <c r="B73" s="2">
        <v>45780</v>
      </c>
      <c r="C73" s="1" t="s">
        <v>10</v>
      </c>
      <c r="D73" s="1" t="s">
        <v>11</v>
      </c>
      <c r="E73" s="1" t="s">
        <v>12</v>
      </c>
      <c r="F73" s="1">
        <v>3450.56</v>
      </c>
      <c r="G73" s="1" t="s">
        <v>108</v>
      </c>
      <c r="H73" s="2">
        <v>33413</v>
      </c>
      <c r="I73" s="2">
        <v>45792</v>
      </c>
      <c r="J73" s="1">
        <v>28.47</v>
      </c>
      <c r="K73" s="1">
        <f t="shared" si="8"/>
        <v>982.37443200000007</v>
      </c>
      <c r="L73" s="1">
        <f t="shared" si="9"/>
        <v>2468.1855679999999</v>
      </c>
      <c r="N73" s="1" t="s">
        <v>38</v>
      </c>
      <c r="O73" s="1">
        <f t="shared" si="7"/>
        <v>17508.755761999997</v>
      </c>
      <c r="P73" s="1">
        <f t="shared" si="6"/>
        <v>10231.918428000001</v>
      </c>
      <c r="Q73" s="1">
        <f t="shared" si="6"/>
        <v>13119.855618999998</v>
      </c>
      <c r="R73" s="1">
        <f t="shared" si="6"/>
        <v>14066.581276000001</v>
      </c>
      <c r="S73" s="1">
        <f t="shared" si="6"/>
        <v>22110.025763000001</v>
      </c>
      <c r="U73">
        <v>1782.2337440000001</v>
      </c>
      <c r="X73" s="1">
        <v>1089</v>
      </c>
      <c r="Y73" s="2">
        <v>45319</v>
      </c>
      <c r="Z73" s="1" t="str">
        <v>East</v>
      </c>
      <c r="AA73" s="1" t="str">
        <v>Sofa</v>
      </c>
      <c r="AB73" s="1" t="str">
        <v>Furniture</v>
      </c>
      <c r="AC73" s="1">
        <v>2648.98</v>
      </c>
      <c r="AD73" s="1" t="str">
        <v>Antonio David</v>
      </c>
      <c r="AE73" s="1">
        <v>24580</v>
      </c>
      <c r="AF73" s="1">
        <v>45332</v>
      </c>
      <c r="AG73" s="1">
        <v>32.72</v>
      </c>
      <c r="AH73" s="1">
        <v>866.74625600000002</v>
      </c>
      <c r="AI73" s="1">
        <v>1782.2337440000001</v>
      </c>
    </row>
    <row r="74" spans="1:35" x14ac:dyDescent="0.35">
      <c r="A74" s="1">
        <v>1072</v>
      </c>
      <c r="B74" s="2">
        <v>45585</v>
      </c>
      <c r="C74" s="1" t="s">
        <v>14</v>
      </c>
      <c r="D74" s="1" t="s">
        <v>11</v>
      </c>
      <c r="E74" s="1" t="s">
        <v>12</v>
      </c>
      <c r="F74" s="1">
        <v>4220.8999999999996</v>
      </c>
      <c r="G74" s="1" t="s">
        <v>93</v>
      </c>
      <c r="H74" s="2">
        <v>33984</v>
      </c>
      <c r="I74" s="2">
        <v>45590</v>
      </c>
      <c r="J74" s="1">
        <v>10.25</v>
      </c>
      <c r="K74" s="1">
        <f t="shared" si="8"/>
        <v>432.64224999999993</v>
      </c>
      <c r="L74" s="1">
        <f t="shared" si="9"/>
        <v>3788.2577499999998</v>
      </c>
      <c r="N74" s="1" t="s">
        <v>40</v>
      </c>
      <c r="O74" s="1">
        <f t="shared" si="7"/>
        <v>18131.622309999999</v>
      </c>
      <c r="P74" s="1">
        <f t="shared" si="6"/>
        <v>4965.9336179999991</v>
      </c>
      <c r="Q74" s="1">
        <f t="shared" si="6"/>
        <v>23804.219292000002</v>
      </c>
      <c r="R74" s="1">
        <f t="shared" si="6"/>
        <v>13832.864073999999</v>
      </c>
      <c r="S74" s="1">
        <f t="shared" si="6"/>
        <v>4229.699216</v>
      </c>
      <c r="U74">
        <v>2462.6960640000002</v>
      </c>
      <c r="X74" s="1">
        <v>1090</v>
      </c>
      <c r="Y74" s="2">
        <v>45589</v>
      </c>
      <c r="Z74" s="1" t="str">
        <v>North</v>
      </c>
      <c r="AA74" s="1" t="str">
        <v>T-Shirt</v>
      </c>
      <c r="AB74" s="1" t="str">
        <v>Clothing</v>
      </c>
      <c r="AC74" s="1">
        <v>4552.96</v>
      </c>
      <c r="AD74" s="1" t="str">
        <v>Sierra Elliott</v>
      </c>
      <c r="AE74" s="1">
        <v>29720</v>
      </c>
      <c r="AF74" s="1">
        <v>45598</v>
      </c>
      <c r="AG74" s="1">
        <v>45.91</v>
      </c>
      <c r="AH74" s="1">
        <v>2090.2639359999998</v>
      </c>
      <c r="AI74" s="1">
        <v>2462.6960640000002</v>
      </c>
    </row>
    <row r="75" spans="1:35" x14ac:dyDescent="0.35">
      <c r="A75" s="1">
        <v>1073</v>
      </c>
      <c r="B75" s="2">
        <v>45238</v>
      </c>
      <c r="C75" s="1" t="s">
        <v>21</v>
      </c>
      <c r="D75" s="1" t="s">
        <v>88</v>
      </c>
      <c r="E75" s="1" t="s">
        <v>16</v>
      </c>
      <c r="F75" s="1">
        <v>1397.31</v>
      </c>
      <c r="G75" s="1" t="s">
        <v>101</v>
      </c>
      <c r="H75" s="2">
        <v>31331</v>
      </c>
      <c r="I75" s="2">
        <v>45244</v>
      </c>
      <c r="J75" s="1">
        <v>9.11</v>
      </c>
      <c r="K75" s="1">
        <f t="shared" si="8"/>
        <v>127.29494099999999</v>
      </c>
      <c r="L75" s="1">
        <f t="shared" si="9"/>
        <v>1270.0150589999998</v>
      </c>
      <c r="N75" s="1" t="s">
        <v>44</v>
      </c>
      <c r="O75" s="1">
        <f t="shared" si="7"/>
        <v>19987.713030999999</v>
      </c>
      <c r="P75" s="1">
        <f t="shared" si="6"/>
        <v>18648.445839</v>
      </c>
      <c r="Q75" s="1">
        <f t="shared" si="6"/>
        <v>6521.3621119999998</v>
      </c>
      <c r="R75" s="1">
        <f t="shared" si="6"/>
        <v>19631.827588999997</v>
      </c>
      <c r="S75" s="1">
        <f t="shared" si="6"/>
        <v>13051.672447999999</v>
      </c>
      <c r="U75">
        <v>1390.4663639999999</v>
      </c>
      <c r="X75" s="1">
        <v>1091</v>
      </c>
      <c r="Y75" s="2">
        <v>45476</v>
      </c>
      <c r="Z75" s="1" t="str">
        <v>West</v>
      </c>
      <c r="AA75" s="1" t="str">
        <v>Jeans</v>
      </c>
      <c r="AB75" s="1" t="str">
        <v>Clothing</v>
      </c>
      <c r="AC75" s="1">
        <v>1851.24</v>
      </c>
      <c r="AD75" s="1" t="str">
        <v>Christina Bennett</v>
      </c>
      <c r="AE75" s="1">
        <v>36120</v>
      </c>
      <c r="AF75" s="1">
        <v>45479</v>
      </c>
      <c r="AG75" s="1">
        <v>24.89</v>
      </c>
      <c r="AH75" s="1">
        <v>460.77363600000001</v>
      </c>
      <c r="AI75" s="1">
        <v>1390.4663639999999</v>
      </c>
    </row>
    <row r="76" spans="1:35" x14ac:dyDescent="0.35">
      <c r="A76" s="1">
        <v>1074</v>
      </c>
      <c r="B76" s="2">
        <v>45174</v>
      </c>
      <c r="C76" s="1" t="s">
        <v>35</v>
      </c>
      <c r="D76" s="1" t="s">
        <v>88</v>
      </c>
      <c r="E76" s="1" t="s">
        <v>16</v>
      </c>
      <c r="F76" s="1">
        <v>2618.06</v>
      </c>
      <c r="G76" s="1" t="s">
        <v>109</v>
      </c>
      <c r="H76" s="2">
        <v>26011</v>
      </c>
      <c r="I76" s="2">
        <v>45176</v>
      </c>
      <c r="J76" s="1">
        <v>11.89</v>
      </c>
      <c r="K76" s="1">
        <f t="shared" si="8"/>
        <v>311.28733399999999</v>
      </c>
      <c r="L76" s="1">
        <f t="shared" si="9"/>
        <v>2306.7726659999998</v>
      </c>
      <c r="N76" s="1" t="s">
        <v>47</v>
      </c>
      <c r="O76" s="1">
        <f t="shared" si="7"/>
        <v>16361.586329999998</v>
      </c>
      <c r="P76" s="1">
        <f t="shared" si="6"/>
        <v>17678.813592000002</v>
      </c>
      <c r="Q76" s="1">
        <f t="shared" si="6"/>
        <v>2294.54612</v>
      </c>
      <c r="R76" s="1">
        <f t="shared" si="6"/>
        <v>14254.380163</v>
      </c>
      <c r="S76" s="1">
        <f t="shared" si="6"/>
        <v>11510.963246000001</v>
      </c>
      <c r="U76">
        <v>2517.4719960000002</v>
      </c>
      <c r="X76" s="1">
        <v>1092</v>
      </c>
      <c r="Y76" s="2">
        <v>45544</v>
      </c>
      <c r="Z76" s="1" t="str">
        <v>West</v>
      </c>
      <c r="AA76" s="1" t="str">
        <v>Chair</v>
      </c>
      <c r="AB76" s="1" t="str">
        <v>Furniture</v>
      </c>
      <c r="AC76" s="1">
        <v>2920.84</v>
      </c>
      <c r="AD76" s="1" t="str">
        <v>Kevin Preston</v>
      </c>
      <c r="AE76" s="1">
        <v>32064</v>
      </c>
      <c r="AF76" s="1">
        <v>45556</v>
      </c>
      <c r="AG76" s="1">
        <v>13.81</v>
      </c>
      <c r="AH76" s="1">
        <v>403.36800400000004</v>
      </c>
      <c r="AI76" s="1">
        <v>2517.4719960000002</v>
      </c>
    </row>
    <row r="77" spans="1:35" x14ac:dyDescent="0.35">
      <c r="A77" s="1">
        <v>1075</v>
      </c>
      <c r="B77" s="2">
        <v>45212</v>
      </c>
      <c r="C77" s="1" t="s">
        <v>26</v>
      </c>
      <c r="D77" s="1" t="s">
        <v>27</v>
      </c>
      <c r="E77" s="1" t="s">
        <v>28</v>
      </c>
      <c r="F77" s="1">
        <v>4787.12</v>
      </c>
      <c r="G77" s="1" t="s">
        <v>110</v>
      </c>
      <c r="H77" s="2">
        <v>32064</v>
      </c>
      <c r="I77" s="2">
        <v>45226</v>
      </c>
      <c r="J77" s="1">
        <v>1.25</v>
      </c>
      <c r="K77" s="1">
        <f t="shared" si="8"/>
        <v>59.838999999999999</v>
      </c>
      <c r="L77" s="1">
        <f t="shared" si="9"/>
        <v>4727.2809999999999</v>
      </c>
      <c r="N77" s="1" t="s">
        <v>49</v>
      </c>
      <c r="O77" s="1">
        <f t="shared" si="7"/>
        <v>11894.975898999999</v>
      </c>
      <c r="P77" s="1">
        <f t="shared" si="6"/>
        <v>18100.935582000002</v>
      </c>
      <c r="Q77" s="1">
        <f t="shared" si="6"/>
        <v>15229.709298</v>
      </c>
      <c r="R77" s="1">
        <f t="shared" si="6"/>
        <v>26664.369989999999</v>
      </c>
      <c r="S77" s="1">
        <f t="shared" si="6"/>
        <v>8831.3609529999994</v>
      </c>
      <c r="U77">
        <v>2251.0960770000002</v>
      </c>
      <c r="X77" s="1">
        <v>1093</v>
      </c>
      <c r="Y77" s="2">
        <v>45520</v>
      </c>
      <c r="Z77" s="1" t="str">
        <v>South</v>
      </c>
      <c r="AA77" s="1" t="str">
        <v>Tablet</v>
      </c>
      <c r="AB77" s="1" t="str">
        <v>Electronics</v>
      </c>
      <c r="AC77" s="1">
        <v>3885.89</v>
      </c>
      <c r="AD77" s="1" t="str">
        <v>Patricia Burton</v>
      </c>
      <c r="AE77" s="1">
        <v>24673</v>
      </c>
      <c r="AF77" s="1">
        <v>45525</v>
      </c>
      <c r="AG77" s="1">
        <v>42.07</v>
      </c>
      <c r="AH77" s="1">
        <v>1634.7939229999999</v>
      </c>
      <c r="AI77" s="1">
        <v>2251.0960770000002</v>
      </c>
    </row>
    <row r="78" spans="1:35" x14ac:dyDescent="0.35">
      <c r="A78" s="1">
        <v>1076</v>
      </c>
      <c r="B78" s="2">
        <v>44682</v>
      </c>
      <c r="C78" s="1" t="s">
        <v>21</v>
      </c>
      <c r="D78" s="1" t="s">
        <v>44</v>
      </c>
      <c r="E78" s="1" t="s">
        <v>16</v>
      </c>
      <c r="F78" s="1">
        <v>316.27</v>
      </c>
      <c r="G78" s="1" t="s">
        <v>111</v>
      </c>
      <c r="H78" s="2">
        <v>34704</v>
      </c>
      <c r="I78" s="2">
        <v>44695</v>
      </c>
      <c r="J78" s="1">
        <v>22.2</v>
      </c>
      <c r="K78" s="1">
        <f t="shared" si="8"/>
        <v>70.211939999999998</v>
      </c>
      <c r="L78" s="1">
        <f t="shared" si="9"/>
        <v>246.05805999999998</v>
      </c>
      <c r="N78" s="1" t="s">
        <v>53</v>
      </c>
      <c r="O78" s="1">
        <f t="shared" si="7"/>
        <v>20376.32056</v>
      </c>
      <c r="P78" s="1">
        <f t="shared" si="6"/>
        <v>18161.532391000001</v>
      </c>
      <c r="Q78" s="1">
        <f t="shared" si="6"/>
        <v>16509.162422999998</v>
      </c>
      <c r="R78" s="1">
        <f t="shared" si="6"/>
        <v>14103.160549</v>
      </c>
      <c r="S78" s="1">
        <f t="shared" si="6"/>
        <v>26545.062290999995</v>
      </c>
      <c r="U78">
        <v>2111.8117229999998</v>
      </c>
      <c r="X78" s="1">
        <v>1095</v>
      </c>
      <c r="Y78" s="2">
        <v>44895</v>
      </c>
      <c r="Z78" s="1" t="str">
        <v>North</v>
      </c>
      <c r="AA78" s="1" t="str">
        <v>Wardrobe</v>
      </c>
      <c r="AB78" s="1" t="str">
        <v>Furniture</v>
      </c>
      <c r="AC78" s="1">
        <v>3199.23</v>
      </c>
      <c r="AD78" s="1" t="str">
        <v>William Robles</v>
      </c>
      <c r="AE78" s="1">
        <v>30786</v>
      </c>
      <c r="AF78" s="1">
        <v>44905</v>
      </c>
      <c r="AG78" s="1">
        <v>33.99</v>
      </c>
      <c r="AH78" s="1">
        <v>1087.4182770000002</v>
      </c>
      <c r="AI78" s="1">
        <v>2111.8117229999998</v>
      </c>
    </row>
    <row r="79" spans="1:35" x14ac:dyDescent="0.35">
      <c r="A79" s="1">
        <v>1077</v>
      </c>
      <c r="B79" s="2">
        <v>44472</v>
      </c>
      <c r="C79" s="1" t="s">
        <v>10</v>
      </c>
      <c r="D79" s="1" t="s">
        <v>33</v>
      </c>
      <c r="E79" s="1" t="s">
        <v>16</v>
      </c>
      <c r="F79" s="1">
        <v>2607.7399999999998</v>
      </c>
      <c r="G79" s="1" t="s">
        <v>112</v>
      </c>
      <c r="H79" s="2">
        <v>38171</v>
      </c>
      <c r="I79" s="2">
        <v>44482</v>
      </c>
      <c r="J79" s="1">
        <v>36.32</v>
      </c>
      <c r="K79" s="1">
        <f t="shared" si="8"/>
        <v>947.131168</v>
      </c>
      <c r="L79" s="1">
        <f t="shared" si="9"/>
        <v>1660.6088319999999</v>
      </c>
      <c r="N79" s="1" t="s">
        <v>55</v>
      </c>
      <c r="O79" s="1">
        <f t="shared" si="7"/>
        <v>4588.5536920000004</v>
      </c>
      <c r="P79" s="1">
        <f t="shared" si="6"/>
        <v>22390.951775000001</v>
      </c>
      <c r="Q79" s="1">
        <f t="shared" si="6"/>
        <v>13679.097212000001</v>
      </c>
      <c r="R79" s="1">
        <f t="shared" si="6"/>
        <v>16057.703308</v>
      </c>
      <c r="S79" s="1">
        <f t="shared" si="6"/>
        <v>17074.215263999999</v>
      </c>
      <c r="U79">
        <v>1436.2796309999999</v>
      </c>
      <c r="X79" s="1">
        <v>1097</v>
      </c>
      <c r="Y79" s="2">
        <v>45757</v>
      </c>
      <c r="Z79" s="1" t="str">
        <v>Central</v>
      </c>
      <c r="AA79" s="1" t="str">
        <v>Tennis Racket</v>
      </c>
      <c r="AB79" s="1" t="str">
        <v>Sports</v>
      </c>
      <c r="AC79" s="1">
        <v>1679.27</v>
      </c>
      <c r="AD79" s="1" t="str">
        <v>James Campbell</v>
      </c>
      <c r="AE79" s="1">
        <v>28644</v>
      </c>
      <c r="AF79" s="1">
        <v>45768</v>
      </c>
      <c r="AG79" s="1">
        <v>14.47</v>
      </c>
      <c r="AH79" s="1">
        <v>242.99036899999999</v>
      </c>
      <c r="AI79" s="1">
        <v>1436.2796309999999</v>
      </c>
    </row>
    <row r="80" spans="1:35" x14ac:dyDescent="0.35">
      <c r="A80" s="1">
        <v>1078</v>
      </c>
      <c r="B80" s="2">
        <v>44790</v>
      </c>
      <c r="C80" s="1" t="s">
        <v>14</v>
      </c>
      <c r="D80" s="1" t="s">
        <v>55</v>
      </c>
      <c r="E80" s="1" t="s">
        <v>31</v>
      </c>
      <c r="F80" s="1">
        <v>1059.23</v>
      </c>
      <c r="G80" s="1" t="s">
        <v>20</v>
      </c>
      <c r="H80" s="2">
        <v>24232</v>
      </c>
      <c r="I80" s="2">
        <v>44795</v>
      </c>
      <c r="J80" s="1">
        <v>37.99</v>
      </c>
      <c r="K80" s="1">
        <f t="shared" si="8"/>
        <v>402.401477</v>
      </c>
      <c r="L80" s="1">
        <f t="shared" si="9"/>
        <v>656.82852300000002</v>
      </c>
      <c r="N80" s="1" t="s">
        <v>58</v>
      </c>
      <c r="O80" s="1">
        <f t="shared" si="7"/>
        <v>14048.348857000001</v>
      </c>
      <c r="P80" s="1">
        <f t="shared" si="7"/>
        <v>8527.6539760000014</v>
      </c>
      <c r="Q80" s="1">
        <f t="shared" si="7"/>
        <v>20417.503494000001</v>
      </c>
      <c r="R80" s="1">
        <f t="shared" si="7"/>
        <v>10158.781762999999</v>
      </c>
      <c r="S80" s="1">
        <f t="shared" si="7"/>
        <v>25835.104829999997</v>
      </c>
      <c r="U80">
        <v>1724.59917</v>
      </c>
      <c r="X80" s="1">
        <v>1098</v>
      </c>
      <c r="Y80" s="2">
        <v>44664</v>
      </c>
      <c r="Z80" s="1" t="str">
        <v>East</v>
      </c>
      <c r="AA80" s="1" t="str">
        <v>Basketball</v>
      </c>
      <c r="AB80" s="1" t="str">
        <v>Sports</v>
      </c>
      <c r="AC80" s="1">
        <v>3385.55</v>
      </c>
      <c r="AD80" s="1" t="str">
        <v>Peter Cook</v>
      </c>
      <c r="AE80" s="1">
        <v>31846</v>
      </c>
      <c r="AF80" s="1">
        <v>44670</v>
      </c>
      <c r="AG80" s="1">
        <v>49.06</v>
      </c>
      <c r="AH80" s="1">
        <v>1660.9508300000002</v>
      </c>
      <c r="AI80" s="1">
        <v>1724.59917</v>
      </c>
    </row>
    <row r="81" spans="1:35" x14ac:dyDescent="0.35">
      <c r="A81" s="1">
        <v>1079</v>
      </c>
      <c r="B81" s="2">
        <v>44587</v>
      </c>
      <c r="C81" s="1" t="s">
        <v>21</v>
      </c>
      <c r="D81" s="1" t="s">
        <v>11</v>
      </c>
      <c r="E81" s="1" t="s">
        <v>12</v>
      </c>
      <c r="F81" s="1">
        <v>222.13</v>
      </c>
      <c r="G81" s="1" t="s">
        <v>113</v>
      </c>
      <c r="H81" s="2">
        <v>25579</v>
      </c>
      <c r="I81" s="2">
        <v>44596</v>
      </c>
      <c r="J81" s="1">
        <v>47.93</v>
      </c>
      <c r="K81" s="1">
        <f t="shared" si="8"/>
        <v>106.466909</v>
      </c>
      <c r="L81" s="1">
        <f t="shared" si="9"/>
        <v>115.66309099999999</v>
      </c>
      <c r="N81" s="1" t="s">
        <v>61</v>
      </c>
      <c r="O81" s="1">
        <f t="shared" si="7"/>
        <v>3257.7426299999997</v>
      </c>
      <c r="P81" s="1">
        <f t="shared" si="7"/>
        <v>16817.766618999998</v>
      </c>
      <c r="Q81" s="1">
        <f t="shared" si="7"/>
        <v>11327.510855999999</v>
      </c>
      <c r="R81" s="1">
        <f t="shared" si="7"/>
        <v>22155.555258999997</v>
      </c>
      <c r="S81" s="1">
        <f t="shared" si="7"/>
        <v>21935.208814000001</v>
      </c>
      <c r="U81">
        <v>2089.9507840000001</v>
      </c>
      <c r="X81" s="1">
        <v>1099</v>
      </c>
      <c r="Y81" s="2">
        <v>44936</v>
      </c>
      <c r="Z81" s="1" t="str">
        <v>North</v>
      </c>
      <c r="AA81" s="1" t="str">
        <v>Camera</v>
      </c>
      <c r="AB81" s="1" t="str">
        <v>Electronics</v>
      </c>
      <c r="AC81" s="1">
        <v>3277.84</v>
      </c>
      <c r="AD81" s="1" t="str">
        <v>Danielle Holloway</v>
      </c>
      <c r="AE81" s="1">
        <v>26282</v>
      </c>
      <c r="AF81" s="1">
        <v>44949</v>
      </c>
      <c r="AG81" s="1">
        <v>36.24</v>
      </c>
      <c r="AH81" s="1">
        <v>1187.889216</v>
      </c>
      <c r="AI81" s="1">
        <v>2089.9507840000001</v>
      </c>
    </row>
    <row r="82" spans="1:35" x14ac:dyDescent="0.35">
      <c r="A82" s="1">
        <v>1080</v>
      </c>
      <c r="B82" s="2">
        <v>44967</v>
      </c>
      <c r="C82" s="1" t="s">
        <v>14</v>
      </c>
      <c r="D82" s="1" t="s">
        <v>27</v>
      </c>
      <c r="E82" s="1" t="s">
        <v>28</v>
      </c>
      <c r="F82" s="1">
        <v>2009.76</v>
      </c>
      <c r="G82" s="1" t="s">
        <v>72</v>
      </c>
      <c r="H82" s="2">
        <v>32992</v>
      </c>
      <c r="I82" s="2">
        <v>44971</v>
      </c>
      <c r="J82" s="1">
        <v>13.06</v>
      </c>
      <c r="K82" s="1">
        <f t="shared" si="8"/>
        <v>262.47465599999998</v>
      </c>
      <c r="L82" s="1">
        <f t="shared" si="9"/>
        <v>1747.2853439999999</v>
      </c>
      <c r="N82" s="1" t="s">
        <v>65</v>
      </c>
      <c r="O82" s="1">
        <f t="shared" si="7"/>
        <v>8698.4132609999997</v>
      </c>
      <c r="P82" s="1">
        <f t="shared" si="7"/>
        <v>14318.276094000001</v>
      </c>
      <c r="Q82" s="1">
        <f t="shared" si="7"/>
        <v>4281.6802360000001</v>
      </c>
      <c r="R82" s="1">
        <f t="shared" si="7"/>
        <v>16555.970590000001</v>
      </c>
      <c r="S82" s="1">
        <f t="shared" si="7"/>
        <v>16318.893445</v>
      </c>
      <c r="U82">
        <v>4443.8248000000003</v>
      </c>
      <c r="X82" s="1">
        <v>1100</v>
      </c>
      <c r="Y82" s="2">
        <v>45530</v>
      </c>
      <c r="Z82" s="1" t="str">
        <v>North</v>
      </c>
      <c r="AA82" s="1" t="str">
        <v>Basketball</v>
      </c>
      <c r="AB82" s="1" t="str">
        <v>Sports</v>
      </c>
      <c r="AC82" s="1">
        <v>4696</v>
      </c>
      <c r="AD82" s="1" t="str">
        <v>Katie Parker</v>
      </c>
      <c r="AE82" s="1">
        <v>37961</v>
      </c>
      <c r="AF82" s="1">
        <v>45533</v>
      </c>
      <c r="AG82" s="1">
        <v>5.37</v>
      </c>
      <c r="AH82" s="1">
        <v>252.17519999999999</v>
      </c>
      <c r="AI82" s="1">
        <v>4443.8248000000003</v>
      </c>
    </row>
    <row r="83" spans="1:35" x14ac:dyDescent="0.35">
      <c r="A83" s="1">
        <v>1081</v>
      </c>
      <c r="B83" s="2">
        <v>44548</v>
      </c>
      <c r="C83" s="1" t="s">
        <v>26</v>
      </c>
      <c r="D83" s="1" t="s">
        <v>30</v>
      </c>
      <c r="E83" s="1" t="s">
        <v>31</v>
      </c>
      <c r="F83" s="1">
        <v>556.89</v>
      </c>
      <c r="G83" s="1" t="s">
        <v>108</v>
      </c>
      <c r="H83" s="2">
        <v>33413</v>
      </c>
      <c r="I83" s="2">
        <v>44554</v>
      </c>
      <c r="J83" s="1">
        <v>9.42</v>
      </c>
      <c r="K83" s="1">
        <f t="shared" si="8"/>
        <v>52.459038</v>
      </c>
      <c r="L83" s="1">
        <f t="shared" si="9"/>
        <v>504.43096199999997</v>
      </c>
      <c r="N83" s="1" t="s">
        <v>69</v>
      </c>
      <c r="O83" s="1">
        <f t="shared" si="7"/>
        <v>16128.944704999998</v>
      </c>
      <c r="P83" s="1">
        <f t="shared" si="7"/>
        <v>24414.665888000003</v>
      </c>
      <c r="Q83" s="1">
        <f t="shared" si="7"/>
        <v>23610.861342000004</v>
      </c>
      <c r="R83" s="1">
        <f t="shared" si="7"/>
        <v>16739.889995000001</v>
      </c>
      <c r="S83" s="1">
        <f t="shared" si="7"/>
        <v>16942.739580000001</v>
      </c>
      <c r="U83">
        <v>3661.5051439999997</v>
      </c>
      <c r="X83" s="1">
        <v>1101</v>
      </c>
      <c r="Y83" s="2">
        <v>44098</v>
      </c>
      <c r="Z83" s="1" t="str">
        <v>East</v>
      </c>
      <c r="AA83" s="1" t="str">
        <v>Table</v>
      </c>
      <c r="AB83" s="1" t="str">
        <v>Furniture</v>
      </c>
      <c r="AC83" s="1">
        <v>4356.8599999999997</v>
      </c>
      <c r="AD83" s="1" t="str">
        <v>Amy Harris</v>
      </c>
      <c r="AE83" s="1">
        <v>26668</v>
      </c>
      <c r="AF83" s="1">
        <v>44104</v>
      </c>
      <c r="AG83" s="1">
        <v>15.96</v>
      </c>
      <c r="AH83" s="1">
        <v>695.35485600000004</v>
      </c>
      <c r="AI83" s="1">
        <v>3661.5051439999997</v>
      </c>
    </row>
    <row r="84" spans="1:35" x14ac:dyDescent="0.35">
      <c r="A84" s="1">
        <v>1082</v>
      </c>
      <c r="B84" s="2">
        <v>44142</v>
      </c>
      <c r="C84" s="1" t="s">
        <v>21</v>
      </c>
      <c r="D84" s="1" t="s">
        <v>73</v>
      </c>
      <c r="E84" s="1" t="s">
        <v>28</v>
      </c>
      <c r="F84" s="1">
        <v>711.12</v>
      </c>
      <c r="G84" s="1" t="s">
        <v>114</v>
      </c>
      <c r="H84" s="2">
        <v>28543</v>
      </c>
      <c r="I84" s="2">
        <v>44153</v>
      </c>
      <c r="J84" s="1">
        <v>49.69</v>
      </c>
      <c r="K84" s="1">
        <f t="shared" si="8"/>
        <v>353.35552799999999</v>
      </c>
      <c r="L84" s="1">
        <f t="shared" si="9"/>
        <v>357.76447200000001</v>
      </c>
      <c r="N84" s="1" t="s">
        <v>71</v>
      </c>
      <c r="O84" s="1">
        <f t="shared" si="7"/>
        <v>1207.4825699999999</v>
      </c>
      <c r="P84" s="1">
        <f t="shared" si="7"/>
        <v>5681.6179200000006</v>
      </c>
      <c r="Q84" s="1">
        <f t="shared" si="7"/>
        <v>16840.508097000002</v>
      </c>
      <c r="R84" s="1">
        <f t="shared" si="7"/>
        <v>12497.197133000001</v>
      </c>
      <c r="S84" s="1">
        <f t="shared" si="7"/>
        <v>21946.587007999995</v>
      </c>
      <c r="U84">
        <v>1388.2583519999998</v>
      </c>
      <c r="X84" s="1">
        <v>1102</v>
      </c>
      <c r="Y84" s="2">
        <v>44129</v>
      </c>
      <c r="Z84" s="1" t="str">
        <v>East</v>
      </c>
      <c r="AA84" s="1" t="str">
        <v>Football</v>
      </c>
      <c r="AB84" s="1" t="str">
        <v>Sports</v>
      </c>
      <c r="AC84" s="1">
        <v>1697.76</v>
      </c>
      <c r="AD84" s="1" t="str">
        <v>Edward Gonzalez</v>
      </c>
      <c r="AE84" s="1">
        <v>38750</v>
      </c>
      <c r="AF84" s="1">
        <v>44140</v>
      </c>
      <c r="AG84" s="1">
        <v>18.23</v>
      </c>
      <c r="AH84" s="1">
        <v>309.50164800000005</v>
      </c>
      <c r="AI84" s="1">
        <v>1388.2583519999998</v>
      </c>
    </row>
    <row r="85" spans="1:35" x14ac:dyDescent="0.35">
      <c r="A85" s="1">
        <v>1083</v>
      </c>
      <c r="B85" s="2">
        <v>44429</v>
      </c>
      <c r="C85" s="1" t="s">
        <v>10</v>
      </c>
      <c r="D85" s="1" t="s">
        <v>53</v>
      </c>
      <c r="E85" s="1" t="s">
        <v>28</v>
      </c>
      <c r="F85" s="1">
        <v>2800.45</v>
      </c>
      <c r="G85" s="1" t="s">
        <v>115</v>
      </c>
      <c r="H85" s="2">
        <v>29486</v>
      </c>
      <c r="I85" s="2">
        <v>44430</v>
      </c>
      <c r="J85" s="1">
        <v>19.16</v>
      </c>
      <c r="K85" s="1">
        <f t="shared" si="8"/>
        <v>536.56621999999993</v>
      </c>
      <c r="L85" s="1">
        <f t="shared" si="9"/>
        <v>2263.8837800000001</v>
      </c>
      <c r="N85" s="1" t="s">
        <v>73</v>
      </c>
      <c r="O85" s="1">
        <f t="shared" si="7"/>
        <v>16320.891432</v>
      </c>
      <c r="P85" s="1">
        <f t="shared" si="7"/>
        <v>12583.720648</v>
      </c>
      <c r="Q85" s="1">
        <f t="shared" si="7"/>
        <v>5935.9252330000008</v>
      </c>
      <c r="R85" s="1">
        <f t="shared" si="7"/>
        <v>18939.027484999999</v>
      </c>
      <c r="S85" s="1">
        <f t="shared" si="7"/>
        <v>35518.000290999997</v>
      </c>
      <c r="U85">
        <v>1898.0343359999999</v>
      </c>
      <c r="X85" s="1">
        <v>1103</v>
      </c>
      <c r="Y85" s="2">
        <v>45417</v>
      </c>
      <c r="Z85" s="1" t="str">
        <v>South</v>
      </c>
      <c r="AA85" s="1" t="str">
        <v>Jacket</v>
      </c>
      <c r="AB85" s="1" t="str">
        <v>Clothing</v>
      </c>
      <c r="AC85" s="1">
        <v>3125.88</v>
      </c>
      <c r="AD85" s="1" t="str">
        <v>Nicole Church</v>
      </c>
      <c r="AE85" s="1">
        <v>24348</v>
      </c>
      <c r="AF85" s="1">
        <v>45423</v>
      </c>
      <c r="AG85" s="1">
        <v>39.28</v>
      </c>
      <c r="AH85" s="1">
        <v>1227.8456640000002</v>
      </c>
      <c r="AI85" s="1">
        <v>1898.0343359999999</v>
      </c>
    </row>
    <row r="86" spans="1:35" x14ac:dyDescent="0.35">
      <c r="A86" s="1">
        <v>1084</v>
      </c>
      <c r="B86" s="2">
        <v>44453</v>
      </c>
      <c r="C86" s="1" t="s">
        <v>35</v>
      </c>
      <c r="D86" s="1" t="s">
        <v>71</v>
      </c>
      <c r="E86" s="1" t="s">
        <v>31</v>
      </c>
      <c r="F86" s="1">
        <v>3499.14</v>
      </c>
      <c r="G86" s="1" t="s">
        <v>116</v>
      </c>
      <c r="H86" s="2">
        <v>39294</v>
      </c>
      <c r="I86" s="2">
        <v>44463</v>
      </c>
      <c r="J86" s="1">
        <v>13.33</v>
      </c>
      <c r="K86" s="1">
        <f t="shared" si="8"/>
        <v>466.435362</v>
      </c>
      <c r="L86" s="1">
        <f t="shared" si="9"/>
        <v>3032.7046379999997</v>
      </c>
      <c r="N86" s="1" t="s">
        <v>88</v>
      </c>
      <c r="O86" s="1">
        <f t="shared" si="7"/>
        <v>7682.7014220000001</v>
      </c>
      <c r="P86" s="1">
        <f t="shared" si="7"/>
        <v>4800.2531349999999</v>
      </c>
      <c r="Q86" s="1">
        <f t="shared" si="7"/>
        <v>15744.640960000002</v>
      </c>
      <c r="R86" s="1">
        <f t="shared" si="7"/>
        <v>3077.466304</v>
      </c>
      <c r="S86" s="1">
        <f t="shared" si="7"/>
        <v>22996.671167999997</v>
      </c>
      <c r="U86">
        <v>2047.9748640000003</v>
      </c>
      <c r="X86" s="1">
        <v>1105</v>
      </c>
      <c r="Y86" s="2">
        <v>45179</v>
      </c>
      <c r="Z86" s="1" t="str">
        <v>Central</v>
      </c>
      <c r="AA86" s="1" t="str">
        <v>Cap</v>
      </c>
      <c r="AB86" s="1" t="str">
        <v>Clothing</v>
      </c>
      <c r="AC86" s="1">
        <v>3680.76</v>
      </c>
      <c r="AD86" s="1" t="str">
        <v>Jerry Smith</v>
      </c>
      <c r="AE86" s="1">
        <v>26027</v>
      </c>
      <c r="AF86" s="1">
        <v>45181</v>
      </c>
      <c r="AG86" s="1">
        <v>44.36</v>
      </c>
      <c r="AH86" s="1">
        <v>1632.785136</v>
      </c>
      <c r="AI86" s="1">
        <v>2047.9748640000003</v>
      </c>
    </row>
    <row r="87" spans="1:35" x14ac:dyDescent="0.35">
      <c r="A87" s="1">
        <v>1085</v>
      </c>
      <c r="B87" s="2">
        <v>44713</v>
      </c>
      <c r="C87" s="1" t="s">
        <v>21</v>
      </c>
      <c r="D87" s="1" t="s">
        <v>49</v>
      </c>
      <c r="E87" s="1" t="s">
        <v>12</v>
      </c>
      <c r="F87" s="1">
        <v>4470.8599999999997</v>
      </c>
      <c r="G87" s="1" t="s">
        <v>117</v>
      </c>
      <c r="H87" s="2">
        <v>23513</v>
      </c>
      <c r="I87" s="2">
        <v>44727</v>
      </c>
      <c r="J87" s="1">
        <v>32.76</v>
      </c>
      <c r="K87" s="1">
        <f t="shared" si="8"/>
        <v>1464.653736</v>
      </c>
      <c r="L87" s="1">
        <f t="shared" si="9"/>
        <v>3006.2062639999995</v>
      </c>
      <c r="N87" s="1" t="s">
        <v>102</v>
      </c>
      <c r="O87" s="1">
        <f t="shared" si="7"/>
        <v>25945.809299000004</v>
      </c>
      <c r="P87" s="1">
        <f t="shared" si="7"/>
        <v>2287.416033</v>
      </c>
      <c r="Q87" s="1">
        <f t="shared" si="7"/>
        <v>10726.488092000001</v>
      </c>
      <c r="R87" s="1">
        <f t="shared" si="7"/>
        <v>2257.2024030000002</v>
      </c>
      <c r="S87" s="1">
        <f t="shared" si="7"/>
        <v>0</v>
      </c>
      <c r="U87">
        <v>2245.4427569999998</v>
      </c>
      <c r="X87" s="1">
        <v>1106</v>
      </c>
      <c r="Y87" s="2">
        <v>44176</v>
      </c>
      <c r="Z87" s="1" t="str">
        <v>West</v>
      </c>
      <c r="AA87" s="1" t="str">
        <v>Rice</v>
      </c>
      <c r="AB87" s="1" t="str">
        <v>Groceries</v>
      </c>
      <c r="AC87" s="1">
        <v>2597.9899999999998</v>
      </c>
      <c r="AD87" s="1" t="str">
        <v>Michelle Pitts</v>
      </c>
      <c r="AE87" s="1">
        <v>38087</v>
      </c>
      <c r="AF87" s="1">
        <v>44189</v>
      </c>
      <c r="AG87" s="1">
        <v>13.57</v>
      </c>
      <c r="AH87" s="1">
        <v>352.54724300000004</v>
      </c>
      <c r="AI87" s="1">
        <v>2245.4427569999998</v>
      </c>
    </row>
    <row r="88" spans="1:35" x14ac:dyDescent="0.35">
      <c r="A88" s="1">
        <v>1086</v>
      </c>
      <c r="B88" s="2">
        <v>45703</v>
      </c>
      <c r="C88" s="1" t="s">
        <v>35</v>
      </c>
      <c r="D88" s="1" t="s">
        <v>24</v>
      </c>
      <c r="E88" s="1" t="s">
        <v>19</v>
      </c>
      <c r="F88" s="1">
        <v>3968.35</v>
      </c>
      <c r="G88" s="1" t="s">
        <v>118</v>
      </c>
      <c r="H88" s="2">
        <v>22599</v>
      </c>
      <c r="I88" s="2">
        <v>45712</v>
      </c>
      <c r="J88" s="1">
        <v>30.13</v>
      </c>
      <c r="K88" s="1">
        <f t="shared" si="8"/>
        <v>1195.663855</v>
      </c>
      <c r="L88" s="1">
        <f t="shared" si="9"/>
        <v>2772.6861449999997</v>
      </c>
      <c r="U88">
        <v>1816.2680319999999</v>
      </c>
      <c r="X88" s="1">
        <v>1107</v>
      </c>
      <c r="Y88" s="2">
        <v>45028</v>
      </c>
      <c r="Z88" s="1" t="str">
        <v>North</v>
      </c>
      <c r="AA88" s="1" t="str">
        <v>Tennis Racket</v>
      </c>
      <c r="AB88" s="1" t="str">
        <v>Sports</v>
      </c>
      <c r="AC88" s="1">
        <v>1943.78</v>
      </c>
      <c r="AD88" s="1" t="str">
        <v>Kirsten Wilkins</v>
      </c>
      <c r="AE88" s="1">
        <v>25430</v>
      </c>
      <c r="AF88" s="1">
        <v>45041</v>
      </c>
      <c r="AG88" s="1">
        <v>6.56</v>
      </c>
      <c r="AH88" s="1">
        <v>127.51196799999998</v>
      </c>
      <c r="AI88" s="1">
        <v>1816.2680319999999</v>
      </c>
    </row>
    <row r="89" spans="1:35" x14ac:dyDescent="0.35">
      <c r="A89" s="1">
        <v>1087</v>
      </c>
      <c r="B89" s="2">
        <v>45003</v>
      </c>
      <c r="C89" s="1" t="s">
        <v>35</v>
      </c>
      <c r="D89" s="1" t="s">
        <v>49</v>
      </c>
      <c r="E89" s="1" t="s">
        <v>12</v>
      </c>
      <c r="F89" s="1">
        <v>4586.37</v>
      </c>
      <c r="G89" s="1" t="s">
        <v>119</v>
      </c>
      <c r="H89" s="2">
        <v>34954</v>
      </c>
      <c r="I89" s="2">
        <v>45005</v>
      </c>
      <c r="J89" s="1">
        <v>40.15</v>
      </c>
      <c r="K89" s="1">
        <f t="shared" si="8"/>
        <v>1841.4275549999998</v>
      </c>
      <c r="L89" s="1">
        <f t="shared" si="9"/>
        <v>2744.9424450000001</v>
      </c>
      <c r="U89">
        <v>1000.7263799999999</v>
      </c>
      <c r="X89" s="1">
        <v>1108</v>
      </c>
      <c r="Y89" s="2">
        <v>44530</v>
      </c>
      <c r="Z89" s="1" t="str">
        <v>West</v>
      </c>
      <c r="AA89" s="1" t="str">
        <v>Smartphone</v>
      </c>
      <c r="AB89" s="1" t="str">
        <v>Electronics</v>
      </c>
      <c r="AC89" s="1">
        <v>1280.52</v>
      </c>
      <c r="AD89" s="1" t="str">
        <v>Brandon King</v>
      </c>
      <c r="AE89" s="1">
        <v>34364</v>
      </c>
      <c r="AF89" s="1">
        <v>44533</v>
      </c>
      <c r="AG89" s="1">
        <v>21.85</v>
      </c>
      <c r="AH89" s="1">
        <v>279.79362000000003</v>
      </c>
      <c r="AI89" s="1">
        <v>1000.7263799999999</v>
      </c>
    </row>
    <row r="90" spans="1:35" x14ac:dyDescent="0.35">
      <c r="A90" s="1">
        <v>1088</v>
      </c>
      <c r="B90" s="2">
        <v>45268</v>
      </c>
      <c r="C90" s="1" t="s">
        <v>26</v>
      </c>
      <c r="D90" s="1" t="s">
        <v>40</v>
      </c>
      <c r="E90" s="1" t="s">
        <v>16</v>
      </c>
      <c r="F90" s="1">
        <v>3650.88</v>
      </c>
      <c r="G90" s="1" t="s">
        <v>120</v>
      </c>
      <c r="H90" s="2">
        <v>30820</v>
      </c>
      <c r="I90" s="2">
        <v>45270</v>
      </c>
      <c r="J90" s="1">
        <v>31.44</v>
      </c>
      <c r="K90" s="1">
        <f t="shared" si="8"/>
        <v>1147.8366720000001</v>
      </c>
      <c r="L90" s="1">
        <f t="shared" si="9"/>
        <v>2503.0433279999997</v>
      </c>
      <c r="U90">
        <v>3706.4977739999995</v>
      </c>
      <c r="X90" s="1">
        <v>1109</v>
      </c>
      <c r="Y90" s="2">
        <v>44456</v>
      </c>
      <c r="Z90" s="1" t="str">
        <v>West</v>
      </c>
      <c r="AA90" s="1" t="str">
        <v>Wardrobe</v>
      </c>
      <c r="AB90" s="1" t="str">
        <v>Furniture</v>
      </c>
      <c r="AC90" s="1">
        <v>4143.1899999999996</v>
      </c>
      <c r="AD90" s="1" t="str">
        <v>Toni Lopez</v>
      </c>
      <c r="AE90" s="1">
        <v>23264</v>
      </c>
      <c r="AF90" s="1">
        <v>44468</v>
      </c>
      <c r="AG90" s="1">
        <v>10.54</v>
      </c>
      <c r="AH90" s="1">
        <v>436.69222599999995</v>
      </c>
      <c r="AI90" s="1">
        <v>3706.4977739999995</v>
      </c>
    </row>
    <row r="91" spans="1:35" x14ac:dyDescent="0.35">
      <c r="A91" s="1">
        <v>1089</v>
      </c>
      <c r="B91" s="2">
        <v>45319</v>
      </c>
      <c r="C91" s="1" t="s">
        <v>26</v>
      </c>
      <c r="D91" s="1" t="s">
        <v>38</v>
      </c>
      <c r="E91" s="1" t="s">
        <v>28</v>
      </c>
      <c r="F91" s="1">
        <v>2648.98</v>
      </c>
      <c r="G91" s="1" t="s">
        <v>121</v>
      </c>
      <c r="H91" s="2">
        <v>24580</v>
      </c>
      <c r="I91" s="2">
        <v>45332</v>
      </c>
      <c r="J91" s="1">
        <v>32.72</v>
      </c>
      <c r="K91" s="1">
        <f t="shared" si="8"/>
        <v>866.74625600000002</v>
      </c>
      <c r="L91" s="1">
        <f t="shared" si="9"/>
        <v>1782.2337440000001</v>
      </c>
      <c r="U91">
        <v>3195.6062319999996</v>
      </c>
      <c r="X91" s="1">
        <v>1110</v>
      </c>
      <c r="Y91" s="2">
        <v>45174</v>
      </c>
      <c r="Z91" s="1" t="str">
        <v>Central</v>
      </c>
      <c r="AA91" s="1" t="str">
        <v>Chair</v>
      </c>
      <c r="AB91" s="1" t="str">
        <v>Furniture</v>
      </c>
      <c r="AC91" s="1">
        <v>3945.68</v>
      </c>
      <c r="AD91" s="1" t="str">
        <v>Lee Hobbs</v>
      </c>
      <c r="AE91" s="1">
        <v>30299</v>
      </c>
      <c r="AF91" s="1">
        <v>45178</v>
      </c>
      <c r="AG91" s="1">
        <v>19.010000000000002</v>
      </c>
      <c r="AH91" s="1">
        <v>750.07376800000009</v>
      </c>
      <c r="AI91" s="1">
        <v>3195.6062319999996</v>
      </c>
    </row>
    <row r="92" spans="1:35" x14ac:dyDescent="0.35">
      <c r="A92" s="1">
        <v>1090</v>
      </c>
      <c r="B92" s="2">
        <v>45589</v>
      </c>
      <c r="C92" s="1" t="s">
        <v>14</v>
      </c>
      <c r="D92" s="1" t="s">
        <v>71</v>
      </c>
      <c r="E92" s="1" t="s">
        <v>31</v>
      </c>
      <c r="F92" s="1">
        <v>4552.96</v>
      </c>
      <c r="G92" s="1" t="s">
        <v>122</v>
      </c>
      <c r="H92" s="2">
        <v>29720</v>
      </c>
      <c r="I92" s="2">
        <v>45598</v>
      </c>
      <c r="J92" s="1">
        <v>45.91</v>
      </c>
      <c r="K92" s="1">
        <f t="shared" si="8"/>
        <v>2090.2639359999998</v>
      </c>
      <c r="L92" s="1">
        <f t="shared" si="9"/>
        <v>2462.6960640000002</v>
      </c>
      <c r="U92">
        <v>3423.3268160000002</v>
      </c>
      <c r="X92" s="1">
        <v>1111</v>
      </c>
      <c r="Y92" s="2">
        <v>45144</v>
      </c>
      <c r="Z92" s="1" t="str">
        <v>Central</v>
      </c>
      <c r="AA92" s="1" t="str">
        <v>Table</v>
      </c>
      <c r="AB92" s="1" t="str">
        <v>Furniture</v>
      </c>
      <c r="AC92" s="1">
        <v>3954.86</v>
      </c>
      <c r="AD92" s="1" t="str">
        <v>Danielle Blake</v>
      </c>
      <c r="AE92" s="1">
        <v>38018</v>
      </c>
      <c r="AF92" s="1">
        <v>45158</v>
      </c>
      <c r="AG92" s="1">
        <v>13.44</v>
      </c>
      <c r="AH92" s="1">
        <v>531.53318400000001</v>
      </c>
      <c r="AI92" s="1">
        <v>3423.3268160000002</v>
      </c>
    </row>
    <row r="93" spans="1:35" x14ac:dyDescent="0.35">
      <c r="A93" s="1">
        <v>1091</v>
      </c>
      <c r="B93" s="2">
        <v>45476</v>
      </c>
      <c r="C93" s="1" t="s">
        <v>10</v>
      </c>
      <c r="D93" s="1" t="s">
        <v>30</v>
      </c>
      <c r="E93" s="1" t="s">
        <v>31</v>
      </c>
      <c r="F93" s="1">
        <v>1851.24</v>
      </c>
      <c r="G93" s="1" t="s">
        <v>123</v>
      </c>
      <c r="H93" s="2">
        <v>36120</v>
      </c>
      <c r="I93" s="2">
        <v>45479</v>
      </c>
      <c r="J93" s="1">
        <v>24.89</v>
      </c>
      <c r="K93" s="1">
        <f t="shared" si="8"/>
        <v>460.77363600000001</v>
      </c>
      <c r="L93" s="1">
        <f t="shared" si="9"/>
        <v>1390.4663639999999</v>
      </c>
      <c r="U93">
        <v>1993.9886459999998</v>
      </c>
      <c r="X93" s="1">
        <v>1113</v>
      </c>
      <c r="Y93" s="2">
        <v>44853</v>
      </c>
      <c r="Z93" s="1" t="str">
        <v>North</v>
      </c>
      <c r="AA93" s="1" t="str">
        <v>Oil</v>
      </c>
      <c r="AB93" s="1" t="str">
        <v>Groceries</v>
      </c>
      <c r="AC93" s="1">
        <v>3348.99</v>
      </c>
      <c r="AD93" s="1" t="str">
        <v>Thomas Smith</v>
      </c>
      <c r="AE93" s="1">
        <v>36905</v>
      </c>
      <c r="AF93" s="1">
        <v>44857</v>
      </c>
      <c r="AG93" s="1">
        <v>40.46</v>
      </c>
      <c r="AH93" s="1">
        <v>1355.001354</v>
      </c>
      <c r="AI93" s="1">
        <v>1993.9886459999998</v>
      </c>
    </row>
    <row r="94" spans="1:35" x14ac:dyDescent="0.35">
      <c r="A94" s="1">
        <v>1092</v>
      </c>
      <c r="B94" s="2">
        <v>45544</v>
      </c>
      <c r="C94" s="1" t="s">
        <v>10</v>
      </c>
      <c r="D94" s="1" t="s">
        <v>53</v>
      </c>
      <c r="E94" s="1" t="s">
        <v>28</v>
      </c>
      <c r="F94" s="1">
        <v>2920.84</v>
      </c>
      <c r="G94" s="1" t="s">
        <v>110</v>
      </c>
      <c r="H94" s="2">
        <v>32064</v>
      </c>
      <c r="I94" s="2">
        <v>45556</v>
      </c>
      <c r="J94" s="1">
        <v>13.81</v>
      </c>
      <c r="K94" s="1">
        <f t="shared" si="8"/>
        <v>403.36800400000004</v>
      </c>
      <c r="L94" s="1">
        <f t="shared" si="9"/>
        <v>2517.4719960000002</v>
      </c>
      <c r="U94">
        <v>2284.9682130000001</v>
      </c>
      <c r="X94" s="1">
        <v>1115</v>
      </c>
      <c r="Y94" s="2">
        <v>44218</v>
      </c>
      <c r="Z94" s="1" t="str">
        <v>Central</v>
      </c>
      <c r="AA94" s="1" t="str">
        <v>Sofa</v>
      </c>
      <c r="AB94" s="1" t="str">
        <v>Furniture</v>
      </c>
      <c r="AC94" s="1">
        <v>3960.77</v>
      </c>
      <c r="AD94" s="1" t="str">
        <v>Elizabeth Lee MD</v>
      </c>
      <c r="AE94" s="1">
        <v>25948</v>
      </c>
      <c r="AF94" s="1">
        <v>44222</v>
      </c>
      <c r="AG94" s="1">
        <v>42.31</v>
      </c>
      <c r="AH94" s="1">
        <v>1675.8017870000001</v>
      </c>
      <c r="AI94" s="1">
        <v>2284.9682130000001</v>
      </c>
    </row>
    <row r="95" spans="1:35" x14ac:dyDescent="0.35">
      <c r="A95" s="1">
        <v>1093</v>
      </c>
      <c r="B95" s="2">
        <v>45520</v>
      </c>
      <c r="C95" s="1" t="s">
        <v>21</v>
      </c>
      <c r="D95" s="1" t="s">
        <v>18</v>
      </c>
      <c r="E95" s="1" t="s">
        <v>19</v>
      </c>
      <c r="F95" s="1">
        <v>3885.89</v>
      </c>
      <c r="G95" s="1" t="s">
        <v>83</v>
      </c>
      <c r="H95" s="2">
        <v>24673</v>
      </c>
      <c r="I95" s="2">
        <v>45525</v>
      </c>
      <c r="J95" s="1">
        <v>42.07</v>
      </c>
      <c r="K95" s="1">
        <f t="shared" si="8"/>
        <v>1634.7939229999999</v>
      </c>
      <c r="L95" s="1">
        <f t="shared" si="9"/>
        <v>2251.0960770000002</v>
      </c>
      <c r="U95">
        <v>1886.2197999999999</v>
      </c>
      <c r="X95" s="1">
        <v>1116</v>
      </c>
      <c r="Y95" s="2">
        <v>45044</v>
      </c>
      <c r="Z95" s="1" t="str">
        <v>North</v>
      </c>
      <c r="AA95" s="1" t="str">
        <v>Smartphone</v>
      </c>
      <c r="AB95" s="1" t="str">
        <v>Electronics</v>
      </c>
      <c r="AC95" s="1">
        <v>2449</v>
      </c>
      <c r="AD95" s="1" t="str">
        <v>Melissa Holt</v>
      </c>
      <c r="AE95" s="1">
        <v>29381</v>
      </c>
      <c r="AF95" s="1">
        <v>45056</v>
      </c>
      <c r="AG95" s="1">
        <v>22.98</v>
      </c>
      <c r="AH95" s="1">
        <v>562.78020000000004</v>
      </c>
      <c r="AI95" s="1">
        <v>1886.2197999999999</v>
      </c>
    </row>
    <row r="96" spans="1:35" x14ac:dyDescent="0.35">
      <c r="A96" s="1">
        <v>1094</v>
      </c>
      <c r="B96" s="2">
        <v>45658</v>
      </c>
      <c r="C96" s="1" t="s">
        <v>21</v>
      </c>
      <c r="D96" s="1" t="s">
        <v>58</v>
      </c>
      <c r="E96" s="1" t="s">
        <v>31</v>
      </c>
      <c r="F96" s="1">
        <v>406.83</v>
      </c>
      <c r="G96" s="1" t="s">
        <v>95</v>
      </c>
      <c r="H96" s="2">
        <v>25821</v>
      </c>
      <c r="I96" s="2">
        <v>45669</v>
      </c>
      <c r="J96" s="1">
        <v>17.48</v>
      </c>
      <c r="K96" s="1">
        <f t="shared" si="8"/>
        <v>71.113883999999999</v>
      </c>
      <c r="L96" s="1">
        <f t="shared" si="9"/>
        <v>335.716116</v>
      </c>
      <c r="U96">
        <v>1089.8897030000001</v>
      </c>
      <c r="X96" s="1">
        <v>1117</v>
      </c>
      <c r="Y96" s="2">
        <v>44445</v>
      </c>
      <c r="Z96" s="1" t="str">
        <v>West</v>
      </c>
      <c r="AA96" s="1" t="str">
        <v>Rice</v>
      </c>
      <c r="AB96" s="1" t="str">
        <v>Groceries</v>
      </c>
      <c r="AC96" s="1">
        <v>1567.51</v>
      </c>
      <c r="AD96" s="1" t="str">
        <v>Jennifer Martinez</v>
      </c>
      <c r="AE96" s="1">
        <v>24579</v>
      </c>
      <c r="AF96" s="1">
        <v>44456</v>
      </c>
      <c r="AG96" s="1">
        <v>30.47</v>
      </c>
      <c r="AH96" s="1">
        <v>477.62029699999994</v>
      </c>
      <c r="AI96" s="1">
        <v>1089.8897030000001</v>
      </c>
    </row>
    <row r="97" spans="1:35" x14ac:dyDescent="0.35">
      <c r="A97" s="1">
        <v>1095</v>
      </c>
      <c r="B97" s="2">
        <v>44895</v>
      </c>
      <c r="C97" s="1" t="s">
        <v>14</v>
      </c>
      <c r="D97" s="1" t="s">
        <v>36</v>
      </c>
      <c r="E97" s="1" t="s">
        <v>28</v>
      </c>
      <c r="F97" s="1">
        <v>3199.23</v>
      </c>
      <c r="G97" s="1" t="s">
        <v>124</v>
      </c>
      <c r="H97" s="2">
        <v>30786</v>
      </c>
      <c r="I97" s="2">
        <v>44905</v>
      </c>
      <c r="J97" s="1">
        <v>33.99</v>
      </c>
      <c r="K97" s="1">
        <f t="shared" si="8"/>
        <v>1087.4182770000002</v>
      </c>
      <c r="L97" s="1">
        <f t="shared" si="9"/>
        <v>2111.8117229999998</v>
      </c>
      <c r="U97">
        <v>1896.7003160000002</v>
      </c>
      <c r="X97" s="1">
        <v>1118</v>
      </c>
      <c r="Y97" s="2">
        <v>44966</v>
      </c>
      <c r="Z97" s="1" t="str">
        <v>East</v>
      </c>
      <c r="AA97" s="1" t="str">
        <v>Jacket</v>
      </c>
      <c r="AB97" s="1" t="str">
        <v>Clothing</v>
      </c>
      <c r="AC97" s="1">
        <v>2984.11</v>
      </c>
      <c r="AD97" s="1" t="str">
        <v>Laura Fowler DVM</v>
      </c>
      <c r="AE97" s="1">
        <v>35559</v>
      </c>
      <c r="AF97" s="1">
        <v>44979</v>
      </c>
      <c r="AG97" s="1">
        <v>36.44</v>
      </c>
      <c r="AH97" s="1">
        <v>1087.409684</v>
      </c>
      <c r="AI97" s="1">
        <v>1896.7003160000002</v>
      </c>
    </row>
    <row r="98" spans="1:35" x14ac:dyDescent="0.35">
      <c r="A98" s="1">
        <v>1096</v>
      </c>
      <c r="B98" s="2">
        <v>44322</v>
      </c>
      <c r="C98" s="1" t="s">
        <v>14</v>
      </c>
      <c r="D98" s="1" t="s">
        <v>22</v>
      </c>
      <c r="E98" s="1" t="s">
        <v>19</v>
      </c>
      <c r="F98" s="1">
        <v>494.78</v>
      </c>
      <c r="G98" s="1" t="s">
        <v>125</v>
      </c>
      <c r="H98" s="2">
        <v>28830</v>
      </c>
      <c r="I98" s="2">
        <v>44331</v>
      </c>
      <c r="J98" s="1">
        <v>35.520000000000003</v>
      </c>
      <c r="K98" s="1">
        <f t="shared" si="8"/>
        <v>175.745856</v>
      </c>
      <c r="L98" s="1">
        <f t="shared" si="9"/>
        <v>319.03414399999997</v>
      </c>
      <c r="U98">
        <v>2220.4956400000001</v>
      </c>
      <c r="X98" s="1">
        <v>1119</v>
      </c>
      <c r="Y98" s="2">
        <v>45818</v>
      </c>
      <c r="Z98" s="1" t="str">
        <v>Central</v>
      </c>
      <c r="AA98" s="1" t="str">
        <v>Basketball</v>
      </c>
      <c r="AB98" s="1" t="str">
        <v>Sports</v>
      </c>
      <c r="AC98" s="1">
        <v>3346.64</v>
      </c>
      <c r="AD98" s="1" t="str">
        <v>Kyle Thomas</v>
      </c>
      <c r="AE98" s="1">
        <v>29541</v>
      </c>
      <c r="AF98" s="1">
        <v>45821</v>
      </c>
      <c r="AG98" s="1">
        <v>33.65</v>
      </c>
      <c r="AH98" s="1">
        <v>1126.1443599999998</v>
      </c>
      <c r="AI98" s="1">
        <v>2220.4956400000001</v>
      </c>
    </row>
    <row r="99" spans="1:35" x14ac:dyDescent="0.35">
      <c r="A99" s="1">
        <v>1097</v>
      </c>
      <c r="B99" s="2">
        <v>45757</v>
      </c>
      <c r="C99" s="1" t="s">
        <v>35</v>
      </c>
      <c r="D99" s="1" t="s">
        <v>47</v>
      </c>
      <c r="E99" s="1" t="s">
        <v>12</v>
      </c>
      <c r="F99" s="1">
        <v>1679.27</v>
      </c>
      <c r="G99" s="1" t="s">
        <v>126</v>
      </c>
      <c r="H99" s="2">
        <v>28644</v>
      </c>
      <c r="I99" s="2">
        <v>45768</v>
      </c>
      <c r="J99" s="1">
        <v>14.47</v>
      </c>
      <c r="K99" s="1">
        <f t="shared" si="8"/>
        <v>242.99036899999999</v>
      </c>
      <c r="L99" s="1">
        <f t="shared" si="9"/>
        <v>1436.2796309999999</v>
      </c>
      <c r="U99">
        <v>1889.130159</v>
      </c>
      <c r="X99" s="1">
        <v>1121</v>
      </c>
      <c r="Y99" s="2">
        <v>45534</v>
      </c>
      <c r="Z99" s="1" t="str">
        <v>East</v>
      </c>
      <c r="AA99" s="1" t="str">
        <v>Table</v>
      </c>
      <c r="AB99" s="1" t="str">
        <v>Furniture</v>
      </c>
      <c r="AC99" s="1">
        <v>3263.31</v>
      </c>
      <c r="AD99" s="1" t="str">
        <v>Regina Gay</v>
      </c>
      <c r="AE99" s="1">
        <v>34571</v>
      </c>
      <c r="AF99" s="1">
        <v>45537</v>
      </c>
      <c r="AG99" s="1">
        <v>42.11</v>
      </c>
      <c r="AH99" s="1">
        <v>1374.1798409999999</v>
      </c>
      <c r="AI99" s="1">
        <v>1889.130159</v>
      </c>
    </row>
    <row r="100" spans="1:35" x14ac:dyDescent="0.35">
      <c r="A100" s="1">
        <v>1098</v>
      </c>
      <c r="B100" s="2">
        <v>44664</v>
      </c>
      <c r="C100" s="1" t="s">
        <v>26</v>
      </c>
      <c r="D100" s="1" t="s">
        <v>11</v>
      </c>
      <c r="E100" s="1" t="s">
        <v>12</v>
      </c>
      <c r="F100" s="1">
        <v>3385.55</v>
      </c>
      <c r="G100" s="1" t="s">
        <v>127</v>
      </c>
      <c r="H100" s="2">
        <v>31846</v>
      </c>
      <c r="I100" s="2">
        <v>44670</v>
      </c>
      <c r="J100" s="1">
        <v>49.06</v>
      </c>
      <c r="K100" s="1">
        <f t="shared" si="8"/>
        <v>1660.9508300000002</v>
      </c>
      <c r="L100" s="1">
        <f t="shared" si="9"/>
        <v>1724.59917</v>
      </c>
      <c r="U100">
        <v>2117.2799340000001</v>
      </c>
      <c r="X100" s="1">
        <v>1122</v>
      </c>
      <c r="Y100" s="2">
        <v>44929</v>
      </c>
      <c r="Z100" s="1" t="str">
        <v>Central</v>
      </c>
      <c r="AA100" s="1" t="str">
        <v>Wardrobe</v>
      </c>
      <c r="AB100" s="1" t="str">
        <v>Furniture</v>
      </c>
      <c r="AC100" s="1">
        <v>2326.17</v>
      </c>
      <c r="AD100" s="1" t="str">
        <v>Aaron Smith</v>
      </c>
      <c r="AE100" s="1">
        <v>23470</v>
      </c>
      <c r="AF100" s="1">
        <v>44938</v>
      </c>
      <c r="AG100" s="1">
        <v>8.98</v>
      </c>
      <c r="AH100" s="1">
        <v>208.89006600000002</v>
      </c>
      <c r="AI100" s="1">
        <v>2117.2799340000001</v>
      </c>
    </row>
    <row r="101" spans="1:35" x14ac:dyDescent="0.35">
      <c r="A101" s="1">
        <v>1099</v>
      </c>
      <c r="B101" s="2">
        <v>44936</v>
      </c>
      <c r="C101" s="1" t="s">
        <v>14</v>
      </c>
      <c r="D101" s="1" t="s">
        <v>24</v>
      </c>
      <c r="E101" s="1" t="s">
        <v>19</v>
      </c>
      <c r="F101" s="1">
        <v>3277.84</v>
      </c>
      <c r="G101" s="1" t="s">
        <v>39</v>
      </c>
      <c r="H101" s="2">
        <v>26282</v>
      </c>
      <c r="I101" s="2">
        <v>44949</v>
      </c>
      <c r="J101" s="1">
        <v>36.24</v>
      </c>
      <c r="K101" s="1">
        <f t="shared" si="8"/>
        <v>1187.889216</v>
      </c>
      <c r="L101" s="1">
        <f t="shared" si="9"/>
        <v>2089.9507840000001</v>
      </c>
      <c r="U101">
        <v>4067.3138130000002</v>
      </c>
      <c r="X101" s="1">
        <v>1123</v>
      </c>
      <c r="Y101" s="2">
        <v>45807</v>
      </c>
      <c r="Z101" s="1" t="str">
        <v>South</v>
      </c>
      <c r="AA101" s="1" t="str">
        <v>Cap</v>
      </c>
      <c r="AB101" s="1" t="str">
        <v>Clothing</v>
      </c>
      <c r="AC101" s="1">
        <v>4103.01</v>
      </c>
      <c r="AD101" s="1" t="str">
        <v>Kimberly Carey</v>
      </c>
      <c r="AE101" s="1">
        <v>24961</v>
      </c>
      <c r="AF101" s="1">
        <v>45812</v>
      </c>
      <c r="AG101" s="1">
        <v>0.87</v>
      </c>
      <c r="AH101" s="1">
        <v>35.696187000000002</v>
      </c>
      <c r="AI101" s="1">
        <v>4067.3138130000002</v>
      </c>
    </row>
    <row r="102" spans="1:35" x14ac:dyDescent="0.35">
      <c r="A102" s="1">
        <v>1100</v>
      </c>
      <c r="B102" s="2">
        <v>45530</v>
      </c>
      <c r="C102" s="1" t="s">
        <v>14</v>
      </c>
      <c r="D102" s="1" t="s">
        <v>11</v>
      </c>
      <c r="E102" s="1" t="s">
        <v>12</v>
      </c>
      <c r="F102" s="1">
        <v>4696</v>
      </c>
      <c r="G102" s="1" t="s">
        <v>128</v>
      </c>
      <c r="H102" s="2">
        <v>37961</v>
      </c>
      <c r="I102" s="2">
        <v>45533</v>
      </c>
      <c r="J102" s="1">
        <v>5.37</v>
      </c>
      <c r="K102" s="1">
        <f t="shared" si="8"/>
        <v>252.17519999999999</v>
      </c>
      <c r="L102" s="1">
        <f t="shared" si="9"/>
        <v>4443.8248000000003</v>
      </c>
      <c r="U102">
        <v>3240.2274120000002</v>
      </c>
      <c r="X102" s="1">
        <v>1124</v>
      </c>
      <c r="Y102" s="2">
        <v>45207</v>
      </c>
      <c r="Z102" s="1" t="str">
        <v>West</v>
      </c>
      <c r="AA102" s="1" t="str">
        <v>Jeans</v>
      </c>
      <c r="AB102" s="1" t="str">
        <v>Clothing</v>
      </c>
      <c r="AC102" s="1">
        <v>3578.78</v>
      </c>
      <c r="AD102" s="1" t="str">
        <v>Danny Tran</v>
      </c>
      <c r="AE102" s="1">
        <v>34343</v>
      </c>
      <c r="AF102" s="1">
        <v>45216</v>
      </c>
      <c r="AG102" s="1">
        <v>9.4600000000000009</v>
      </c>
      <c r="AH102" s="1">
        <v>338.55258800000001</v>
      </c>
      <c r="AI102" s="1">
        <v>3240.2274120000002</v>
      </c>
    </row>
    <row r="103" spans="1:35" x14ac:dyDescent="0.35">
      <c r="A103" s="1">
        <v>1101</v>
      </c>
      <c r="B103" s="2">
        <v>44098</v>
      </c>
      <c r="C103" s="1" t="s">
        <v>26</v>
      </c>
      <c r="D103" s="1" t="s">
        <v>73</v>
      </c>
      <c r="E103" s="1" t="s">
        <v>28</v>
      </c>
      <c r="F103" s="1">
        <v>4356.8599999999997</v>
      </c>
      <c r="G103" s="1" t="s">
        <v>129</v>
      </c>
      <c r="H103" s="2">
        <v>26668</v>
      </c>
      <c r="I103" s="2">
        <v>44104</v>
      </c>
      <c r="J103" s="1">
        <v>15.96</v>
      </c>
      <c r="K103" s="1">
        <f t="shared" si="8"/>
        <v>695.35485600000004</v>
      </c>
      <c r="L103" s="1">
        <f t="shared" si="9"/>
        <v>3661.5051439999997</v>
      </c>
      <c r="U103">
        <v>2695.2261119999998</v>
      </c>
      <c r="X103" s="1">
        <v>1125</v>
      </c>
      <c r="Y103" s="2">
        <v>44559</v>
      </c>
      <c r="Z103" s="1" t="str">
        <v>South</v>
      </c>
      <c r="AA103" s="1" t="str">
        <v>Headphones</v>
      </c>
      <c r="AB103" s="1" t="str">
        <v>Electronics</v>
      </c>
      <c r="AC103" s="1">
        <v>3102.24</v>
      </c>
      <c r="AD103" s="1" t="str">
        <v>Taylor Richardson</v>
      </c>
      <c r="AE103" s="1">
        <v>25853</v>
      </c>
      <c r="AF103" s="1">
        <v>44570</v>
      </c>
      <c r="AG103" s="1">
        <v>13.12</v>
      </c>
      <c r="AH103" s="1">
        <v>407.01388799999989</v>
      </c>
      <c r="AI103" s="1">
        <v>2695.2261119999998</v>
      </c>
    </row>
    <row r="104" spans="1:35" x14ac:dyDescent="0.35">
      <c r="A104" s="1">
        <v>1102</v>
      </c>
      <c r="B104" s="2">
        <v>44129</v>
      </c>
      <c r="C104" s="1" t="s">
        <v>26</v>
      </c>
      <c r="D104" s="1" t="s">
        <v>49</v>
      </c>
      <c r="E104" s="1" t="s">
        <v>12</v>
      </c>
      <c r="F104" s="1">
        <v>1697.76</v>
      </c>
      <c r="G104" s="1" t="s">
        <v>130</v>
      </c>
      <c r="H104" s="2">
        <v>38750</v>
      </c>
      <c r="I104" s="2">
        <v>44140</v>
      </c>
      <c r="J104" s="1">
        <v>18.23</v>
      </c>
      <c r="K104" s="1">
        <f t="shared" si="8"/>
        <v>309.50164800000005</v>
      </c>
      <c r="L104" s="1">
        <f t="shared" si="9"/>
        <v>1388.2583519999998</v>
      </c>
      <c r="U104">
        <v>2079.981585</v>
      </c>
      <c r="X104" s="1">
        <v>1126</v>
      </c>
      <c r="Y104" s="2">
        <v>44298</v>
      </c>
      <c r="Z104" s="1" t="str">
        <v>West</v>
      </c>
      <c r="AA104" s="1" t="str">
        <v>Bed</v>
      </c>
      <c r="AB104" s="1" t="str">
        <v>Furniture</v>
      </c>
      <c r="AC104" s="1">
        <v>2539.35</v>
      </c>
      <c r="AD104" s="1" t="str">
        <v>April Morgan</v>
      </c>
      <c r="AE104" s="1">
        <v>22870</v>
      </c>
      <c r="AF104" s="1">
        <v>44302</v>
      </c>
      <c r="AG104" s="1">
        <v>18.09</v>
      </c>
      <c r="AH104" s="1">
        <v>459.36841499999997</v>
      </c>
      <c r="AI104" s="1">
        <v>2079.981585</v>
      </c>
    </row>
    <row r="105" spans="1:35" x14ac:dyDescent="0.35">
      <c r="A105" s="1">
        <v>1103</v>
      </c>
      <c r="B105" s="2">
        <v>45417</v>
      </c>
      <c r="C105" s="1" t="s">
        <v>21</v>
      </c>
      <c r="D105" s="1" t="s">
        <v>55</v>
      </c>
      <c r="E105" s="1" t="s">
        <v>31</v>
      </c>
      <c r="F105" s="1">
        <v>3125.88</v>
      </c>
      <c r="G105" s="1" t="s">
        <v>13</v>
      </c>
      <c r="H105" s="2">
        <v>24348</v>
      </c>
      <c r="I105" s="2">
        <v>45423</v>
      </c>
      <c r="J105" s="1">
        <v>39.28</v>
      </c>
      <c r="K105" s="1">
        <f t="shared" si="8"/>
        <v>1227.8456640000002</v>
      </c>
      <c r="L105" s="1">
        <f t="shared" si="9"/>
        <v>1898.0343359999999</v>
      </c>
      <c r="U105">
        <v>1959.615548</v>
      </c>
      <c r="X105" s="1">
        <v>1127</v>
      </c>
      <c r="Y105" s="2">
        <v>45488</v>
      </c>
      <c r="Z105" s="1" t="str">
        <v>West</v>
      </c>
      <c r="AA105" s="1" t="str">
        <v>Jeans</v>
      </c>
      <c r="AB105" s="1" t="str">
        <v>Clothing</v>
      </c>
      <c r="AC105" s="1">
        <v>1990.67</v>
      </c>
      <c r="AD105" s="1" t="str">
        <v>Russell Cummings</v>
      </c>
      <c r="AE105" s="1">
        <v>22007</v>
      </c>
      <c r="AF105" s="1">
        <v>45495</v>
      </c>
      <c r="AG105" s="1">
        <v>1.56</v>
      </c>
      <c r="AH105" s="1">
        <v>31.054452000000005</v>
      </c>
      <c r="AI105" s="1">
        <v>1959.615548</v>
      </c>
    </row>
    <row r="106" spans="1:35" x14ac:dyDescent="0.35">
      <c r="A106" s="1">
        <v>1104</v>
      </c>
      <c r="B106" s="2">
        <v>44951</v>
      </c>
      <c r="C106" s="1" t="s">
        <v>14</v>
      </c>
      <c r="D106" s="1" t="s">
        <v>61</v>
      </c>
      <c r="E106" s="1" t="s">
        <v>19</v>
      </c>
      <c r="F106" s="1">
        <v>1079.68</v>
      </c>
      <c r="G106" s="1" t="s">
        <v>89</v>
      </c>
      <c r="H106" s="2">
        <v>37141</v>
      </c>
      <c r="I106" s="2">
        <v>44956</v>
      </c>
      <c r="J106" s="1">
        <v>43.99</v>
      </c>
      <c r="K106" s="1">
        <f t="shared" si="8"/>
        <v>474.95123200000006</v>
      </c>
      <c r="L106" s="1">
        <f t="shared" si="9"/>
        <v>604.72876799999995</v>
      </c>
      <c r="U106">
        <v>1173.65498</v>
      </c>
      <c r="X106" s="1">
        <v>1128</v>
      </c>
      <c r="Y106" s="2">
        <v>45105</v>
      </c>
      <c r="Z106" s="1" t="str">
        <v>South</v>
      </c>
      <c r="AA106" s="1" t="str">
        <v>Jacket</v>
      </c>
      <c r="AB106" s="1" t="str">
        <v>Clothing</v>
      </c>
      <c r="AC106" s="1">
        <v>1239.3399999999999</v>
      </c>
      <c r="AD106" s="1" t="str">
        <v>Steven Hardin</v>
      </c>
      <c r="AE106" s="1">
        <v>26155</v>
      </c>
      <c r="AF106" s="1">
        <v>45115</v>
      </c>
      <c r="AG106" s="1">
        <v>5.3</v>
      </c>
      <c r="AH106" s="1">
        <v>65.685019999999994</v>
      </c>
      <c r="AI106" s="1">
        <v>1173.65498</v>
      </c>
    </row>
    <row r="107" spans="1:35" x14ac:dyDescent="0.35">
      <c r="A107" s="1">
        <v>1105</v>
      </c>
      <c r="B107" s="2">
        <v>45179</v>
      </c>
      <c r="C107" s="1" t="s">
        <v>35</v>
      </c>
      <c r="D107" s="1" t="s">
        <v>58</v>
      </c>
      <c r="E107" s="1" t="s">
        <v>31</v>
      </c>
      <c r="F107" s="1">
        <v>3680.76</v>
      </c>
      <c r="G107" s="1" t="s">
        <v>42</v>
      </c>
      <c r="H107" s="2">
        <v>26027</v>
      </c>
      <c r="I107" s="2">
        <v>45181</v>
      </c>
      <c r="J107" s="1">
        <v>44.36</v>
      </c>
      <c r="K107" s="1">
        <f t="shared" si="8"/>
        <v>1632.785136</v>
      </c>
      <c r="L107" s="1">
        <f t="shared" si="9"/>
        <v>2047.9748640000003</v>
      </c>
      <c r="U107">
        <v>1377.6245669999998</v>
      </c>
      <c r="X107" s="1">
        <v>1130</v>
      </c>
      <c r="Y107" s="2">
        <v>45860</v>
      </c>
      <c r="Z107" s="1" t="str">
        <v>South</v>
      </c>
      <c r="AA107" s="1" t="str">
        <v>Camera</v>
      </c>
      <c r="AB107" s="1" t="str">
        <v>Electronics</v>
      </c>
      <c r="AC107" s="1">
        <v>2422.41</v>
      </c>
      <c r="AD107" s="1" t="str">
        <v>Frank Davis</v>
      </c>
      <c r="AE107" s="1">
        <v>38171</v>
      </c>
      <c r="AF107" s="1">
        <v>45862</v>
      </c>
      <c r="AG107" s="1">
        <v>43.13</v>
      </c>
      <c r="AH107" s="1">
        <v>1044.785433</v>
      </c>
      <c r="AI107" s="1">
        <v>1377.6245669999998</v>
      </c>
    </row>
    <row r="108" spans="1:35" x14ac:dyDescent="0.35">
      <c r="A108" s="1">
        <v>1106</v>
      </c>
      <c r="B108" s="2">
        <v>44176</v>
      </c>
      <c r="C108" s="1" t="s">
        <v>10</v>
      </c>
      <c r="D108" s="1" t="s">
        <v>40</v>
      </c>
      <c r="E108" s="1" t="s">
        <v>16</v>
      </c>
      <c r="F108" s="1">
        <v>2597.9899999999998</v>
      </c>
      <c r="G108" s="1" t="s">
        <v>131</v>
      </c>
      <c r="H108" s="2">
        <v>38087</v>
      </c>
      <c r="I108" s="2">
        <v>44189</v>
      </c>
      <c r="J108" s="1">
        <v>13.57</v>
      </c>
      <c r="K108" s="1">
        <f t="shared" si="8"/>
        <v>352.54724300000004</v>
      </c>
      <c r="L108" s="1">
        <f t="shared" si="9"/>
        <v>2245.4427569999998</v>
      </c>
      <c r="U108">
        <v>2281.661928</v>
      </c>
      <c r="X108" s="1">
        <v>1134</v>
      </c>
      <c r="Y108" s="2">
        <v>44910</v>
      </c>
      <c r="Z108" s="1" t="str">
        <v>South</v>
      </c>
      <c r="AA108" s="1" t="str">
        <v>Eggs</v>
      </c>
      <c r="AB108" s="1" t="str">
        <v>Groceries</v>
      </c>
      <c r="AC108" s="1">
        <v>3482.39</v>
      </c>
      <c r="AD108" s="1" t="str">
        <v>Jessica Cruz</v>
      </c>
      <c r="AE108" s="1">
        <v>36216</v>
      </c>
      <c r="AF108" s="1">
        <v>44912</v>
      </c>
      <c r="AG108" s="1">
        <v>34.479999999999997</v>
      </c>
      <c r="AH108" s="1">
        <v>1200.7280719999999</v>
      </c>
      <c r="AI108" s="1">
        <v>2281.661928</v>
      </c>
    </row>
    <row r="109" spans="1:35" x14ac:dyDescent="0.35">
      <c r="A109" s="1">
        <v>1107</v>
      </c>
      <c r="B109" s="2">
        <v>45028</v>
      </c>
      <c r="C109" s="1" t="s">
        <v>14</v>
      </c>
      <c r="D109" s="1" t="s">
        <v>47</v>
      </c>
      <c r="E109" s="1" t="s">
        <v>12</v>
      </c>
      <c r="F109" s="1">
        <v>1943.78</v>
      </c>
      <c r="G109" s="1" t="s">
        <v>63</v>
      </c>
      <c r="H109" s="2">
        <v>25430</v>
      </c>
      <c r="I109" s="2">
        <v>45041</v>
      </c>
      <c r="J109" s="1">
        <v>6.56</v>
      </c>
      <c r="K109" s="1">
        <f t="shared" si="8"/>
        <v>127.51196799999998</v>
      </c>
      <c r="L109" s="1">
        <f t="shared" si="9"/>
        <v>1816.2680319999999</v>
      </c>
      <c r="U109">
        <v>2170.4680799999996</v>
      </c>
      <c r="X109" s="1">
        <v>1136</v>
      </c>
      <c r="Y109" s="2">
        <v>44784</v>
      </c>
      <c r="Z109" s="1" t="str">
        <v>Central</v>
      </c>
      <c r="AA109" s="1" t="str">
        <v>Jacket</v>
      </c>
      <c r="AB109" s="1" t="str">
        <v>Clothing</v>
      </c>
      <c r="AC109" s="1">
        <v>2204.64</v>
      </c>
      <c r="AD109" s="1" t="str">
        <v>Brandon King</v>
      </c>
      <c r="AE109" s="1">
        <v>34364</v>
      </c>
      <c r="AF109" s="1">
        <v>44785</v>
      </c>
      <c r="AG109" s="1">
        <v>1.55</v>
      </c>
      <c r="AH109" s="1">
        <v>34.17192</v>
      </c>
      <c r="AI109" s="1">
        <v>2170.4680799999996</v>
      </c>
    </row>
    <row r="110" spans="1:35" x14ac:dyDescent="0.35">
      <c r="A110" s="1">
        <v>1108</v>
      </c>
      <c r="B110" s="2">
        <v>44530</v>
      </c>
      <c r="C110" s="1" t="s">
        <v>10</v>
      </c>
      <c r="D110" s="1" t="s">
        <v>65</v>
      </c>
      <c r="E110" s="1" t="s">
        <v>19</v>
      </c>
      <c r="F110" s="1">
        <v>1280.52</v>
      </c>
      <c r="G110" s="1" t="s">
        <v>132</v>
      </c>
      <c r="H110" s="2">
        <v>34364</v>
      </c>
      <c r="I110" s="2">
        <v>44533</v>
      </c>
      <c r="J110" s="1">
        <v>21.85</v>
      </c>
      <c r="K110" s="1">
        <f t="shared" si="8"/>
        <v>279.79362000000003</v>
      </c>
      <c r="L110" s="1">
        <f t="shared" si="9"/>
        <v>1000.7263799999999</v>
      </c>
      <c r="U110">
        <v>3556.762608</v>
      </c>
      <c r="X110" s="1">
        <v>1138</v>
      </c>
      <c r="Y110" s="2">
        <v>44765</v>
      </c>
      <c r="Z110" s="1" t="str">
        <v>West</v>
      </c>
      <c r="AA110" s="1" t="str">
        <v>Bed</v>
      </c>
      <c r="AB110" s="1" t="str">
        <v>Furniture</v>
      </c>
      <c r="AC110" s="1">
        <v>4691.68</v>
      </c>
      <c r="AD110" s="1" t="str">
        <v>Randy Burke</v>
      </c>
      <c r="AE110" s="1">
        <v>38693</v>
      </c>
      <c r="AF110" s="1">
        <v>44777</v>
      </c>
      <c r="AG110" s="1">
        <v>24.19</v>
      </c>
      <c r="AH110" s="1">
        <v>1134.9173920000001</v>
      </c>
      <c r="AI110" s="1">
        <v>3556.762608</v>
      </c>
    </row>
    <row r="111" spans="1:35" x14ac:dyDescent="0.35">
      <c r="A111" s="1">
        <v>1109</v>
      </c>
      <c r="B111" s="2">
        <v>44456</v>
      </c>
      <c r="C111" s="1" t="s">
        <v>10</v>
      </c>
      <c r="D111" s="1" t="s">
        <v>36</v>
      </c>
      <c r="E111" s="1" t="s">
        <v>28</v>
      </c>
      <c r="F111" s="1">
        <v>4143.1899999999996</v>
      </c>
      <c r="G111" s="1" t="s">
        <v>133</v>
      </c>
      <c r="H111" s="2">
        <v>23264</v>
      </c>
      <c r="I111" s="2">
        <v>44468</v>
      </c>
      <c r="J111" s="1">
        <v>10.54</v>
      </c>
      <c r="K111" s="1">
        <f t="shared" si="8"/>
        <v>436.69222599999995</v>
      </c>
      <c r="L111" s="1">
        <f t="shared" si="9"/>
        <v>3706.4977739999995</v>
      </c>
      <c r="U111">
        <v>1280.976705</v>
      </c>
      <c r="X111" s="1">
        <v>1139</v>
      </c>
      <c r="Y111" s="2">
        <v>45699</v>
      </c>
      <c r="Z111" s="1" t="str">
        <v>West</v>
      </c>
      <c r="AA111" s="1" t="str">
        <v>Tennis Racket</v>
      </c>
      <c r="AB111" s="1" t="str">
        <v>Sports</v>
      </c>
      <c r="AC111" s="1">
        <v>1474.93</v>
      </c>
      <c r="AD111" s="1" t="str">
        <v>Lynn Johnson</v>
      </c>
      <c r="AE111" s="1">
        <v>37189</v>
      </c>
      <c r="AF111" s="1">
        <v>45710</v>
      </c>
      <c r="AG111" s="1">
        <v>13.15</v>
      </c>
      <c r="AH111" s="1">
        <v>193.95329500000003</v>
      </c>
      <c r="AI111" s="1">
        <v>1280.976705</v>
      </c>
    </row>
    <row r="112" spans="1:35" x14ac:dyDescent="0.35">
      <c r="A112" s="1">
        <v>1110</v>
      </c>
      <c r="B112" s="2">
        <v>45174</v>
      </c>
      <c r="C112" s="1" t="s">
        <v>35</v>
      </c>
      <c r="D112" s="1" t="s">
        <v>53</v>
      </c>
      <c r="E112" s="1" t="s">
        <v>28</v>
      </c>
      <c r="F112" s="1">
        <v>3945.68</v>
      </c>
      <c r="G112" s="1" t="s">
        <v>134</v>
      </c>
      <c r="H112" s="2">
        <v>30299</v>
      </c>
      <c r="I112" s="2">
        <v>45178</v>
      </c>
      <c r="J112" s="1">
        <v>19.010000000000002</v>
      </c>
      <c r="K112" s="1">
        <f t="shared" si="8"/>
        <v>750.07376800000009</v>
      </c>
      <c r="L112" s="1">
        <f t="shared" si="9"/>
        <v>3195.6062319999996</v>
      </c>
      <c r="U112">
        <v>1448.2950049999999</v>
      </c>
      <c r="X112" s="1">
        <v>1140</v>
      </c>
      <c r="Y112" s="2">
        <v>45407</v>
      </c>
      <c r="Z112" s="1" t="str">
        <v>East</v>
      </c>
      <c r="AA112" s="1" t="str">
        <v>Wardrobe</v>
      </c>
      <c r="AB112" s="1" t="str">
        <v>Furniture</v>
      </c>
      <c r="AC112" s="1">
        <v>1790.45</v>
      </c>
      <c r="AD112" s="1" t="str">
        <v>Troy Kelley</v>
      </c>
      <c r="AE112" s="1">
        <v>29348</v>
      </c>
      <c r="AF112" s="1">
        <v>45408</v>
      </c>
      <c r="AG112" s="1">
        <v>19.11</v>
      </c>
      <c r="AH112" s="1">
        <v>342.15499499999999</v>
      </c>
      <c r="AI112" s="1">
        <v>1448.2950049999999</v>
      </c>
    </row>
    <row r="113" spans="1:35" x14ac:dyDescent="0.35">
      <c r="A113" s="1">
        <v>1111</v>
      </c>
      <c r="B113" s="2">
        <v>45144</v>
      </c>
      <c r="C113" s="1" t="s">
        <v>35</v>
      </c>
      <c r="D113" s="1" t="s">
        <v>73</v>
      </c>
      <c r="E113" s="1" t="s">
        <v>28</v>
      </c>
      <c r="F113" s="1">
        <v>3954.86</v>
      </c>
      <c r="G113" s="1" t="s">
        <v>135</v>
      </c>
      <c r="H113" s="2">
        <v>38018</v>
      </c>
      <c r="I113" s="2">
        <v>45158</v>
      </c>
      <c r="J113" s="1">
        <v>13.44</v>
      </c>
      <c r="K113" s="1">
        <f t="shared" si="8"/>
        <v>531.53318400000001</v>
      </c>
      <c r="L113" s="1">
        <f t="shared" si="9"/>
        <v>3423.3268160000002</v>
      </c>
      <c r="U113">
        <v>1432.2999010000001</v>
      </c>
      <c r="X113" s="1">
        <v>1142</v>
      </c>
      <c r="Y113" s="2">
        <v>44208</v>
      </c>
      <c r="Z113" s="1" t="str">
        <v>North</v>
      </c>
      <c r="AA113" s="1" t="str">
        <v>Laptop</v>
      </c>
      <c r="AB113" s="1" t="str">
        <v>Electronics</v>
      </c>
      <c r="AC113" s="1">
        <v>1853.63</v>
      </c>
      <c r="AD113" s="1" t="str">
        <v>Matthew Stone</v>
      </c>
      <c r="AE113" s="1">
        <v>34871</v>
      </c>
      <c r="AF113" s="1">
        <v>44219</v>
      </c>
      <c r="AG113" s="1">
        <v>22.73</v>
      </c>
      <c r="AH113" s="1">
        <v>421.33009900000002</v>
      </c>
      <c r="AI113" s="1">
        <v>1432.2999010000001</v>
      </c>
    </row>
    <row r="114" spans="1:35" x14ac:dyDescent="0.35">
      <c r="A114" s="1">
        <v>1112</v>
      </c>
      <c r="B114" s="2">
        <v>44984</v>
      </c>
      <c r="C114" s="1" t="s">
        <v>10</v>
      </c>
      <c r="D114" s="1" t="s">
        <v>55</v>
      </c>
      <c r="E114" s="1" t="s">
        <v>31</v>
      </c>
      <c r="F114" s="1">
        <v>1352.28</v>
      </c>
      <c r="G114" s="1" t="s">
        <v>136</v>
      </c>
      <c r="H114" s="2">
        <v>23704</v>
      </c>
      <c r="I114" s="2">
        <v>44994</v>
      </c>
      <c r="J114" s="1">
        <v>31.85</v>
      </c>
      <c r="K114" s="1">
        <f t="shared" si="8"/>
        <v>430.70118000000002</v>
      </c>
      <c r="L114" s="1">
        <f t="shared" si="9"/>
        <v>921.57881999999995</v>
      </c>
      <c r="U114">
        <v>3704.2488280000002</v>
      </c>
      <c r="X114" s="1">
        <v>1143</v>
      </c>
      <c r="Y114" s="2">
        <v>44282</v>
      </c>
      <c r="Z114" s="1" t="str">
        <v>South</v>
      </c>
      <c r="AA114" s="1" t="str">
        <v>T-Shirt</v>
      </c>
      <c r="AB114" s="1" t="str">
        <v>Clothing</v>
      </c>
      <c r="AC114" s="1">
        <v>3908.26</v>
      </c>
      <c r="AD114" s="1" t="str">
        <v>Isaac Flores</v>
      </c>
      <c r="AE114" s="1">
        <v>38194</v>
      </c>
      <c r="AF114" s="1">
        <v>44285</v>
      </c>
      <c r="AG114" s="1">
        <v>5.22</v>
      </c>
      <c r="AH114" s="1">
        <v>204.01117199999999</v>
      </c>
      <c r="AI114" s="1">
        <v>3704.2488280000002</v>
      </c>
    </row>
    <row r="115" spans="1:35" x14ac:dyDescent="0.35">
      <c r="A115" s="1">
        <v>1113</v>
      </c>
      <c r="B115" s="2">
        <v>44853</v>
      </c>
      <c r="C115" s="1" t="s">
        <v>14</v>
      </c>
      <c r="D115" s="1" t="s">
        <v>33</v>
      </c>
      <c r="E115" s="1" t="s">
        <v>16</v>
      </c>
      <c r="F115" s="1">
        <v>3348.99</v>
      </c>
      <c r="G115" s="1" t="s">
        <v>137</v>
      </c>
      <c r="H115" s="2">
        <v>36905</v>
      </c>
      <c r="I115" s="2">
        <v>44857</v>
      </c>
      <c r="J115" s="1">
        <v>40.46</v>
      </c>
      <c r="K115" s="1">
        <f t="shared" si="8"/>
        <v>1355.001354</v>
      </c>
      <c r="L115" s="1">
        <f t="shared" si="9"/>
        <v>1993.9886459999998</v>
      </c>
      <c r="U115">
        <v>3599.7344039999998</v>
      </c>
      <c r="X115" s="1">
        <v>1144</v>
      </c>
      <c r="Y115" s="2">
        <v>45242</v>
      </c>
      <c r="Z115" s="1" t="str">
        <v>South</v>
      </c>
      <c r="AA115" s="1" t="str">
        <v>Jeans</v>
      </c>
      <c r="AB115" s="1" t="str">
        <v>Clothing</v>
      </c>
      <c r="AC115" s="1">
        <v>3609.48</v>
      </c>
      <c r="AD115" s="1" t="str">
        <v>Michael Robinson</v>
      </c>
      <c r="AE115" s="1">
        <v>30054</v>
      </c>
      <c r="AF115" s="1">
        <v>45249</v>
      </c>
      <c r="AG115" s="1">
        <v>0.27</v>
      </c>
      <c r="AH115" s="1">
        <v>9.7455960000000008</v>
      </c>
      <c r="AI115" s="1">
        <v>3599.7344039999998</v>
      </c>
    </row>
    <row r="116" spans="1:35" x14ac:dyDescent="0.35">
      <c r="A116" s="1">
        <v>1114</v>
      </c>
      <c r="B116" s="2">
        <v>45723</v>
      </c>
      <c r="C116" s="1" t="s">
        <v>35</v>
      </c>
      <c r="D116" s="1" t="s">
        <v>11</v>
      </c>
      <c r="E116" s="1" t="s">
        <v>12</v>
      </c>
      <c r="F116" s="1">
        <v>412.14</v>
      </c>
      <c r="G116" s="1" t="s">
        <v>106</v>
      </c>
      <c r="H116" s="2">
        <v>35506</v>
      </c>
      <c r="I116" s="2">
        <v>45726</v>
      </c>
      <c r="J116" s="1">
        <v>38.22</v>
      </c>
      <c r="K116" s="1">
        <f t="shared" si="8"/>
        <v>157.51990799999999</v>
      </c>
      <c r="L116" s="1">
        <f t="shared" si="9"/>
        <v>254.620092</v>
      </c>
      <c r="U116">
        <v>2760.0955199999999</v>
      </c>
      <c r="X116" s="1">
        <v>1146</v>
      </c>
      <c r="Y116" s="2">
        <v>44893</v>
      </c>
      <c r="Z116" s="1" t="str">
        <v>Central</v>
      </c>
      <c r="AA116" s="1" t="str">
        <v>Jeans</v>
      </c>
      <c r="AB116" s="1" t="str">
        <v>Clothing</v>
      </c>
      <c r="AC116" s="1">
        <v>3221.4</v>
      </c>
      <c r="AD116" s="1" t="str">
        <v>Juan White</v>
      </c>
      <c r="AE116" s="1">
        <v>35321</v>
      </c>
      <c r="AF116" s="1">
        <v>44900</v>
      </c>
      <c r="AG116" s="1">
        <v>14.32</v>
      </c>
      <c r="AH116" s="1">
        <v>461.30448000000001</v>
      </c>
      <c r="AI116" s="1">
        <v>2760.0955199999999</v>
      </c>
    </row>
    <row r="117" spans="1:35" x14ac:dyDescent="0.35">
      <c r="A117" s="1">
        <v>1115</v>
      </c>
      <c r="B117" s="2">
        <v>44218</v>
      </c>
      <c r="C117" s="1" t="s">
        <v>35</v>
      </c>
      <c r="D117" s="1" t="s">
        <v>38</v>
      </c>
      <c r="E117" s="1" t="s">
        <v>28</v>
      </c>
      <c r="F117" s="1">
        <v>3960.77</v>
      </c>
      <c r="G117" s="1" t="s">
        <v>138</v>
      </c>
      <c r="H117" s="2">
        <v>25948</v>
      </c>
      <c r="I117" s="2">
        <v>44222</v>
      </c>
      <c r="J117" s="1">
        <v>42.31</v>
      </c>
      <c r="K117" s="1">
        <f t="shared" si="8"/>
        <v>1675.8017870000001</v>
      </c>
      <c r="L117" s="1">
        <f t="shared" si="9"/>
        <v>2284.9682130000001</v>
      </c>
      <c r="U117">
        <v>1310.3245609999999</v>
      </c>
      <c r="X117" s="1">
        <v>1147</v>
      </c>
      <c r="Y117" s="2">
        <v>44609</v>
      </c>
      <c r="Z117" s="1" t="str">
        <v>North</v>
      </c>
      <c r="AA117" s="1" t="str">
        <v>Shoes</v>
      </c>
      <c r="AB117" s="1" t="str">
        <v>Clothing</v>
      </c>
      <c r="AC117" s="1">
        <v>2149.13</v>
      </c>
      <c r="AD117" s="1" t="str">
        <v>Joshua Joseph</v>
      </c>
      <c r="AE117" s="1">
        <v>29386</v>
      </c>
      <c r="AF117" s="1">
        <v>44612</v>
      </c>
      <c r="AG117" s="1">
        <v>39.03</v>
      </c>
      <c r="AH117" s="1">
        <v>838.80543900000009</v>
      </c>
      <c r="AI117" s="1">
        <v>1310.3245609999999</v>
      </c>
    </row>
    <row r="118" spans="1:35" x14ac:dyDescent="0.35">
      <c r="A118" s="1">
        <v>1116</v>
      </c>
      <c r="B118" s="2">
        <v>45044</v>
      </c>
      <c r="C118" s="1" t="s">
        <v>14</v>
      </c>
      <c r="D118" s="1" t="s">
        <v>65</v>
      </c>
      <c r="E118" s="1" t="s">
        <v>19</v>
      </c>
      <c r="F118" s="1">
        <v>2449</v>
      </c>
      <c r="G118" s="1" t="s">
        <v>139</v>
      </c>
      <c r="H118" s="2">
        <v>29381</v>
      </c>
      <c r="I118" s="2">
        <v>45056</v>
      </c>
      <c r="J118" s="1">
        <v>22.98</v>
      </c>
      <c r="K118" s="1">
        <f t="shared" si="8"/>
        <v>562.78020000000004</v>
      </c>
      <c r="L118" s="1">
        <f t="shared" si="9"/>
        <v>1886.2197999999999</v>
      </c>
      <c r="U118">
        <v>3475.5964650000001</v>
      </c>
      <c r="X118" s="1">
        <v>1148</v>
      </c>
      <c r="Y118" s="2">
        <v>44281</v>
      </c>
      <c r="Z118" s="1" t="str">
        <v>South</v>
      </c>
      <c r="AA118" s="1" t="str">
        <v>Camera</v>
      </c>
      <c r="AB118" s="1" t="str">
        <v>Electronics</v>
      </c>
      <c r="AC118" s="1">
        <v>4310.55</v>
      </c>
      <c r="AD118" s="1" t="str">
        <v>Stephanie Hudson</v>
      </c>
      <c r="AE118" s="1">
        <v>32712</v>
      </c>
      <c r="AF118" s="1">
        <v>44282</v>
      </c>
      <c r="AG118" s="1">
        <v>19.37</v>
      </c>
      <c r="AH118" s="1">
        <v>834.9535350000001</v>
      </c>
      <c r="AI118" s="1">
        <v>3475.5964650000001</v>
      </c>
    </row>
    <row r="119" spans="1:35" x14ac:dyDescent="0.35">
      <c r="A119" s="1">
        <v>1117</v>
      </c>
      <c r="B119" s="2">
        <v>44445</v>
      </c>
      <c r="C119" s="1" t="s">
        <v>10</v>
      </c>
      <c r="D119" s="1" t="s">
        <v>40</v>
      </c>
      <c r="E119" s="1" t="s">
        <v>16</v>
      </c>
      <c r="F119" s="1">
        <v>1567.51</v>
      </c>
      <c r="G119" s="1" t="s">
        <v>140</v>
      </c>
      <c r="H119" s="2">
        <v>24579</v>
      </c>
      <c r="I119" s="2">
        <v>44456</v>
      </c>
      <c r="J119" s="1">
        <v>30.47</v>
      </c>
      <c r="K119" s="1">
        <f t="shared" si="8"/>
        <v>477.62029699999994</v>
      </c>
      <c r="L119" s="1">
        <f t="shared" si="9"/>
        <v>1089.8897030000001</v>
      </c>
      <c r="U119">
        <v>3946.8332249999999</v>
      </c>
      <c r="X119" s="1">
        <v>1149</v>
      </c>
      <c r="Y119" s="2">
        <v>44709</v>
      </c>
      <c r="Z119" s="1" t="str">
        <v>West</v>
      </c>
      <c r="AA119" s="1" t="str">
        <v>Football</v>
      </c>
      <c r="AB119" s="1" t="str">
        <v>Sports</v>
      </c>
      <c r="AC119" s="1">
        <v>4335.75</v>
      </c>
      <c r="AD119" s="1" t="str">
        <v>Dorothy Thomas</v>
      </c>
      <c r="AE119" s="1">
        <v>30364</v>
      </c>
      <c r="AF119" s="1">
        <v>44715</v>
      </c>
      <c r="AG119" s="1">
        <v>8.9700000000000006</v>
      </c>
      <c r="AH119" s="1">
        <v>388.91677500000003</v>
      </c>
      <c r="AI119" s="1">
        <v>3946.8332249999999</v>
      </c>
    </row>
    <row r="120" spans="1:35" x14ac:dyDescent="0.35">
      <c r="A120" s="1">
        <v>1118</v>
      </c>
      <c r="B120" s="2">
        <v>44966</v>
      </c>
      <c r="C120" s="1" t="s">
        <v>26</v>
      </c>
      <c r="D120" s="1" t="s">
        <v>55</v>
      </c>
      <c r="E120" s="1" t="s">
        <v>31</v>
      </c>
      <c r="F120" s="1">
        <v>2984.11</v>
      </c>
      <c r="G120" s="1" t="s">
        <v>141</v>
      </c>
      <c r="H120" s="2">
        <v>35559</v>
      </c>
      <c r="I120" s="2">
        <v>44979</v>
      </c>
      <c r="J120" s="1">
        <v>36.44</v>
      </c>
      <c r="K120" s="1">
        <f t="shared" si="8"/>
        <v>1087.409684</v>
      </c>
      <c r="L120" s="1">
        <f t="shared" si="9"/>
        <v>1896.7003160000002</v>
      </c>
      <c r="U120">
        <v>2812.49152</v>
      </c>
      <c r="X120" s="1">
        <v>1150</v>
      </c>
      <c r="Y120" s="2">
        <v>45252</v>
      </c>
      <c r="Z120" s="1" t="str">
        <v>Central</v>
      </c>
      <c r="AA120" s="1" t="str">
        <v>Shoes</v>
      </c>
      <c r="AB120" s="1" t="str">
        <v>Sports</v>
      </c>
      <c r="AC120" s="1">
        <v>3821.32</v>
      </c>
      <c r="AD120" s="1" t="str">
        <v>Wesley Thornton</v>
      </c>
      <c r="AE120" s="1">
        <v>28046</v>
      </c>
      <c r="AF120" s="1">
        <v>45263</v>
      </c>
      <c r="AG120" s="1">
        <v>26.4</v>
      </c>
      <c r="AH120" s="1">
        <v>1008.8284800000001</v>
      </c>
      <c r="AI120" s="1">
        <v>2812.49152</v>
      </c>
    </row>
    <row r="121" spans="1:35" x14ac:dyDescent="0.35">
      <c r="A121" s="1">
        <v>1119</v>
      </c>
      <c r="B121" s="2">
        <v>45818</v>
      </c>
      <c r="C121" s="1" t="s">
        <v>35</v>
      </c>
      <c r="D121" s="1" t="s">
        <v>11</v>
      </c>
      <c r="E121" s="1" t="s">
        <v>12</v>
      </c>
      <c r="F121" s="1">
        <v>3346.64</v>
      </c>
      <c r="G121" s="1" t="s">
        <v>142</v>
      </c>
      <c r="H121" s="2">
        <v>29541</v>
      </c>
      <c r="I121" s="2">
        <v>45821</v>
      </c>
      <c r="J121" s="1">
        <v>33.65</v>
      </c>
      <c r="K121" s="1">
        <f t="shared" si="8"/>
        <v>1126.1443599999998</v>
      </c>
      <c r="L121" s="1">
        <f t="shared" si="9"/>
        <v>2220.4956400000001</v>
      </c>
      <c r="U121">
        <v>1118.1881699999999</v>
      </c>
      <c r="X121" s="1">
        <v>1151</v>
      </c>
      <c r="Y121" s="2">
        <v>44914</v>
      </c>
      <c r="Z121" s="1" t="str">
        <v>West</v>
      </c>
      <c r="AA121" s="1" t="str">
        <v>Smartphone</v>
      </c>
      <c r="AB121" s="1" t="str">
        <v>Electronics</v>
      </c>
      <c r="AC121" s="1">
        <v>2012.94</v>
      </c>
      <c r="AD121" s="1" t="str">
        <v>Taylor Whitaker</v>
      </c>
      <c r="AE121" s="1">
        <v>29887</v>
      </c>
      <c r="AF121" s="1">
        <v>44915</v>
      </c>
      <c r="AG121" s="1">
        <v>44.45</v>
      </c>
      <c r="AH121" s="1">
        <v>894.75183000000004</v>
      </c>
      <c r="AI121" s="1">
        <v>1118.1881699999999</v>
      </c>
    </row>
    <row r="122" spans="1:35" x14ac:dyDescent="0.35">
      <c r="A122" s="1">
        <v>1120</v>
      </c>
      <c r="B122" s="2">
        <v>45547</v>
      </c>
      <c r="C122" s="1" t="s">
        <v>26</v>
      </c>
      <c r="D122" s="1" t="s">
        <v>47</v>
      </c>
      <c r="E122" s="1" t="s">
        <v>12</v>
      </c>
      <c r="F122" s="1">
        <v>962.15</v>
      </c>
      <c r="G122" s="1" t="s">
        <v>143</v>
      </c>
      <c r="H122" s="2">
        <v>37490</v>
      </c>
      <c r="I122" s="2">
        <v>45560</v>
      </c>
      <c r="J122" s="1">
        <v>12.14</v>
      </c>
      <c r="K122" s="1">
        <f t="shared" si="8"/>
        <v>116.80501000000001</v>
      </c>
      <c r="L122" s="1">
        <f t="shared" si="9"/>
        <v>845.34498999999994</v>
      </c>
      <c r="U122">
        <v>3488.0836389999999</v>
      </c>
      <c r="X122" s="1">
        <v>1152</v>
      </c>
      <c r="Y122" s="2">
        <v>45518</v>
      </c>
      <c r="Z122" s="1" t="str">
        <v>North</v>
      </c>
      <c r="AA122" s="1" t="str">
        <v>Eggs</v>
      </c>
      <c r="AB122" s="1" t="str">
        <v>Groceries</v>
      </c>
      <c r="AC122" s="1">
        <v>4403.59</v>
      </c>
      <c r="AD122" s="1" t="str">
        <v>Lisa Clark</v>
      </c>
      <c r="AE122" s="1">
        <v>27879</v>
      </c>
      <c r="AF122" s="1">
        <v>45526</v>
      </c>
      <c r="AG122" s="1">
        <v>20.79</v>
      </c>
      <c r="AH122" s="1">
        <v>915.50636100000008</v>
      </c>
      <c r="AI122" s="1">
        <v>3488.0836389999999</v>
      </c>
    </row>
    <row r="123" spans="1:35" x14ac:dyDescent="0.35">
      <c r="A123" s="1">
        <v>1121</v>
      </c>
      <c r="B123" s="2">
        <v>45534</v>
      </c>
      <c r="C123" s="1" t="s">
        <v>26</v>
      </c>
      <c r="D123" s="1" t="s">
        <v>73</v>
      </c>
      <c r="E123" s="1" t="s">
        <v>28</v>
      </c>
      <c r="F123" s="1">
        <v>3263.31</v>
      </c>
      <c r="G123" s="1" t="s">
        <v>144</v>
      </c>
      <c r="H123" s="2">
        <v>34571</v>
      </c>
      <c r="I123" s="2">
        <v>45537</v>
      </c>
      <c r="J123" s="1">
        <v>42.11</v>
      </c>
      <c r="K123" s="1">
        <f t="shared" si="8"/>
        <v>1374.1798409999999</v>
      </c>
      <c r="L123" s="1">
        <f t="shared" si="9"/>
        <v>1889.130159</v>
      </c>
      <c r="U123">
        <v>2089.9843580000002</v>
      </c>
      <c r="X123" s="1">
        <v>1153</v>
      </c>
      <c r="Y123" s="2">
        <v>45326</v>
      </c>
      <c r="Z123" s="1" t="str">
        <v>South</v>
      </c>
      <c r="AA123" s="1" t="str">
        <v>Oil</v>
      </c>
      <c r="AB123" s="1" t="str">
        <v>Groceries</v>
      </c>
      <c r="AC123" s="1">
        <v>3632.86</v>
      </c>
      <c r="AD123" s="1" t="str">
        <v>Kristin Ramsey</v>
      </c>
      <c r="AE123" s="1">
        <v>24672</v>
      </c>
      <c r="AF123" s="1">
        <v>45334</v>
      </c>
      <c r="AG123" s="1">
        <v>42.47</v>
      </c>
      <c r="AH123" s="1">
        <v>1542.875642</v>
      </c>
      <c r="AI123" s="1">
        <v>2089.9843580000002</v>
      </c>
    </row>
    <row r="124" spans="1:35" x14ac:dyDescent="0.35">
      <c r="A124" s="1">
        <v>1122</v>
      </c>
      <c r="B124" s="2">
        <v>44929</v>
      </c>
      <c r="C124" s="1" t="s">
        <v>35</v>
      </c>
      <c r="D124" s="1" t="s">
        <v>36</v>
      </c>
      <c r="E124" s="1" t="s">
        <v>28</v>
      </c>
      <c r="F124" s="1">
        <v>2326.17</v>
      </c>
      <c r="G124" s="1" t="s">
        <v>145</v>
      </c>
      <c r="H124" s="2">
        <v>23470</v>
      </c>
      <c r="I124" s="2">
        <v>44938</v>
      </c>
      <c r="J124" s="1">
        <v>8.98</v>
      </c>
      <c r="K124" s="1">
        <f t="shared" si="8"/>
        <v>208.89006600000002</v>
      </c>
      <c r="L124" s="1">
        <f t="shared" si="9"/>
        <v>2117.2799340000001</v>
      </c>
      <c r="U124">
        <v>1587.632652</v>
      </c>
      <c r="X124" s="1">
        <v>1154</v>
      </c>
      <c r="Y124" s="2">
        <v>45488</v>
      </c>
      <c r="Z124" s="1" t="str">
        <v>South</v>
      </c>
      <c r="AA124" s="1" t="str">
        <v>Bed</v>
      </c>
      <c r="AB124" s="1" t="str">
        <v>Furniture</v>
      </c>
      <c r="AC124" s="1">
        <v>2638.14</v>
      </c>
      <c r="AD124" s="1" t="str">
        <v>Danielle Perry</v>
      </c>
      <c r="AE124" s="1">
        <v>37674</v>
      </c>
      <c r="AF124" s="1">
        <v>45496</v>
      </c>
      <c r="AG124" s="1">
        <v>39.82</v>
      </c>
      <c r="AH124" s="1">
        <v>1050.5073479999999</v>
      </c>
      <c r="AI124" s="1">
        <v>1587.632652</v>
      </c>
    </row>
    <row r="125" spans="1:35" x14ac:dyDescent="0.35">
      <c r="A125" s="1">
        <v>1123</v>
      </c>
      <c r="B125" s="2">
        <v>45807</v>
      </c>
      <c r="C125" s="1" t="s">
        <v>21</v>
      </c>
      <c r="D125" s="1" t="s">
        <v>58</v>
      </c>
      <c r="E125" s="1" t="s">
        <v>31</v>
      </c>
      <c r="F125" s="1">
        <v>4103.01</v>
      </c>
      <c r="G125" s="1" t="s">
        <v>146</v>
      </c>
      <c r="H125" s="2">
        <v>24961</v>
      </c>
      <c r="I125" s="2">
        <v>45812</v>
      </c>
      <c r="J125" s="1">
        <v>0.87</v>
      </c>
      <c r="K125" s="1">
        <f t="shared" si="8"/>
        <v>35.696187000000002</v>
      </c>
      <c r="L125" s="1">
        <f t="shared" si="9"/>
        <v>4067.3138130000002</v>
      </c>
      <c r="U125">
        <v>2509.8624919999997</v>
      </c>
      <c r="X125" s="1">
        <v>1155</v>
      </c>
      <c r="Y125" s="2">
        <v>44780</v>
      </c>
      <c r="Z125" s="1" t="str">
        <v>East</v>
      </c>
      <c r="AA125" s="1" t="str">
        <v>Chair</v>
      </c>
      <c r="AB125" s="1" t="str">
        <v>Furniture</v>
      </c>
      <c r="AC125" s="1">
        <v>4876.3599999999997</v>
      </c>
      <c r="AD125" s="1" t="str">
        <v>Harold Williams</v>
      </c>
      <c r="AE125" s="1">
        <v>37894</v>
      </c>
      <c r="AF125" s="1">
        <v>44794</v>
      </c>
      <c r="AG125" s="1">
        <v>48.53</v>
      </c>
      <c r="AH125" s="1">
        <v>2366.4975079999999</v>
      </c>
      <c r="AI125" s="1">
        <v>2509.8624919999997</v>
      </c>
    </row>
    <row r="126" spans="1:35" x14ac:dyDescent="0.35">
      <c r="A126" s="1">
        <v>1124</v>
      </c>
      <c r="B126" s="2">
        <v>45207</v>
      </c>
      <c r="C126" s="1" t="s">
        <v>10</v>
      </c>
      <c r="D126" s="1" t="s">
        <v>30</v>
      </c>
      <c r="E126" s="1" t="s">
        <v>31</v>
      </c>
      <c r="F126" s="1">
        <v>3578.78</v>
      </c>
      <c r="G126" s="1" t="s">
        <v>147</v>
      </c>
      <c r="H126" s="2">
        <v>34343</v>
      </c>
      <c r="I126" s="2">
        <v>45216</v>
      </c>
      <c r="J126" s="1">
        <v>9.4600000000000009</v>
      </c>
      <c r="K126" s="1">
        <f t="shared" si="8"/>
        <v>338.55258800000001</v>
      </c>
      <c r="L126" s="1">
        <f t="shared" si="9"/>
        <v>3240.2274120000002</v>
      </c>
      <c r="U126">
        <v>2293.738488</v>
      </c>
      <c r="X126" s="1">
        <v>1159</v>
      </c>
      <c r="Y126" s="2">
        <v>45880</v>
      </c>
      <c r="Z126" s="1" t="str">
        <v>East</v>
      </c>
      <c r="AA126" s="1" t="str">
        <v>Chair</v>
      </c>
      <c r="AB126" s="1" t="str">
        <v>Furniture</v>
      </c>
      <c r="AC126" s="1">
        <v>4313.16</v>
      </c>
      <c r="AD126" s="1" t="str">
        <v>Nicole Cantu</v>
      </c>
      <c r="AE126" s="1">
        <v>31261</v>
      </c>
      <c r="AF126" s="1">
        <v>45884</v>
      </c>
      <c r="AG126" s="1">
        <v>46.82</v>
      </c>
      <c r="AH126" s="1">
        <v>2019.4215119999999</v>
      </c>
      <c r="AI126" s="1">
        <v>2293.738488</v>
      </c>
    </row>
    <row r="127" spans="1:35" x14ac:dyDescent="0.35">
      <c r="A127" s="1">
        <v>1125</v>
      </c>
      <c r="B127" s="2">
        <v>44559</v>
      </c>
      <c r="C127" s="1" t="s">
        <v>21</v>
      </c>
      <c r="D127" s="1" t="s">
        <v>22</v>
      </c>
      <c r="E127" s="1" t="s">
        <v>19</v>
      </c>
      <c r="F127" s="1">
        <v>3102.24</v>
      </c>
      <c r="G127" s="1" t="s">
        <v>75</v>
      </c>
      <c r="H127" s="2">
        <v>25853</v>
      </c>
      <c r="I127" s="2">
        <v>44570</v>
      </c>
      <c r="J127" s="1">
        <v>13.12</v>
      </c>
      <c r="K127" s="1">
        <f t="shared" si="8"/>
        <v>407.01388799999989</v>
      </c>
      <c r="L127" s="1">
        <f t="shared" si="9"/>
        <v>2695.2261119999998</v>
      </c>
      <c r="U127">
        <v>1541.7791999999999</v>
      </c>
      <c r="X127" s="1">
        <v>1161</v>
      </c>
      <c r="Y127" s="2">
        <v>45796</v>
      </c>
      <c r="Z127" s="1" t="str">
        <v>East</v>
      </c>
      <c r="AA127" s="1" t="str">
        <v>Wheat</v>
      </c>
      <c r="AB127" s="1" t="str">
        <v>Groceries</v>
      </c>
      <c r="AC127" s="1">
        <v>1635.84</v>
      </c>
      <c r="AD127" s="1" t="str">
        <v>Juan White</v>
      </c>
      <c r="AE127" s="1">
        <v>35321</v>
      </c>
      <c r="AF127" s="1">
        <v>45804</v>
      </c>
      <c r="AG127" s="1">
        <v>5.75</v>
      </c>
      <c r="AH127" s="1">
        <v>94.0608</v>
      </c>
      <c r="AI127" s="1">
        <v>1541.7791999999999</v>
      </c>
    </row>
    <row r="128" spans="1:35" x14ac:dyDescent="0.35">
      <c r="A128" s="1">
        <v>1126</v>
      </c>
      <c r="B128" s="2">
        <v>44298</v>
      </c>
      <c r="C128" s="1" t="s">
        <v>10</v>
      </c>
      <c r="D128" s="1" t="s">
        <v>27</v>
      </c>
      <c r="E128" s="1" t="s">
        <v>28</v>
      </c>
      <c r="F128" s="1">
        <v>2539.35</v>
      </c>
      <c r="G128" s="1" t="s">
        <v>62</v>
      </c>
      <c r="H128" s="2">
        <v>22870</v>
      </c>
      <c r="I128" s="2">
        <v>44302</v>
      </c>
      <c r="J128" s="1">
        <v>18.09</v>
      </c>
      <c r="K128" s="1">
        <f t="shared" si="8"/>
        <v>459.36841499999997</v>
      </c>
      <c r="L128" s="1">
        <f t="shared" si="9"/>
        <v>2079.981585</v>
      </c>
      <c r="U128">
        <v>3547.4669329999997</v>
      </c>
      <c r="X128" s="1">
        <v>1162</v>
      </c>
      <c r="Y128" s="2">
        <v>45352</v>
      </c>
      <c r="Z128" s="1" t="str">
        <v>South</v>
      </c>
      <c r="AA128" s="1" t="str">
        <v>Football</v>
      </c>
      <c r="AB128" s="1" t="str">
        <v>Sports</v>
      </c>
      <c r="AC128" s="1">
        <v>4145.6899999999996</v>
      </c>
      <c r="AD128" s="1" t="str">
        <v>Andrea Mendez</v>
      </c>
      <c r="AE128" s="1">
        <v>36236</v>
      </c>
      <c r="AF128" s="1">
        <v>45365</v>
      </c>
      <c r="AG128" s="1">
        <v>14.43</v>
      </c>
      <c r="AH128" s="1">
        <v>598.2230669999999</v>
      </c>
      <c r="AI128" s="1">
        <v>3547.4669329999997</v>
      </c>
    </row>
    <row r="129" spans="1:35" x14ac:dyDescent="0.35">
      <c r="A129" s="1">
        <v>1127</v>
      </c>
      <c r="B129" s="2">
        <v>45488</v>
      </c>
      <c r="C129" s="1" t="s">
        <v>10</v>
      </c>
      <c r="D129" s="1" t="s">
        <v>30</v>
      </c>
      <c r="E129" s="1" t="s">
        <v>31</v>
      </c>
      <c r="F129" s="1">
        <v>1990.67</v>
      </c>
      <c r="G129" s="1" t="s">
        <v>148</v>
      </c>
      <c r="H129" s="2">
        <v>22007</v>
      </c>
      <c r="I129" s="2">
        <v>45495</v>
      </c>
      <c r="J129" s="1">
        <v>1.56</v>
      </c>
      <c r="K129" s="1">
        <f t="shared" si="8"/>
        <v>31.054452000000005</v>
      </c>
      <c r="L129" s="1">
        <f t="shared" si="9"/>
        <v>1959.615548</v>
      </c>
      <c r="U129">
        <v>3075.4535420000002</v>
      </c>
      <c r="X129" s="1">
        <v>1163</v>
      </c>
      <c r="Y129" s="2">
        <v>45008</v>
      </c>
      <c r="Z129" s="1" t="str">
        <v>East</v>
      </c>
      <c r="AA129" s="1" t="str">
        <v>Chair</v>
      </c>
      <c r="AB129" s="1" t="str">
        <v>Furniture</v>
      </c>
      <c r="AC129" s="1">
        <v>4581.34</v>
      </c>
      <c r="AD129" s="1" t="str">
        <v>Shane Morgan</v>
      </c>
      <c r="AE129" s="1">
        <v>25099</v>
      </c>
      <c r="AF129" s="1">
        <v>45010</v>
      </c>
      <c r="AG129" s="1">
        <v>32.869999999999997</v>
      </c>
      <c r="AH129" s="1">
        <v>1505.8864579999999</v>
      </c>
      <c r="AI129" s="1">
        <v>3075.4535420000002</v>
      </c>
    </row>
    <row r="130" spans="1:35" x14ac:dyDescent="0.35">
      <c r="A130" s="1">
        <v>1128</v>
      </c>
      <c r="B130" s="2">
        <v>45105</v>
      </c>
      <c r="C130" s="1" t="s">
        <v>21</v>
      </c>
      <c r="D130" s="1" t="s">
        <v>55</v>
      </c>
      <c r="E130" s="1" t="s">
        <v>31</v>
      </c>
      <c r="F130" s="1">
        <v>1239.3399999999999</v>
      </c>
      <c r="G130" s="1" t="s">
        <v>149</v>
      </c>
      <c r="H130" s="2">
        <v>26155</v>
      </c>
      <c r="I130" s="2">
        <v>45115</v>
      </c>
      <c r="J130" s="1">
        <v>5.3</v>
      </c>
      <c r="K130" s="1">
        <f t="shared" si="8"/>
        <v>65.685019999999994</v>
      </c>
      <c r="L130" s="1">
        <f t="shared" si="9"/>
        <v>1173.65498</v>
      </c>
      <c r="U130">
        <v>1041.6158789999999</v>
      </c>
      <c r="X130" s="1">
        <v>1164</v>
      </c>
      <c r="Y130" s="2">
        <v>44551</v>
      </c>
      <c r="Z130" s="1" t="str">
        <v>West</v>
      </c>
      <c r="AA130" s="1" t="str">
        <v>Tennis Racket</v>
      </c>
      <c r="AB130" s="1" t="str">
        <v>Sports</v>
      </c>
      <c r="AC130" s="1">
        <v>1339.01</v>
      </c>
      <c r="AD130" s="1" t="str">
        <v>John Adams</v>
      </c>
      <c r="AE130" s="1">
        <v>22016</v>
      </c>
      <c r="AF130" s="1">
        <v>44553</v>
      </c>
      <c r="AG130" s="1">
        <v>22.21</v>
      </c>
      <c r="AH130" s="1">
        <v>297.39412100000004</v>
      </c>
      <c r="AI130" s="1">
        <v>1041.6158789999999</v>
      </c>
    </row>
    <row r="131" spans="1:35" x14ac:dyDescent="0.35">
      <c r="A131" s="1">
        <v>1129</v>
      </c>
      <c r="B131" s="2">
        <v>45034</v>
      </c>
      <c r="C131" s="1" t="s">
        <v>14</v>
      </c>
      <c r="D131" s="1" t="s">
        <v>69</v>
      </c>
      <c r="E131" s="1" t="s">
        <v>31</v>
      </c>
      <c r="F131" s="1">
        <v>585.54999999999995</v>
      </c>
      <c r="G131" s="1" t="s">
        <v>54</v>
      </c>
      <c r="H131" s="2">
        <v>31082</v>
      </c>
      <c r="I131" s="2">
        <v>45038</v>
      </c>
      <c r="J131" s="1">
        <v>49.91</v>
      </c>
      <c r="K131" s="1">
        <f t="shared" ref="K131:K194" si="10">F131*J131%</f>
        <v>292.24800499999998</v>
      </c>
      <c r="L131" s="1">
        <f t="shared" ref="L131:L194" si="11">F131-K131</f>
        <v>293.30199499999998</v>
      </c>
      <c r="U131">
        <v>2609.0707499999999</v>
      </c>
      <c r="X131" s="1">
        <v>1165</v>
      </c>
      <c r="Y131" s="2">
        <v>45742</v>
      </c>
      <c r="Z131" s="1" t="str">
        <v>North</v>
      </c>
      <c r="AA131" s="1" t="str">
        <v>Milk</v>
      </c>
      <c r="AB131" s="1" t="str">
        <v>Groceries</v>
      </c>
      <c r="AC131" s="1">
        <v>2790.45</v>
      </c>
      <c r="AD131" s="1" t="str">
        <v>Lynn Johnson</v>
      </c>
      <c r="AE131" s="1">
        <v>37189</v>
      </c>
      <c r="AF131" s="1">
        <v>45752</v>
      </c>
      <c r="AG131" s="1">
        <v>6.5</v>
      </c>
      <c r="AH131" s="1">
        <v>181.37924999999998</v>
      </c>
      <c r="AI131" s="1">
        <v>2609.0707499999999</v>
      </c>
    </row>
    <row r="132" spans="1:35" x14ac:dyDescent="0.35">
      <c r="A132" s="1">
        <v>1130</v>
      </c>
      <c r="B132" s="2">
        <v>45860</v>
      </c>
      <c r="C132" s="1" t="s">
        <v>21</v>
      </c>
      <c r="D132" s="1" t="s">
        <v>24</v>
      </c>
      <c r="E132" s="1" t="s">
        <v>19</v>
      </c>
      <c r="F132" s="1">
        <v>2422.41</v>
      </c>
      <c r="G132" s="1" t="s">
        <v>112</v>
      </c>
      <c r="H132" s="2">
        <v>38171</v>
      </c>
      <c r="I132" s="2">
        <v>45862</v>
      </c>
      <c r="J132" s="1">
        <v>43.13</v>
      </c>
      <c r="K132" s="1">
        <f t="shared" si="10"/>
        <v>1044.785433</v>
      </c>
      <c r="L132" s="1">
        <f t="shared" si="11"/>
        <v>1377.6245669999998</v>
      </c>
      <c r="U132">
        <v>1617.6673499999999</v>
      </c>
      <c r="X132" s="1">
        <v>1167</v>
      </c>
      <c r="Y132" s="2">
        <v>45151</v>
      </c>
      <c r="Z132" s="1" t="str">
        <v>South</v>
      </c>
      <c r="AA132" s="1" t="str">
        <v>Cap</v>
      </c>
      <c r="AB132" s="1" t="str">
        <v>Clothing</v>
      </c>
      <c r="AC132" s="1">
        <v>1782.75</v>
      </c>
      <c r="AD132" s="1" t="str">
        <v>Richard Crawford</v>
      </c>
      <c r="AE132" s="1">
        <v>36623</v>
      </c>
      <c r="AF132" s="1">
        <v>45156</v>
      </c>
      <c r="AG132" s="1">
        <v>9.26</v>
      </c>
      <c r="AH132" s="1">
        <v>165.08265</v>
      </c>
      <c r="AI132" s="1">
        <v>1617.6673499999999</v>
      </c>
    </row>
    <row r="133" spans="1:35" x14ac:dyDescent="0.35">
      <c r="A133" s="1">
        <v>1131</v>
      </c>
      <c r="B133" s="2">
        <v>44404</v>
      </c>
      <c r="C133" s="1" t="s">
        <v>14</v>
      </c>
      <c r="D133" s="1" t="s">
        <v>102</v>
      </c>
      <c r="E133" s="1" t="s">
        <v>12</v>
      </c>
      <c r="F133" s="1">
        <v>1177.53</v>
      </c>
      <c r="G133" s="1" t="s">
        <v>150</v>
      </c>
      <c r="H133" s="2">
        <v>31231</v>
      </c>
      <c r="I133" s="2">
        <v>44418</v>
      </c>
      <c r="J133" s="1">
        <v>25.34</v>
      </c>
      <c r="K133" s="1">
        <f t="shared" si="10"/>
        <v>298.38610199999999</v>
      </c>
      <c r="L133" s="1">
        <f t="shared" si="11"/>
        <v>879.14389800000004</v>
      </c>
      <c r="U133">
        <v>1643.948046</v>
      </c>
      <c r="X133" s="1">
        <v>1168</v>
      </c>
      <c r="Y133" s="2">
        <v>45093</v>
      </c>
      <c r="Z133" s="1" t="str">
        <v>North</v>
      </c>
      <c r="AA133" s="1" t="str">
        <v>Wheat</v>
      </c>
      <c r="AB133" s="1" t="str">
        <v>Groceries</v>
      </c>
      <c r="AC133" s="1">
        <v>2529.54</v>
      </c>
      <c r="AD133" s="1" t="str">
        <v>Kayla Patel</v>
      </c>
      <c r="AE133" s="1">
        <v>32992</v>
      </c>
      <c r="AF133" s="1">
        <v>45094</v>
      </c>
      <c r="AG133" s="1">
        <v>35.01</v>
      </c>
      <c r="AH133" s="1">
        <v>885.59195399999987</v>
      </c>
      <c r="AI133" s="1">
        <v>1643.948046</v>
      </c>
    </row>
    <row r="134" spans="1:35" x14ac:dyDescent="0.35">
      <c r="A134" s="1">
        <v>1132</v>
      </c>
      <c r="B134" s="2">
        <v>45011</v>
      </c>
      <c r="C134" s="1" t="s">
        <v>35</v>
      </c>
      <c r="D134" s="1" t="s">
        <v>65</v>
      </c>
      <c r="E134" s="1" t="s">
        <v>19</v>
      </c>
      <c r="F134" s="1">
        <v>141.16999999999999</v>
      </c>
      <c r="G134" s="1" t="s">
        <v>151</v>
      </c>
      <c r="H134" s="2">
        <v>34427</v>
      </c>
      <c r="I134" s="2">
        <v>45015</v>
      </c>
      <c r="J134" s="1">
        <v>22.75</v>
      </c>
      <c r="K134" s="1">
        <f t="shared" si="10"/>
        <v>32.116174999999998</v>
      </c>
      <c r="L134" s="1">
        <f t="shared" si="11"/>
        <v>109.05382499999999</v>
      </c>
      <c r="U134">
        <v>1125.3839519999999</v>
      </c>
      <c r="X134" s="1">
        <v>1170</v>
      </c>
      <c r="Y134" s="2">
        <v>44998</v>
      </c>
      <c r="Z134" s="1" t="str">
        <v>East</v>
      </c>
      <c r="AA134" s="1" t="str">
        <v>Shoes</v>
      </c>
      <c r="AB134" s="1" t="str">
        <v>Clothing</v>
      </c>
      <c r="AC134" s="1">
        <v>1253.77</v>
      </c>
      <c r="AD134" s="1" t="str">
        <v>Brandon King</v>
      </c>
      <c r="AE134" s="1">
        <v>34364</v>
      </c>
      <c r="AF134" s="1">
        <v>45011</v>
      </c>
      <c r="AG134" s="1">
        <v>10.24</v>
      </c>
      <c r="AH134" s="1">
        <v>128.38604800000002</v>
      </c>
      <c r="AI134" s="1">
        <v>1125.3839519999999</v>
      </c>
    </row>
    <row r="135" spans="1:35" x14ac:dyDescent="0.35">
      <c r="A135" s="1">
        <v>1133</v>
      </c>
      <c r="B135" s="2">
        <v>44704</v>
      </c>
      <c r="C135" s="1" t="s">
        <v>26</v>
      </c>
      <c r="D135" s="1" t="s">
        <v>53</v>
      </c>
      <c r="E135" s="1" t="s">
        <v>28</v>
      </c>
      <c r="F135" s="1">
        <v>309.52</v>
      </c>
      <c r="G135" s="1" t="s">
        <v>152</v>
      </c>
      <c r="H135" s="2">
        <v>24792</v>
      </c>
      <c r="I135" s="2">
        <v>44718</v>
      </c>
      <c r="J135" s="1">
        <v>38.33</v>
      </c>
      <c r="K135" s="1">
        <f t="shared" si="10"/>
        <v>118.63901599999998</v>
      </c>
      <c r="L135" s="1">
        <f t="shared" si="11"/>
        <v>190.88098400000001</v>
      </c>
      <c r="U135">
        <v>2743.5890399999998</v>
      </c>
      <c r="X135" s="1">
        <v>1172</v>
      </c>
      <c r="Y135" s="2">
        <v>44617</v>
      </c>
      <c r="Z135" s="1" t="str">
        <v>North</v>
      </c>
      <c r="AA135" s="1" t="str">
        <v>Jacket</v>
      </c>
      <c r="AB135" s="1" t="str">
        <v>Clothing</v>
      </c>
      <c r="AC135" s="1">
        <v>3804.2</v>
      </c>
      <c r="AD135" s="1" t="str">
        <v>Kristin Ramsey</v>
      </c>
      <c r="AE135" s="1">
        <v>24672</v>
      </c>
      <c r="AF135" s="1">
        <v>44620</v>
      </c>
      <c r="AG135" s="1">
        <v>27.88</v>
      </c>
      <c r="AH135" s="1">
        <v>1060.61096</v>
      </c>
      <c r="AI135" s="1">
        <v>2743.5890399999998</v>
      </c>
    </row>
    <row r="136" spans="1:35" x14ac:dyDescent="0.35">
      <c r="A136" s="1">
        <v>1134</v>
      </c>
      <c r="B136" s="2">
        <v>44910</v>
      </c>
      <c r="C136" s="1" t="s">
        <v>21</v>
      </c>
      <c r="D136" s="1" t="s">
        <v>88</v>
      </c>
      <c r="E136" s="1" t="s">
        <v>16</v>
      </c>
      <c r="F136" s="1">
        <v>3482.39</v>
      </c>
      <c r="G136" s="1" t="s">
        <v>153</v>
      </c>
      <c r="H136" s="2">
        <v>36216</v>
      </c>
      <c r="I136" s="2">
        <v>44912</v>
      </c>
      <c r="J136" s="1">
        <v>34.479999999999997</v>
      </c>
      <c r="K136" s="1">
        <f t="shared" si="10"/>
        <v>1200.7280719999999</v>
      </c>
      <c r="L136" s="1">
        <f t="shared" si="11"/>
        <v>2281.661928</v>
      </c>
      <c r="U136">
        <v>1886.945856</v>
      </c>
      <c r="X136" s="1">
        <v>1173</v>
      </c>
      <c r="Y136" s="2">
        <v>44561</v>
      </c>
      <c r="Z136" s="1" t="str">
        <v>East</v>
      </c>
      <c r="AA136" s="1" t="str">
        <v>Jacket</v>
      </c>
      <c r="AB136" s="1" t="str">
        <v>Clothing</v>
      </c>
      <c r="AC136" s="1">
        <v>3327.36</v>
      </c>
      <c r="AD136" s="1" t="str">
        <v>James Campbell</v>
      </c>
      <c r="AE136" s="1">
        <v>28644</v>
      </c>
      <c r="AF136" s="1">
        <v>44567</v>
      </c>
      <c r="AG136" s="1">
        <v>43.29</v>
      </c>
      <c r="AH136" s="1">
        <v>1440.4141440000001</v>
      </c>
      <c r="AI136" s="1">
        <v>1886.945856</v>
      </c>
    </row>
    <row r="137" spans="1:35" x14ac:dyDescent="0.35">
      <c r="A137" s="1">
        <v>1135</v>
      </c>
      <c r="B137" s="2">
        <v>45173</v>
      </c>
      <c r="C137" s="1" t="s">
        <v>14</v>
      </c>
      <c r="D137" s="1" t="s">
        <v>40</v>
      </c>
      <c r="E137" s="1" t="s">
        <v>16</v>
      </c>
      <c r="F137" s="1">
        <v>186.59</v>
      </c>
      <c r="G137" s="1" t="s">
        <v>154</v>
      </c>
      <c r="H137" s="2">
        <v>32146</v>
      </c>
      <c r="I137" s="2">
        <v>45186</v>
      </c>
      <c r="J137" s="1">
        <v>43.06</v>
      </c>
      <c r="K137" s="1">
        <f t="shared" si="10"/>
        <v>80.34565400000001</v>
      </c>
      <c r="L137" s="1">
        <f t="shared" si="11"/>
        <v>106.24434599999999</v>
      </c>
      <c r="U137">
        <v>2558.7774960000002</v>
      </c>
      <c r="X137" s="1">
        <v>1174</v>
      </c>
      <c r="Y137" s="2">
        <v>44498</v>
      </c>
      <c r="Z137" s="1" t="str">
        <v>Central</v>
      </c>
      <c r="AA137" s="1" t="str">
        <v>Jeans</v>
      </c>
      <c r="AB137" s="1" t="str">
        <v>Clothing</v>
      </c>
      <c r="AC137" s="1">
        <v>4323.72</v>
      </c>
      <c r="AD137" s="1" t="str">
        <v>Daniel Cabrera</v>
      </c>
      <c r="AE137" s="1">
        <v>24033</v>
      </c>
      <c r="AF137" s="1">
        <v>44501</v>
      </c>
      <c r="AG137" s="1">
        <v>40.82</v>
      </c>
      <c r="AH137" s="1">
        <v>1764.9425040000001</v>
      </c>
      <c r="AI137" s="1">
        <v>2558.7774960000002</v>
      </c>
    </row>
    <row r="138" spans="1:35" x14ac:dyDescent="0.35">
      <c r="A138" s="1">
        <v>1136</v>
      </c>
      <c r="B138" s="2">
        <v>44784</v>
      </c>
      <c r="C138" s="1" t="s">
        <v>35</v>
      </c>
      <c r="D138" s="1" t="s">
        <v>55</v>
      </c>
      <c r="E138" s="1" t="s">
        <v>31</v>
      </c>
      <c r="F138" s="1">
        <v>2204.64</v>
      </c>
      <c r="G138" s="1" t="s">
        <v>132</v>
      </c>
      <c r="H138" s="2">
        <v>34364</v>
      </c>
      <c r="I138" s="2">
        <v>44785</v>
      </c>
      <c r="J138" s="1">
        <v>1.55</v>
      </c>
      <c r="K138" s="1">
        <f t="shared" si="10"/>
        <v>34.17192</v>
      </c>
      <c r="L138" s="1">
        <f t="shared" si="11"/>
        <v>2170.4680799999996</v>
      </c>
      <c r="U138">
        <v>4162.5042480000002</v>
      </c>
      <c r="X138" s="1">
        <v>1175</v>
      </c>
      <c r="Y138" s="2">
        <v>44844</v>
      </c>
      <c r="Z138" s="1" t="str">
        <v>North</v>
      </c>
      <c r="AA138" s="1" t="str">
        <v>Football</v>
      </c>
      <c r="AB138" s="1" t="str">
        <v>Sports</v>
      </c>
      <c r="AC138" s="1">
        <v>4240.53</v>
      </c>
      <c r="AD138" s="1" t="str">
        <v>Tracy Moore</v>
      </c>
      <c r="AE138" s="1">
        <v>33282</v>
      </c>
      <c r="AF138" s="1">
        <v>44856</v>
      </c>
      <c r="AG138" s="1">
        <v>1.84</v>
      </c>
      <c r="AH138" s="1">
        <v>78.025751999999997</v>
      </c>
      <c r="AI138" s="1">
        <v>4162.5042480000002</v>
      </c>
    </row>
    <row r="139" spans="1:35" x14ac:dyDescent="0.35">
      <c r="A139" s="1">
        <v>1137</v>
      </c>
      <c r="B139" s="2">
        <v>44556</v>
      </c>
      <c r="C139" s="1" t="s">
        <v>35</v>
      </c>
      <c r="D139" s="1" t="s">
        <v>69</v>
      </c>
      <c r="E139" s="1" t="s">
        <v>31</v>
      </c>
      <c r="F139" s="1">
        <v>472.14</v>
      </c>
      <c r="G139" s="1" t="s">
        <v>155</v>
      </c>
      <c r="H139" s="2">
        <v>27688</v>
      </c>
      <c r="I139" s="2">
        <v>44558</v>
      </c>
      <c r="J139" s="1">
        <v>6.01</v>
      </c>
      <c r="K139" s="1">
        <f t="shared" si="10"/>
        <v>28.375613999999999</v>
      </c>
      <c r="L139" s="1">
        <f t="shared" si="11"/>
        <v>443.764386</v>
      </c>
      <c r="U139">
        <v>1492.1046540000002</v>
      </c>
      <c r="X139" s="1">
        <v>1177</v>
      </c>
      <c r="Y139" s="2">
        <v>44469</v>
      </c>
      <c r="Z139" s="1" t="str">
        <v>North</v>
      </c>
      <c r="AA139" s="1" t="str">
        <v>Jeans</v>
      </c>
      <c r="AB139" s="1" t="str">
        <v>Clothing</v>
      </c>
      <c r="AC139" s="1">
        <v>2760.09</v>
      </c>
      <c r="AD139" s="1" t="str">
        <v>Lucas Rodriguez</v>
      </c>
      <c r="AE139" s="1">
        <v>23890</v>
      </c>
      <c r="AF139" s="1">
        <v>44481</v>
      </c>
      <c r="AG139" s="1">
        <v>45.94</v>
      </c>
      <c r="AH139" s="1">
        <v>1267.9853459999999</v>
      </c>
      <c r="AI139" s="1">
        <v>1492.1046540000002</v>
      </c>
    </row>
    <row r="140" spans="1:35" x14ac:dyDescent="0.35">
      <c r="A140" s="1">
        <v>1138</v>
      </c>
      <c r="B140" s="2">
        <v>44765</v>
      </c>
      <c r="C140" s="1" t="s">
        <v>10</v>
      </c>
      <c r="D140" s="1" t="s">
        <v>27</v>
      </c>
      <c r="E140" s="1" t="s">
        <v>28</v>
      </c>
      <c r="F140" s="1">
        <v>4691.68</v>
      </c>
      <c r="G140" s="1" t="s">
        <v>156</v>
      </c>
      <c r="H140" s="2">
        <v>38693</v>
      </c>
      <c r="I140" s="2">
        <v>44777</v>
      </c>
      <c r="J140" s="1">
        <v>24.19</v>
      </c>
      <c r="K140" s="1">
        <f t="shared" si="10"/>
        <v>1134.9173920000001</v>
      </c>
      <c r="L140" s="1">
        <f t="shared" si="11"/>
        <v>3556.762608</v>
      </c>
      <c r="U140">
        <v>3799.0788000000002</v>
      </c>
      <c r="X140" s="1">
        <v>1178</v>
      </c>
      <c r="Y140" s="2">
        <v>44255</v>
      </c>
      <c r="Z140" s="1" t="str">
        <v>Central</v>
      </c>
      <c r="AA140" s="1" t="str">
        <v>Laptop</v>
      </c>
      <c r="AB140" s="1" t="str">
        <v>Electronics</v>
      </c>
      <c r="AC140" s="1">
        <v>3846</v>
      </c>
      <c r="AD140" s="1" t="str">
        <v>Pamela Randall</v>
      </c>
      <c r="AE140" s="1">
        <v>30356</v>
      </c>
      <c r="AF140" s="1">
        <v>44256</v>
      </c>
      <c r="AG140" s="1">
        <v>1.22</v>
      </c>
      <c r="AH140" s="1">
        <v>46.921199999999999</v>
      </c>
      <c r="AI140" s="1">
        <v>3799.0788000000002</v>
      </c>
    </row>
    <row r="141" spans="1:35" x14ac:dyDescent="0.35">
      <c r="A141" s="1">
        <v>1139</v>
      </c>
      <c r="B141" s="2">
        <v>45699</v>
      </c>
      <c r="C141" s="1" t="s">
        <v>10</v>
      </c>
      <c r="D141" s="1" t="s">
        <v>47</v>
      </c>
      <c r="E141" s="1" t="s">
        <v>12</v>
      </c>
      <c r="F141" s="1">
        <v>1474.93</v>
      </c>
      <c r="G141" s="1" t="s">
        <v>157</v>
      </c>
      <c r="H141" s="2">
        <v>37189</v>
      </c>
      <c r="I141" s="2">
        <v>45710</v>
      </c>
      <c r="J141" s="1">
        <v>13.15</v>
      </c>
      <c r="K141" s="1">
        <f t="shared" si="10"/>
        <v>193.95329500000003</v>
      </c>
      <c r="L141" s="1">
        <f t="shared" si="11"/>
        <v>1280.976705</v>
      </c>
      <c r="U141">
        <v>2582.5116900000003</v>
      </c>
      <c r="X141" s="1">
        <v>1180</v>
      </c>
      <c r="Y141" s="2">
        <v>44632</v>
      </c>
      <c r="Z141" s="1" t="str">
        <v>North</v>
      </c>
      <c r="AA141" s="1" t="str">
        <v>Basketball</v>
      </c>
      <c r="AB141" s="1" t="str">
        <v>Sports</v>
      </c>
      <c r="AC141" s="1">
        <v>4801.1000000000004</v>
      </c>
      <c r="AD141" s="1" t="str">
        <v>Adrian Howe</v>
      </c>
      <c r="AE141" s="1">
        <v>37236</v>
      </c>
      <c r="AF141" s="1">
        <v>44645</v>
      </c>
      <c r="AG141" s="1">
        <v>46.21</v>
      </c>
      <c r="AH141" s="1">
        <v>2218.5883100000001</v>
      </c>
      <c r="AI141" s="1">
        <v>2582.5116900000003</v>
      </c>
    </row>
    <row r="142" spans="1:35" x14ac:dyDescent="0.35">
      <c r="A142" s="1">
        <v>1140</v>
      </c>
      <c r="B142" s="2">
        <v>45407</v>
      </c>
      <c r="C142" s="1" t="s">
        <v>26</v>
      </c>
      <c r="D142" s="1" t="s">
        <v>36</v>
      </c>
      <c r="E142" s="1" t="s">
        <v>28</v>
      </c>
      <c r="F142" s="1">
        <v>1790.45</v>
      </c>
      <c r="G142" s="1" t="s">
        <v>90</v>
      </c>
      <c r="H142" s="2">
        <v>29348</v>
      </c>
      <c r="I142" s="2">
        <v>45408</v>
      </c>
      <c r="J142" s="1">
        <v>19.11</v>
      </c>
      <c r="K142" s="1">
        <f t="shared" si="10"/>
        <v>342.15499499999999</v>
      </c>
      <c r="L142" s="1">
        <f t="shared" si="11"/>
        <v>1448.2950049999999</v>
      </c>
      <c r="U142">
        <v>2061.7668899999999</v>
      </c>
      <c r="X142" s="1">
        <v>1181</v>
      </c>
      <c r="Y142" s="2">
        <v>44779</v>
      </c>
      <c r="Z142" s="1" t="str">
        <v>North</v>
      </c>
      <c r="AA142" s="1" t="str">
        <v>Tennis Racket</v>
      </c>
      <c r="AB142" s="1" t="str">
        <v>Sports</v>
      </c>
      <c r="AC142" s="1">
        <v>2518.65</v>
      </c>
      <c r="AD142" s="1" t="str">
        <v>Christine Wiley</v>
      </c>
      <c r="AE142" s="1">
        <v>25222</v>
      </c>
      <c r="AF142" s="1">
        <v>44782</v>
      </c>
      <c r="AG142" s="1">
        <v>18.14</v>
      </c>
      <c r="AH142" s="1">
        <v>456.88311000000004</v>
      </c>
      <c r="AI142" s="1">
        <v>2061.7668899999999</v>
      </c>
    </row>
    <row r="143" spans="1:35" x14ac:dyDescent="0.35">
      <c r="A143" s="1">
        <v>1141</v>
      </c>
      <c r="B143" s="2">
        <v>45878</v>
      </c>
      <c r="C143" s="1" t="s">
        <v>35</v>
      </c>
      <c r="D143" s="1" t="s">
        <v>61</v>
      </c>
      <c r="E143" s="1" t="s">
        <v>19</v>
      </c>
      <c r="F143" s="1">
        <v>808</v>
      </c>
      <c r="G143" s="1" t="s">
        <v>78</v>
      </c>
      <c r="H143" s="2">
        <v>25099</v>
      </c>
      <c r="I143" s="2">
        <v>45883</v>
      </c>
      <c r="J143" s="1">
        <v>23.32</v>
      </c>
      <c r="K143" s="1">
        <f t="shared" si="10"/>
        <v>188.4256</v>
      </c>
      <c r="L143" s="1">
        <f t="shared" si="11"/>
        <v>619.57439999999997</v>
      </c>
      <c r="U143">
        <v>1218.3521129999999</v>
      </c>
      <c r="X143" s="1">
        <v>1184</v>
      </c>
      <c r="Y143" s="2">
        <v>44227</v>
      </c>
      <c r="Z143" s="1" t="str">
        <v>South</v>
      </c>
      <c r="AA143" s="1" t="str">
        <v>Sofa</v>
      </c>
      <c r="AB143" s="1" t="str">
        <v>Furniture</v>
      </c>
      <c r="AC143" s="1">
        <v>2092.31</v>
      </c>
      <c r="AD143" s="1" t="str">
        <v>Jamie Day</v>
      </c>
      <c r="AE143" s="1">
        <v>32359</v>
      </c>
      <c r="AF143" s="1">
        <v>44234</v>
      </c>
      <c r="AG143" s="1">
        <v>41.77</v>
      </c>
      <c r="AH143" s="1">
        <v>873.95788700000003</v>
      </c>
      <c r="AI143" s="1">
        <v>1218.3521129999999</v>
      </c>
    </row>
    <row r="144" spans="1:35" x14ac:dyDescent="0.35">
      <c r="A144" s="1">
        <v>1142</v>
      </c>
      <c r="B144" s="2">
        <v>44208</v>
      </c>
      <c r="C144" s="1" t="s">
        <v>14</v>
      </c>
      <c r="D144" s="1" t="s">
        <v>61</v>
      </c>
      <c r="E144" s="1" t="s">
        <v>19</v>
      </c>
      <c r="F144" s="1">
        <v>1853.63</v>
      </c>
      <c r="G144" s="1" t="s">
        <v>158</v>
      </c>
      <c r="H144" s="2">
        <v>34871</v>
      </c>
      <c r="I144" s="2">
        <v>44219</v>
      </c>
      <c r="J144" s="1">
        <v>22.73</v>
      </c>
      <c r="K144" s="1">
        <f t="shared" si="10"/>
        <v>421.33009900000002</v>
      </c>
      <c r="L144" s="1">
        <f t="shared" si="11"/>
        <v>1432.2999010000001</v>
      </c>
      <c r="U144">
        <v>2821.4704460000003</v>
      </c>
      <c r="X144" s="1">
        <v>1185</v>
      </c>
      <c r="Y144" s="2">
        <v>44174</v>
      </c>
      <c r="Z144" s="1" t="str">
        <v>North</v>
      </c>
      <c r="AA144" s="1" t="str">
        <v>Oil</v>
      </c>
      <c r="AB144" s="1" t="str">
        <v>Groceries</v>
      </c>
      <c r="AC144" s="1">
        <v>3301.51</v>
      </c>
      <c r="AD144" s="1" t="str">
        <v>Tina Kirk</v>
      </c>
      <c r="AE144" s="1">
        <v>29547</v>
      </c>
      <c r="AF144" s="1">
        <v>44180</v>
      </c>
      <c r="AG144" s="1">
        <v>14.54</v>
      </c>
      <c r="AH144" s="1">
        <v>480.03955400000001</v>
      </c>
      <c r="AI144" s="1">
        <v>2821.4704460000003</v>
      </c>
    </row>
    <row r="145" spans="1:35" x14ac:dyDescent="0.35">
      <c r="A145" s="1">
        <v>1143</v>
      </c>
      <c r="B145" s="2">
        <v>44282</v>
      </c>
      <c r="C145" s="1" t="s">
        <v>21</v>
      </c>
      <c r="D145" s="1" t="s">
        <v>71</v>
      </c>
      <c r="E145" s="1" t="s">
        <v>31</v>
      </c>
      <c r="F145" s="1">
        <v>3908.26</v>
      </c>
      <c r="G145" s="1" t="s">
        <v>159</v>
      </c>
      <c r="H145" s="2">
        <v>38194</v>
      </c>
      <c r="I145" s="2">
        <v>44285</v>
      </c>
      <c r="J145" s="1">
        <v>5.22</v>
      </c>
      <c r="K145" s="1">
        <f t="shared" si="10"/>
        <v>204.01117199999999</v>
      </c>
      <c r="L145" s="1">
        <f t="shared" si="11"/>
        <v>3704.2488280000002</v>
      </c>
      <c r="U145">
        <v>3582.7711140000001</v>
      </c>
      <c r="X145" s="1">
        <v>1186</v>
      </c>
      <c r="Y145" s="2">
        <v>45520</v>
      </c>
      <c r="Z145" s="1" t="str">
        <v>East</v>
      </c>
      <c r="AA145" s="1" t="str">
        <v>Football</v>
      </c>
      <c r="AB145" s="1" t="str">
        <v>Sports</v>
      </c>
      <c r="AC145" s="1">
        <v>4889.82</v>
      </c>
      <c r="AD145" s="1" t="str">
        <v>Tara Giles</v>
      </c>
      <c r="AE145" s="1">
        <v>36384</v>
      </c>
      <c r="AF145" s="1">
        <v>45534</v>
      </c>
      <c r="AG145" s="1">
        <v>26.73</v>
      </c>
      <c r="AH145" s="1">
        <v>1307.0488859999998</v>
      </c>
      <c r="AI145" s="1">
        <v>3582.7711140000001</v>
      </c>
    </row>
    <row r="146" spans="1:35" x14ac:dyDescent="0.35">
      <c r="A146" s="1">
        <v>1144</v>
      </c>
      <c r="B146" s="2">
        <v>45242</v>
      </c>
      <c r="C146" s="1" t="s">
        <v>21</v>
      </c>
      <c r="D146" s="1" t="s">
        <v>30</v>
      </c>
      <c r="E146" s="1" t="s">
        <v>31</v>
      </c>
      <c r="F146" s="1">
        <v>3609.48</v>
      </c>
      <c r="G146" s="1" t="s">
        <v>43</v>
      </c>
      <c r="H146" s="2">
        <v>30054</v>
      </c>
      <c r="I146" s="2">
        <v>45249</v>
      </c>
      <c r="J146" s="1">
        <v>0.27</v>
      </c>
      <c r="K146" s="1">
        <f t="shared" si="10"/>
        <v>9.7455960000000008</v>
      </c>
      <c r="L146" s="1">
        <f t="shared" si="11"/>
        <v>3599.7344039999998</v>
      </c>
      <c r="U146">
        <v>1219.240785</v>
      </c>
      <c r="X146" s="1">
        <v>1187</v>
      </c>
      <c r="Y146" s="2">
        <v>45444</v>
      </c>
      <c r="Z146" s="1" t="str">
        <v>Central</v>
      </c>
      <c r="AA146" s="1" t="str">
        <v>T-Shirt</v>
      </c>
      <c r="AB146" s="1" t="str">
        <v>Clothing</v>
      </c>
      <c r="AC146" s="1">
        <v>1596.91</v>
      </c>
      <c r="AD146" s="1" t="str">
        <v>Sierra Elliott</v>
      </c>
      <c r="AE146" s="1">
        <v>29720</v>
      </c>
      <c r="AF146" s="1">
        <v>45453</v>
      </c>
      <c r="AG146" s="1">
        <v>23.65</v>
      </c>
      <c r="AH146" s="1">
        <v>377.66921500000001</v>
      </c>
      <c r="AI146" s="1">
        <v>1219.240785</v>
      </c>
    </row>
    <row r="147" spans="1:35" x14ac:dyDescent="0.35">
      <c r="A147" s="1">
        <v>1145</v>
      </c>
      <c r="B147" s="2">
        <v>44771</v>
      </c>
      <c r="C147" s="1" t="s">
        <v>14</v>
      </c>
      <c r="D147" s="1" t="s">
        <v>11</v>
      </c>
      <c r="E147" s="1" t="s">
        <v>12</v>
      </c>
      <c r="F147" s="1">
        <v>527.39</v>
      </c>
      <c r="G147" s="1" t="s">
        <v>59</v>
      </c>
      <c r="H147" s="2">
        <v>25166</v>
      </c>
      <c r="I147" s="2">
        <v>44780</v>
      </c>
      <c r="J147" s="1">
        <v>14.21</v>
      </c>
      <c r="K147" s="1">
        <f t="shared" si="10"/>
        <v>74.942119000000005</v>
      </c>
      <c r="L147" s="1">
        <f t="shared" si="11"/>
        <v>452.447881</v>
      </c>
      <c r="U147">
        <v>2526.0463669999999</v>
      </c>
      <c r="X147" s="1">
        <v>1189</v>
      </c>
      <c r="Y147" s="2">
        <v>45333</v>
      </c>
      <c r="Z147" s="1" t="str">
        <v>Central</v>
      </c>
      <c r="AA147" s="1" t="str">
        <v>Smartphone</v>
      </c>
      <c r="AB147" s="1" t="str">
        <v>Electronics</v>
      </c>
      <c r="AC147" s="1">
        <v>2712.97</v>
      </c>
      <c r="AD147" s="1" t="str">
        <v>James Stevens</v>
      </c>
      <c r="AE147" s="1">
        <v>30778</v>
      </c>
      <c r="AF147" s="1">
        <v>45344</v>
      </c>
      <c r="AG147" s="1">
        <v>6.89</v>
      </c>
      <c r="AH147" s="1">
        <v>186.923633</v>
      </c>
      <c r="AI147" s="1">
        <v>2526.0463669999999</v>
      </c>
    </row>
    <row r="148" spans="1:35" x14ac:dyDescent="0.35">
      <c r="A148" s="1">
        <v>1146</v>
      </c>
      <c r="B148" s="2">
        <v>44893</v>
      </c>
      <c r="C148" s="1" t="s">
        <v>35</v>
      </c>
      <c r="D148" s="1" t="s">
        <v>30</v>
      </c>
      <c r="E148" s="1" t="s">
        <v>31</v>
      </c>
      <c r="F148" s="1">
        <v>3221.4</v>
      </c>
      <c r="G148" s="1" t="s">
        <v>160</v>
      </c>
      <c r="H148" s="2">
        <v>35321</v>
      </c>
      <c r="I148" s="2">
        <v>44900</v>
      </c>
      <c r="J148" s="1">
        <v>14.32</v>
      </c>
      <c r="K148" s="1">
        <f t="shared" si="10"/>
        <v>461.30448000000001</v>
      </c>
      <c r="L148" s="1">
        <f t="shared" si="11"/>
        <v>2760.0955199999999</v>
      </c>
      <c r="U148">
        <v>4396.5629259999996</v>
      </c>
      <c r="X148" s="1">
        <v>1190</v>
      </c>
      <c r="Y148" s="2">
        <v>44120</v>
      </c>
      <c r="Z148" s="1" t="str">
        <v>West</v>
      </c>
      <c r="AA148" s="1" t="str">
        <v>Milk</v>
      </c>
      <c r="AB148" s="1" t="str">
        <v>Groceries</v>
      </c>
      <c r="AC148" s="1">
        <v>4441.87</v>
      </c>
      <c r="AD148" s="1" t="str">
        <v>Tina Kirk</v>
      </c>
      <c r="AE148" s="1">
        <v>29547</v>
      </c>
      <c r="AF148" s="1">
        <v>44123</v>
      </c>
      <c r="AG148" s="1">
        <v>1.02</v>
      </c>
      <c r="AH148" s="1">
        <v>45.307074</v>
      </c>
      <c r="AI148" s="1">
        <v>4396.5629259999996</v>
      </c>
    </row>
    <row r="149" spans="1:35" x14ac:dyDescent="0.35">
      <c r="A149" s="1">
        <v>1147</v>
      </c>
      <c r="B149" s="2">
        <v>44609</v>
      </c>
      <c r="C149" s="1" t="s">
        <v>14</v>
      </c>
      <c r="D149" s="1" t="s">
        <v>69</v>
      </c>
      <c r="E149" s="1" t="s">
        <v>31</v>
      </c>
      <c r="F149" s="1">
        <v>2149.13</v>
      </c>
      <c r="G149" s="1" t="s">
        <v>161</v>
      </c>
      <c r="H149" s="2">
        <v>29386</v>
      </c>
      <c r="I149" s="2">
        <v>44612</v>
      </c>
      <c r="J149" s="1">
        <v>39.03</v>
      </c>
      <c r="K149" s="1">
        <f t="shared" si="10"/>
        <v>838.80543900000009</v>
      </c>
      <c r="L149" s="1">
        <f t="shared" si="11"/>
        <v>1310.3245609999999</v>
      </c>
      <c r="U149">
        <v>3146.4750240000003</v>
      </c>
      <c r="X149" s="1">
        <v>1191</v>
      </c>
      <c r="Y149" s="2">
        <v>45266</v>
      </c>
      <c r="Z149" s="1" t="str">
        <v>North</v>
      </c>
      <c r="AA149" s="1" t="str">
        <v>Jacket</v>
      </c>
      <c r="AB149" s="1" t="str">
        <v>Clothing</v>
      </c>
      <c r="AC149" s="1">
        <v>4864.68</v>
      </c>
      <c r="AD149" s="1" t="str">
        <v>Curtis George</v>
      </c>
      <c r="AE149" s="1">
        <v>31467</v>
      </c>
      <c r="AF149" s="1">
        <v>45277</v>
      </c>
      <c r="AG149" s="1">
        <v>35.32</v>
      </c>
      <c r="AH149" s="1">
        <v>1718.2049760000002</v>
      </c>
      <c r="AI149" s="1">
        <v>3146.4750240000003</v>
      </c>
    </row>
    <row r="150" spans="1:35" x14ac:dyDescent="0.35">
      <c r="A150" s="1">
        <v>1148</v>
      </c>
      <c r="B150" s="2">
        <v>44281</v>
      </c>
      <c r="C150" s="1" t="s">
        <v>21</v>
      </c>
      <c r="D150" s="1" t="s">
        <v>24</v>
      </c>
      <c r="E150" s="1" t="s">
        <v>19</v>
      </c>
      <c r="F150" s="1">
        <v>4310.55</v>
      </c>
      <c r="G150" s="1" t="s">
        <v>162</v>
      </c>
      <c r="H150" s="2">
        <v>32712</v>
      </c>
      <c r="I150" s="2">
        <v>44282</v>
      </c>
      <c r="J150" s="1">
        <v>19.37</v>
      </c>
      <c r="K150" s="1">
        <f t="shared" si="10"/>
        <v>834.9535350000001</v>
      </c>
      <c r="L150" s="1">
        <f t="shared" si="11"/>
        <v>3475.5964650000001</v>
      </c>
      <c r="U150">
        <v>2205.8855519999997</v>
      </c>
      <c r="X150" s="1">
        <v>1192</v>
      </c>
      <c r="Y150" s="2">
        <v>44285</v>
      </c>
      <c r="Z150" s="1" t="str">
        <v>Central</v>
      </c>
      <c r="AA150" s="1" t="str">
        <v>Bed</v>
      </c>
      <c r="AB150" s="1" t="str">
        <v>Furniture</v>
      </c>
      <c r="AC150" s="1">
        <v>4013.62</v>
      </c>
      <c r="AD150" s="1" t="str">
        <v>Lisa Vega</v>
      </c>
      <c r="AE150" s="1">
        <v>34164</v>
      </c>
      <c r="AF150" s="1">
        <v>44292</v>
      </c>
      <c r="AG150" s="1">
        <v>45.04</v>
      </c>
      <c r="AH150" s="1">
        <v>1807.7344479999999</v>
      </c>
      <c r="AI150" s="1">
        <v>2205.8855519999997</v>
      </c>
    </row>
    <row r="151" spans="1:35" x14ac:dyDescent="0.35">
      <c r="A151" s="1">
        <v>1149</v>
      </c>
      <c r="B151" s="2">
        <v>44709</v>
      </c>
      <c r="C151" s="1" t="s">
        <v>10</v>
      </c>
      <c r="D151" s="1" t="s">
        <v>49</v>
      </c>
      <c r="E151" s="1" t="s">
        <v>12</v>
      </c>
      <c r="F151" s="1">
        <v>4335.75</v>
      </c>
      <c r="G151" s="1" t="s">
        <v>163</v>
      </c>
      <c r="H151" s="2">
        <v>30364</v>
      </c>
      <c r="I151" s="2">
        <v>44715</v>
      </c>
      <c r="J151" s="1">
        <v>8.9700000000000006</v>
      </c>
      <c r="K151" s="1">
        <f t="shared" si="10"/>
        <v>388.91677500000003</v>
      </c>
      <c r="L151" s="1">
        <f t="shared" si="11"/>
        <v>3946.8332249999999</v>
      </c>
      <c r="U151">
        <v>2807.012702</v>
      </c>
      <c r="X151" s="1">
        <v>1193</v>
      </c>
      <c r="Y151" s="2">
        <v>45437</v>
      </c>
      <c r="Z151" s="1" t="str">
        <v>North</v>
      </c>
      <c r="AA151" s="1" t="str">
        <v>Wardrobe</v>
      </c>
      <c r="AB151" s="1" t="str">
        <v>Furniture</v>
      </c>
      <c r="AC151" s="1">
        <v>3465.02</v>
      </c>
      <c r="AD151" s="1" t="str">
        <v>Benjamin Travis</v>
      </c>
      <c r="AE151" s="1">
        <v>33354</v>
      </c>
      <c r="AF151" s="1">
        <v>45449</v>
      </c>
      <c r="AG151" s="1">
        <v>18.989999999999998</v>
      </c>
      <c r="AH151" s="1">
        <v>658.00729799999999</v>
      </c>
      <c r="AI151" s="1">
        <v>2807.012702</v>
      </c>
    </row>
    <row r="152" spans="1:35" x14ac:dyDescent="0.35">
      <c r="A152" s="1">
        <v>1150</v>
      </c>
      <c r="B152" s="2">
        <v>45252</v>
      </c>
      <c r="C152" s="1" t="s">
        <v>35</v>
      </c>
      <c r="D152" s="1" t="s">
        <v>69</v>
      </c>
      <c r="E152" s="1" t="s">
        <v>12</v>
      </c>
      <c r="F152" s="1">
        <v>3821.32</v>
      </c>
      <c r="G152" s="1" t="s">
        <v>164</v>
      </c>
      <c r="H152" s="2">
        <v>28046</v>
      </c>
      <c r="I152" s="2">
        <v>45263</v>
      </c>
      <c r="J152" s="1">
        <v>26.4</v>
      </c>
      <c r="K152" s="1">
        <f t="shared" si="10"/>
        <v>1008.8284800000001</v>
      </c>
      <c r="L152" s="1">
        <f t="shared" si="11"/>
        <v>2812.49152</v>
      </c>
      <c r="U152">
        <v>2848.3628490000001</v>
      </c>
      <c r="X152" s="1">
        <v>1194</v>
      </c>
      <c r="Y152" s="2">
        <v>45746</v>
      </c>
      <c r="Z152" s="1" t="str">
        <v>North</v>
      </c>
      <c r="AA152" s="1" t="str">
        <v>Smartphone</v>
      </c>
      <c r="AB152" s="1" t="str">
        <v>Electronics</v>
      </c>
      <c r="AC152" s="1">
        <v>4434.63</v>
      </c>
      <c r="AD152" s="1" t="str">
        <v>Rebecca Fletcher</v>
      </c>
      <c r="AE152" s="1">
        <v>37495</v>
      </c>
      <c r="AF152" s="1">
        <v>45750</v>
      </c>
      <c r="AG152" s="1">
        <v>35.770000000000003</v>
      </c>
      <c r="AH152" s="1">
        <v>1586.267151</v>
      </c>
      <c r="AI152" s="1">
        <v>2848.3628490000001</v>
      </c>
    </row>
    <row r="153" spans="1:35" x14ac:dyDescent="0.35">
      <c r="A153" s="1">
        <v>1151</v>
      </c>
      <c r="B153" s="2">
        <v>44914</v>
      </c>
      <c r="C153" s="1" t="s">
        <v>10</v>
      </c>
      <c r="D153" s="1" t="s">
        <v>65</v>
      </c>
      <c r="E153" s="1" t="s">
        <v>19</v>
      </c>
      <c r="F153" s="1">
        <v>2012.94</v>
      </c>
      <c r="G153" s="1" t="s">
        <v>165</v>
      </c>
      <c r="H153" s="2">
        <v>29887</v>
      </c>
      <c r="I153" s="2">
        <v>44915</v>
      </c>
      <c r="J153" s="1">
        <v>44.45</v>
      </c>
      <c r="K153" s="1">
        <f t="shared" si="10"/>
        <v>894.75183000000004</v>
      </c>
      <c r="L153" s="1">
        <f t="shared" si="11"/>
        <v>1118.1881699999999</v>
      </c>
      <c r="U153">
        <v>3138.9735719999999</v>
      </c>
      <c r="X153" s="1">
        <v>1197</v>
      </c>
      <c r="Y153" s="2">
        <v>45554</v>
      </c>
      <c r="Z153" s="1" t="str">
        <v>Central</v>
      </c>
      <c r="AA153" s="1" t="str">
        <v>Oil</v>
      </c>
      <c r="AB153" s="1" t="str">
        <v>Groceries</v>
      </c>
      <c r="AC153" s="1">
        <v>4798.92</v>
      </c>
      <c r="AD153" s="1" t="str">
        <v>Christina Bennett</v>
      </c>
      <c r="AE153" s="1">
        <v>36120</v>
      </c>
      <c r="AF153" s="1">
        <v>45561</v>
      </c>
      <c r="AG153" s="1">
        <v>34.590000000000003</v>
      </c>
      <c r="AH153" s="1">
        <v>1659.9464280000002</v>
      </c>
      <c r="AI153" s="1">
        <v>3138.9735719999999</v>
      </c>
    </row>
    <row r="154" spans="1:35" x14ac:dyDescent="0.35">
      <c r="A154" s="1">
        <v>1152</v>
      </c>
      <c r="B154" s="2">
        <v>45518</v>
      </c>
      <c r="C154" s="1" t="s">
        <v>14</v>
      </c>
      <c r="D154" s="1" t="s">
        <v>88</v>
      </c>
      <c r="E154" s="1" t="s">
        <v>16</v>
      </c>
      <c r="F154" s="1">
        <v>4403.59</v>
      </c>
      <c r="G154" s="1" t="s">
        <v>166</v>
      </c>
      <c r="H154" s="2">
        <v>27879</v>
      </c>
      <c r="I154" s="2">
        <v>45526</v>
      </c>
      <c r="J154" s="1">
        <v>20.79</v>
      </c>
      <c r="K154" s="1">
        <f t="shared" si="10"/>
        <v>915.50636100000008</v>
      </c>
      <c r="L154" s="1">
        <f t="shared" si="11"/>
        <v>3488.0836389999999</v>
      </c>
      <c r="U154">
        <v>4259.9562810000007</v>
      </c>
      <c r="X154" s="1">
        <v>1199</v>
      </c>
      <c r="Y154" s="2">
        <v>44435</v>
      </c>
      <c r="Z154" s="1" t="str">
        <v>North</v>
      </c>
      <c r="AA154" s="1" t="str">
        <v>Football</v>
      </c>
      <c r="AB154" s="1" t="str">
        <v>Sports</v>
      </c>
      <c r="AC154" s="1">
        <v>4449.97</v>
      </c>
      <c r="AD154" s="1" t="str">
        <v>Adam Martinez</v>
      </c>
      <c r="AE154" s="1">
        <v>22599</v>
      </c>
      <c r="AF154" s="1">
        <v>44448</v>
      </c>
      <c r="AG154" s="1">
        <v>4.2699999999999996</v>
      </c>
      <c r="AH154" s="1">
        <v>190.01371899999998</v>
      </c>
      <c r="AI154" s="1">
        <v>4259.9562810000007</v>
      </c>
    </row>
    <row r="155" spans="1:35" x14ac:dyDescent="0.35">
      <c r="A155" s="1">
        <v>1153</v>
      </c>
      <c r="B155" s="2">
        <v>45326</v>
      </c>
      <c r="C155" s="1" t="s">
        <v>21</v>
      </c>
      <c r="D155" s="1" t="s">
        <v>33</v>
      </c>
      <c r="E155" s="1" t="s">
        <v>16</v>
      </c>
      <c r="F155" s="1">
        <v>3632.86</v>
      </c>
      <c r="G155" s="1" t="s">
        <v>167</v>
      </c>
      <c r="H155" s="2">
        <v>24672</v>
      </c>
      <c r="I155" s="2">
        <v>45334</v>
      </c>
      <c r="J155" s="1">
        <v>42.47</v>
      </c>
      <c r="K155" s="1">
        <f t="shared" si="10"/>
        <v>1542.875642</v>
      </c>
      <c r="L155" s="1">
        <f t="shared" si="11"/>
        <v>2089.9843580000002</v>
      </c>
      <c r="U155">
        <v>2328.8975639999999</v>
      </c>
      <c r="X155" s="1">
        <v>1200</v>
      </c>
      <c r="Y155" s="2">
        <v>45089</v>
      </c>
      <c r="Z155" s="1" t="str">
        <v>East</v>
      </c>
      <c r="AA155" s="1" t="str">
        <v>Basketball</v>
      </c>
      <c r="AB155" s="1" t="str">
        <v>Sports</v>
      </c>
      <c r="AC155" s="1">
        <v>3878.91</v>
      </c>
      <c r="AD155" s="1" t="str">
        <v>Patricia Burton</v>
      </c>
      <c r="AE155" s="1">
        <v>24673</v>
      </c>
      <c r="AF155" s="1">
        <v>45096</v>
      </c>
      <c r="AG155" s="1">
        <v>39.96</v>
      </c>
      <c r="AH155" s="1">
        <v>1550.012436</v>
      </c>
      <c r="AI155" s="1">
        <v>2328.8975639999999</v>
      </c>
    </row>
    <row r="156" spans="1:35" x14ac:dyDescent="0.35">
      <c r="A156" s="1">
        <v>1154</v>
      </c>
      <c r="B156" s="2">
        <v>45488</v>
      </c>
      <c r="C156" s="1" t="s">
        <v>21</v>
      </c>
      <c r="D156" s="1" t="s">
        <v>27</v>
      </c>
      <c r="E156" s="1" t="s">
        <v>28</v>
      </c>
      <c r="F156" s="1">
        <v>2638.14</v>
      </c>
      <c r="G156" s="1" t="s">
        <v>168</v>
      </c>
      <c r="H156" s="2">
        <v>37674</v>
      </c>
      <c r="I156" s="2">
        <v>45496</v>
      </c>
      <c r="J156" s="1">
        <v>39.82</v>
      </c>
      <c r="K156" s="1">
        <f t="shared" si="10"/>
        <v>1050.5073479999999</v>
      </c>
      <c r="L156" s="1">
        <f t="shared" si="11"/>
        <v>1587.632652</v>
      </c>
      <c r="U156">
        <v>3230.734528</v>
      </c>
      <c r="X156" s="1">
        <v>1201</v>
      </c>
      <c r="Y156" s="2">
        <v>44968</v>
      </c>
      <c r="Z156" s="1" t="str">
        <v>South</v>
      </c>
      <c r="AA156" s="1" t="str">
        <v>Sofa</v>
      </c>
      <c r="AB156" s="1" t="str">
        <v>Furniture</v>
      </c>
      <c r="AC156" s="1">
        <v>3955.84</v>
      </c>
      <c r="AD156" s="1" t="str">
        <v>Tyler Frye</v>
      </c>
      <c r="AE156" s="1">
        <v>22210</v>
      </c>
      <c r="AF156" s="1">
        <v>44969</v>
      </c>
      <c r="AG156" s="1">
        <v>18.329999999999998</v>
      </c>
      <c r="AH156" s="1">
        <v>725.10547199999996</v>
      </c>
      <c r="AI156" s="1">
        <v>3230.734528</v>
      </c>
    </row>
    <row r="157" spans="1:35" x14ac:dyDescent="0.35">
      <c r="A157" s="1">
        <v>1155</v>
      </c>
      <c r="B157" s="2">
        <v>44780</v>
      </c>
      <c r="C157" s="1" t="s">
        <v>26</v>
      </c>
      <c r="D157" s="1" t="s">
        <v>53</v>
      </c>
      <c r="E157" s="1" t="s">
        <v>28</v>
      </c>
      <c r="F157" s="1">
        <v>4876.3599999999997</v>
      </c>
      <c r="G157" s="1" t="s">
        <v>169</v>
      </c>
      <c r="H157" s="2">
        <v>37894</v>
      </c>
      <c r="I157" s="2">
        <v>44794</v>
      </c>
      <c r="J157" s="1">
        <v>48.53</v>
      </c>
      <c r="K157" s="1">
        <f t="shared" si="10"/>
        <v>2366.4975079999999</v>
      </c>
      <c r="L157" s="1">
        <f t="shared" si="11"/>
        <v>2509.8624919999997</v>
      </c>
      <c r="U157">
        <v>1235.3562000000002</v>
      </c>
      <c r="X157" s="1">
        <v>1203</v>
      </c>
      <c r="Y157" s="2">
        <v>45345</v>
      </c>
      <c r="Z157" s="1" t="str">
        <v>Central</v>
      </c>
      <c r="AA157" s="1" t="str">
        <v>Wheat</v>
      </c>
      <c r="AB157" s="1" t="str">
        <v>Groceries</v>
      </c>
      <c r="AC157" s="1">
        <v>2358</v>
      </c>
      <c r="AD157" s="1" t="str">
        <v>Sierra Elliott</v>
      </c>
      <c r="AE157" s="1">
        <v>29720</v>
      </c>
      <c r="AF157" s="1">
        <v>45346</v>
      </c>
      <c r="AG157" s="1">
        <v>47.61</v>
      </c>
      <c r="AH157" s="1">
        <v>1122.6437999999998</v>
      </c>
      <c r="AI157" s="1">
        <v>1235.3562000000002</v>
      </c>
    </row>
    <row r="158" spans="1:35" x14ac:dyDescent="0.35">
      <c r="A158" s="1">
        <v>1156</v>
      </c>
      <c r="B158" s="2">
        <v>45019</v>
      </c>
      <c r="C158" s="1" t="s">
        <v>10</v>
      </c>
      <c r="D158" s="1" t="s">
        <v>11</v>
      </c>
      <c r="E158" s="1" t="s">
        <v>12</v>
      </c>
      <c r="F158" s="1">
        <v>222.74</v>
      </c>
      <c r="G158" s="1" t="s">
        <v>68</v>
      </c>
      <c r="H158" s="2">
        <v>22079</v>
      </c>
      <c r="I158" s="2">
        <v>45031</v>
      </c>
      <c r="J158" s="1">
        <v>25.77</v>
      </c>
      <c r="K158" s="1">
        <f t="shared" si="10"/>
        <v>57.400098</v>
      </c>
      <c r="L158" s="1">
        <f t="shared" si="11"/>
        <v>165.339902</v>
      </c>
      <c r="U158">
        <v>4884.7365960000006</v>
      </c>
      <c r="X158" s="1">
        <v>1204</v>
      </c>
      <c r="Y158" s="2">
        <v>44468</v>
      </c>
      <c r="Z158" s="1" t="str">
        <v>East</v>
      </c>
      <c r="AA158" s="1" t="str">
        <v>Smartphone</v>
      </c>
      <c r="AB158" s="1" t="str">
        <v>Electronics</v>
      </c>
      <c r="AC158" s="1">
        <v>4910.2700000000004</v>
      </c>
      <c r="AD158" s="1" t="str">
        <v>John Adams</v>
      </c>
      <c r="AE158" s="1">
        <v>22016</v>
      </c>
      <c r="AF158" s="1">
        <v>44481</v>
      </c>
      <c r="AG158" s="1">
        <v>0.52</v>
      </c>
      <c r="AH158" s="1">
        <v>25.533404000000001</v>
      </c>
      <c r="AI158" s="1">
        <v>4884.7365960000006</v>
      </c>
    </row>
    <row r="159" spans="1:35" x14ac:dyDescent="0.35">
      <c r="A159" s="1">
        <v>1157</v>
      </c>
      <c r="B159" s="2">
        <v>44954</v>
      </c>
      <c r="C159" s="1" t="s">
        <v>26</v>
      </c>
      <c r="D159" s="1" t="s">
        <v>24</v>
      </c>
      <c r="E159" s="1" t="s">
        <v>19</v>
      </c>
      <c r="F159" s="1">
        <v>1279.19</v>
      </c>
      <c r="G159" s="1" t="s">
        <v>170</v>
      </c>
      <c r="H159" s="2">
        <v>34205</v>
      </c>
      <c r="I159" s="2">
        <v>44960</v>
      </c>
      <c r="J159" s="1">
        <v>43.33</v>
      </c>
      <c r="K159" s="1">
        <f t="shared" si="10"/>
        <v>554.27302699999996</v>
      </c>
      <c r="L159" s="1">
        <f t="shared" si="11"/>
        <v>724.9169730000001</v>
      </c>
      <c r="U159">
        <v>1653.0269539999999</v>
      </c>
      <c r="X159" s="1">
        <v>1207</v>
      </c>
      <c r="Y159" s="2">
        <v>44585</v>
      </c>
      <c r="Z159" s="1" t="str">
        <v>West</v>
      </c>
      <c r="AA159" s="1" t="str">
        <v>Jeans</v>
      </c>
      <c r="AB159" s="1" t="str">
        <v>Clothing</v>
      </c>
      <c r="AC159" s="1">
        <v>2724.62</v>
      </c>
      <c r="AD159" s="1" t="str">
        <v>Cody Mason</v>
      </c>
      <c r="AE159" s="1">
        <v>31598</v>
      </c>
      <c r="AF159" s="1">
        <v>44599</v>
      </c>
      <c r="AG159" s="1">
        <v>39.33</v>
      </c>
      <c r="AH159" s="1">
        <v>1071.593046</v>
      </c>
      <c r="AI159" s="1">
        <v>1653.0269539999999</v>
      </c>
    </row>
    <row r="160" spans="1:35" x14ac:dyDescent="0.35">
      <c r="A160" s="1">
        <v>1158</v>
      </c>
      <c r="B160" s="2">
        <v>44956</v>
      </c>
      <c r="C160" s="1" t="s">
        <v>35</v>
      </c>
      <c r="D160" s="1" t="s">
        <v>88</v>
      </c>
      <c r="E160" s="1" t="s">
        <v>16</v>
      </c>
      <c r="F160" s="1">
        <v>355.11</v>
      </c>
      <c r="G160" s="1" t="s">
        <v>79</v>
      </c>
      <c r="H160" s="2">
        <v>28675</v>
      </c>
      <c r="I160" s="2">
        <v>44969</v>
      </c>
      <c r="J160" s="1">
        <v>40.58</v>
      </c>
      <c r="K160" s="1">
        <f t="shared" si="10"/>
        <v>144.10363799999999</v>
      </c>
      <c r="L160" s="1">
        <f t="shared" si="11"/>
        <v>211.00636200000002</v>
      </c>
      <c r="U160">
        <v>1456.6150169999999</v>
      </c>
      <c r="X160" s="1">
        <v>1208</v>
      </c>
      <c r="Y160" s="2">
        <v>45028</v>
      </c>
      <c r="Z160" s="1" t="str">
        <v>North</v>
      </c>
      <c r="AA160" s="1" t="str">
        <v>Wardrobe</v>
      </c>
      <c r="AB160" s="1" t="str">
        <v>Furniture</v>
      </c>
      <c r="AC160" s="1">
        <v>1636.83</v>
      </c>
      <c r="AD160" s="1" t="str">
        <v>Amber Shaw</v>
      </c>
      <c r="AE160" s="1">
        <v>25341</v>
      </c>
      <c r="AF160" s="1">
        <v>45040</v>
      </c>
      <c r="AG160" s="1">
        <v>11.01</v>
      </c>
      <c r="AH160" s="1">
        <v>180.21498299999999</v>
      </c>
      <c r="AI160" s="1">
        <v>1456.6150169999999</v>
      </c>
    </row>
    <row r="161" spans="1:35" x14ac:dyDescent="0.35">
      <c r="A161" s="1">
        <v>1159</v>
      </c>
      <c r="B161" s="2">
        <v>45880</v>
      </c>
      <c r="C161" s="1" t="s">
        <v>26</v>
      </c>
      <c r="D161" s="1" t="s">
        <v>53</v>
      </c>
      <c r="E161" s="1" t="s">
        <v>28</v>
      </c>
      <c r="F161" s="1">
        <v>4313.16</v>
      </c>
      <c r="G161" s="1" t="s">
        <v>171</v>
      </c>
      <c r="H161" s="2">
        <v>31261</v>
      </c>
      <c r="I161" s="2">
        <v>45884</v>
      </c>
      <c r="J161" s="1">
        <v>46.82</v>
      </c>
      <c r="K161" s="1">
        <f t="shared" si="10"/>
        <v>2019.4215119999999</v>
      </c>
      <c r="L161" s="1">
        <f t="shared" si="11"/>
        <v>2293.738488</v>
      </c>
      <c r="U161">
        <v>2820.9376000000002</v>
      </c>
      <c r="X161" s="1">
        <v>1210</v>
      </c>
      <c r="Y161" s="2">
        <v>44387</v>
      </c>
      <c r="Z161" s="1" t="str">
        <v>Central</v>
      </c>
      <c r="AA161" s="1" t="str">
        <v>Laptop</v>
      </c>
      <c r="AB161" s="1" t="str">
        <v>Electronics</v>
      </c>
      <c r="AC161" s="1">
        <v>3390.55</v>
      </c>
      <c r="AD161" s="1" t="str">
        <v>Lisa Hill</v>
      </c>
      <c r="AE161" s="1">
        <v>23469</v>
      </c>
      <c r="AF161" s="1">
        <v>44389</v>
      </c>
      <c r="AG161" s="1">
        <v>16.8</v>
      </c>
      <c r="AH161" s="1">
        <v>569.61240000000009</v>
      </c>
      <c r="AI161" s="1">
        <v>2820.9376000000002</v>
      </c>
    </row>
    <row r="162" spans="1:35" x14ac:dyDescent="0.35">
      <c r="A162" s="1">
        <v>1160</v>
      </c>
      <c r="B162" s="2">
        <v>45804</v>
      </c>
      <c r="C162" s="1" t="s">
        <v>21</v>
      </c>
      <c r="D162" s="1" t="s">
        <v>44</v>
      </c>
      <c r="E162" s="1" t="s">
        <v>16</v>
      </c>
      <c r="F162" s="1">
        <v>492.96</v>
      </c>
      <c r="G162" s="1" t="s">
        <v>172</v>
      </c>
      <c r="H162" s="2">
        <v>36571</v>
      </c>
      <c r="I162" s="2">
        <v>45814</v>
      </c>
      <c r="J162" s="1">
        <v>21.92</v>
      </c>
      <c r="K162" s="1">
        <f t="shared" si="10"/>
        <v>108.056832</v>
      </c>
      <c r="L162" s="1">
        <f t="shared" si="11"/>
        <v>384.90316799999999</v>
      </c>
      <c r="U162">
        <v>1319.045376</v>
      </c>
      <c r="X162" s="1">
        <v>1211</v>
      </c>
      <c r="Y162" s="2">
        <v>44412</v>
      </c>
      <c r="Z162" s="1" t="str">
        <v>North</v>
      </c>
      <c r="AA162" s="1" t="str">
        <v>Chair</v>
      </c>
      <c r="AB162" s="1" t="str">
        <v>Furniture</v>
      </c>
      <c r="AC162" s="1">
        <v>2135.7600000000002</v>
      </c>
      <c r="AD162" s="1" t="str">
        <v>Erik Garcia</v>
      </c>
      <c r="AE162" s="1">
        <v>24802</v>
      </c>
      <c r="AF162" s="1">
        <v>44426</v>
      </c>
      <c r="AG162" s="1">
        <v>38.24</v>
      </c>
      <c r="AH162" s="1">
        <v>816.71462400000007</v>
      </c>
      <c r="AI162" s="1">
        <v>1319.045376</v>
      </c>
    </row>
    <row r="163" spans="1:35" x14ac:dyDescent="0.35">
      <c r="A163" s="1">
        <v>1161</v>
      </c>
      <c r="B163" s="2">
        <v>45796</v>
      </c>
      <c r="C163" s="1" t="s">
        <v>26</v>
      </c>
      <c r="D163" s="1" t="s">
        <v>44</v>
      </c>
      <c r="E163" s="1" t="s">
        <v>16</v>
      </c>
      <c r="F163" s="1">
        <v>1635.84</v>
      </c>
      <c r="G163" s="1" t="s">
        <v>160</v>
      </c>
      <c r="H163" s="2">
        <v>35321</v>
      </c>
      <c r="I163" s="2">
        <v>45804</v>
      </c>
      <c r="J163" s="1">
        <v>5.75</v>
      </c>
      <c r="K163" s="1">
        <f t="shared" si="10"/>
        <v>94.0608</v>
      </c>
      <c r="L163" s="1">
        <f t="shared" si="11"/>
        <v>1541.7791999999999</v>
      </c>
      <c r="U163">
        <v>3259.4102349999998</v>
      </c>
      <c r="X163" s="1">
        <v>1212</v>
      </c>
      <c r="Y163" s="2">
        <v>45875</v>
      </c>
      <c r="Z163" s="1" t="str">
        <v>Central</v>
      </c>
      <c r="AA163" s="1" t="str">
        <v>Cap</v>
      </c>
      <c r="AB163" s="1" t="str">
        <v>Clothing</v>
      </c>
      <c r="AC163" s="1">
        <v>4735.45</v>
      </c>
      <c r="AD163" s="1" t="str">
        <v>Taylor Whitaker</v>
      </c>
      <c r="AE163" s="1">
        <v>29887</v>
      </c>
      <c r="AF163" s="1">
        <v>45888</v>
      </c>
      <c r="AG163" s="1">
        <v>31.17</v>
      </c>
      <c r="AH163" s="1">
        <v>1476.039765</v>
      </c>
      <c r="AI163" s="1">
        <v>3259.4102349999998</v>
      </c>
    </row>
    <row r="164" spans="1:35" x14ac:dyDescent="0.35">
      <c r="A164" s="1">
        <v>1162</v>
      </c>
      <c r="B164" s="2">
        <v>45352</v>
      </c>
      <c r="C164" s="1" t="s">
        <v>21</v>
      </c>
      <c r="D164" s="1" t="s">
        <v>49</v>
      </c>
      <c r="E164" s="1" t="s">
        <v>12</v>
      </c>
      <c r="F164" s="1">
        <v>4145.6899999999996</v>
      </c>
      <c r="G164" s="1" t="s">
        <v>96</v>
      </c>
      <c r="H164" s="2">
        <v>36236</v>
      </c>
      <c r="I164" s="2">
        <v>45365</v>
      </c>
      <c r="J164" s="1">
        <v>14.43</v>
      </c>
      <c r="K164" s="1">
        <f t="shared" si="10"/>
        <v>598.2230669999999</v>
      </c>
      <c r="L164" s="1">
        <f t="shared" si="11"/>
        <v>3547.4669329999997</v>
      </c>
      <c r="U164">
        <v>2069.5626119999997</v>
      </c>
      <c r="X164" s="1">
        <v>1213</v>
      </c>
      <c r="Y164" s="2">
        <v>44481</v>
      </c>
      <c r="Z164" s="1" t="str">
        <v>West</v>
      </c>
      <c r="AA164" s="1" t="str">
        <v>Shoes</v>
      </c>
      <c r="AB164" s="1" t="str">
        <v>Clothing</v>
      </c>
      <c r="AC164" s="1">
        <v>2889.24</v>
      </c>
      <c r="AD164" s="1" t="str">
        <v>Nicole Church</v>
      </c>
      <c r="AE164" s="1">
        <v>24348</v>
      </c>
      <c r="AF164" s="1">
        <v>44488</v>
      </c>
      <c r="AG164" s="1">
        <v>28.37</v>
      </c>
      <c r="AH164" s="1">
        <v>819.67738799999995</v>
      </c>
      <c r="AI164" s="1">
        <v>2069.5626119999997</v>
      </c>
    </row>
    <row r="165" spans="1:35" x14ac:dyDescent="0.35">
      <c r="A165" s="1">
        <v>1163</v>
      </c>
      <c r="B165" s="2">
        <v>45008</v>
      </c>
      <c r="C165" s="1" t="s">
        <v>26</v>
      </c>
      <c r="D165" s="1" t="s">
        <v>53</v>
      </c>
      <c r="E165" s="1" t="s">
        <v>28</v>
      </c>
      <c r="F165" s="1">
        <v>4581.34</v>
      </c>
      <c r="G165" s="1" t="s">
        <v>78</v>
      </c>
      <c r="H165" s="2">
        <v>25099</v>
      </c>
      <c r="I165" s="2">
        <v>45010</v>
      </c>
      <c r="J165" s="1">
        <v>32.869999999999997</v>
      </c>
      <c r="K165" s="1">
        <f t="shared" si="10"/>
        <v>1505.8864579999999</v>
      </c>
      <c r="L165" s="1">
        <f t="shared" si="11"/>
        <v>3075.4535420000002</v>
      </c>
      <c r="U165">
        <v>1580.37212</v>
      </c>
      <c r="X165" s="1">
        <v>1214</v>
      </c>
      <c r="Y165" s="2">
        <v>45507</v>
      </c>
      <c r="Z165" s="1" t="str">
        <v>South</v>
      </c>
      <c r="AA165" s="1" t="str">
        <v>Headphones</v>
      </c>
      <c r="AB165" s="1" t="str">
        <v>Electronics</v>
      </c>
      <c r="AC165" s="1">
        <v>3022.9</v>
      </c>
      <c r="AD165" s="1" t="str">
        <v>Anthony Kim</v>
      </c>
      <c r="AE165" s="1">
        <v>34205</v>
      </c>
      <c r="AF165" s="1">
        <v>45521</v>
      </c>
      <c r="AG165" s="1">
        <v>47.72</v>
      </c>
      <c r="AH165" s="1">
        <v>1442.5278800000001</v>
      </c>
      <c r="AI165" s="1">
        <v>1580.37212</v>
      </c>
    </row>
    <row r="166" spans="1:35" x14ac:dyDescent="0.35">
      <c r="A166" s="1">
        <v>1164</v>
      </c>
      <c r="B166" s="2">
        <v>44551</v>
      </c>
      <c r="C166" s="1" t="s">
        <v>10</v>
      </c>
      <c r="D166" s="1" t="s">
        <v>47</v>
      </c>
      <c r="E166" s="1" t="s">
        <v>12</v>
      </c>
      <c r="F166" s="1">
        <v>1339.01</v>
      </c>
      <c r="G166" s="1" t="s">
        <v>173</v>
      </c>
      <c r="H166" s="2">
        <v>22016</v>
      </c>
      <c r="I166" s="2">
        <v>44553</v>
      </c>
      <c r="J166" s="1">
        <v>22.21</v>
      </c>
      <c r="K166" s="1">
        <f t="shared" si="10"/>
        <v>297.39412100000004</v>
      </c>
      <c r="L166" s="1">
        <f t="shared" si="11"/>
        <v>1041.6158789999999</v>
      </c>
      <c r="U166">
        <v>2588.2286249999997</v>
      </c>
      <c r="X166" s="1">
        <v>1215</v>
      </c>
      <c r="Y166" s="2">
        <v>45473</v>
      </c>
      <c r="Z166" s="1" t="str">
        <v>Central</v>
      </c>
      <c r="AA166" s="1" t="str">
        <v>Basketball</v>
      </c>
      <c r="AB166" s="1" t="str">
        <v>Sports</v>
      </c>
      <c r="AC166" s="1">
        <v>4188.75</v>
      </c>
      <c r="AD166" s="1" t="str">
        <v>Brenda Scott</v>
      </c>
      <c r="AE166" s="1">
        <v>34357</v>
      </c>
      <c r="AF166" s="1">
        <v>45475</v>
      </c>
      <c r="AG166" s="1">
        <v>38.21</v>
      </c>
      <c r="AH166" s="1">
        <v>1600.521375</v>
      </c>
      <c r="AI166" s="1">
        <v>2588.2286249999997</v>
      </c>
    </row>
    <row r="167" spans="1:35" x14ac:dyDescent="0.35">
      <c r="A167" s="1">
        <v>1165</v>
      </c>
      <c r="B167" s="2">
        <v>45742</v>
      </c>
      <c r="C167" s="1" t="s">
        <v>14</v>
      </c>
      <c r="D167" s="1" t="s">
        <v>15</v>
      </c>
      <c r="E167" s="1" t="s">
        <v>16</v>
      </c>
      <c r="F167" s="1">
        <v>2790.45</v>
      </c>
      <c r="G167" s="1" t="s">
        <v>157</v>
      </c>
      <c r="H167" s="2">
        <v>37189</v>
      </c>
      <c r="I167" s="2">
        <v>45752</v>
      </c>
      <c r="J167" s="1">
        <v>6.5</v>
      </c>
      <c r="K167" s="1">
        <f t="shared" si="10"/>
        <v>181.37924999999998</v>
      </c>
      <c r="L167" s="1">
        <f t="shared" si="11"/>
        <v>2609.0707499999999</v>
      </c>
      <c r="U167">
        <v>1542.4850019999999</v>
      </c>
      <c r="X167" s="1">
        <v>1216</v>
      </c>
      <c r="Y167" s="2">
        <v>44675</v>
      </c>
      <c r="Z167" s="1" t="str">
        <v>East</v>
      </c>
      <c r="AA167" s="1" t="str">
        <v>Football</v>
      </c>
      <c r="AB167" s="1" t="str">
        <v>Sports</v>
      </c>
      <c r="AC167" s="1">
        <v>2073.79</v>
      </c>
      <c r="AD167" s="1" t="str">
        <v>Sherry Henry</v>
      </c>
      <c r="AE167" s="1">
        <v>38696</v>
      </c>
      <c r="AF167" s="1">
        <v>44682</v>
      </c>
      <c r="AG167" s="1">
        <v>25.62</v>
      </c>
      <c r="AH167" s="1">
        <v>531.30499799999996</v>
      </c>
      <c r="AI167" s="1">
        <v>1542.4850019999999</v>
      </c>
    </row>
    <row r="168" spans="1:35" x14ac:dyDescent="0.35">
      <c r="A168" s="1">
        <v>1166</v>
      </c>
      <c r="B168" s="2">
        <v>44783</v>
      </c>
      <c r="C168" s="1" t="s">
        <v>10</v>
      </c>
      <c r="D168" s="1" t="s">
        <v>24</v>
      </c>
      <c r="E168" s="1" t="s">
        <v>19</v>
      </c>
      <c r="F168" s="1">
        <v>720.87</v>
      </c>
      <c r="G168" s="1" t="s">
        <v>174</v>
      </c>
      <c r="H168" s="2">
        <v>38118</v>
      </c>
      <c r="I168" s="2">
        <v>44791</v>
      </c>
      <c r="J168" s="1">
        <v>21.76</v>
      </c>
      <c r="K168" s="1">
        <f t="shared" si="10"/>
        <v>156.861312</v>
      </c>
      <c r="L168" s="1">
        <f t="shared" si="11"/>
        <v>564.00868800000001</v>
      </c>
      <c r="U168">
        <v>2129.0714619999999</v>
      </c>
      <c r="X168" s="1">
        <v>1217</v>
      </c>
      <c r="Y168" s="2">
        <v>44521</v>
      </c>
      <c r="Z168" s="1" t="str">
        <v>North</v>
      </c>
      <c r="AA168" s="1" t="str">
        <v>Table</v>
      </c>
      <c r="AB168" s="1" t="str">
        <v>Furniture</v>
      </c>
      <c r="AC168" s="1">
        <v>2237.83</v>
      </c>
      <c r="AD168" s="1" t="str">
        <v>Thomas Smith</v>
      </c>
      <c r="AE168" s="1">
        <v>36905</v>
      </c>
      <c r="AF168" s="1">
        <v>44524</v>
      </c>
      <c r="AG168" s="1">
        <v>4.8600000000000003</v>
      </c>
      <c r="AH168" s="1">
        <v>108.758538</v>
      </c>
      <c r="AI168" s="1">
        <v>2129.0714619999999</v>
      </c>
    </row>
    <row r="169" spans="1:35" x14ac:dyDescent="0.35">
      <c r="A169" s="1">
        <v>1167</v>
      </c>
      <c r="B169" s="2">
        <v>45151</v>
      </c>
      <c r="C169" s="1" t="s">
        <v>21</v>
      </c>
      <c r="D169" s="1" t="s">
        <v>58</v>
      </c>
      <c r="E169" s="1" t="s">
        <v>31</v>
      </c>
      <c r="F169" s="1">
        <v>1782.75</v>
      </c>
      <c r="G169" s="1" t="s">
        <v>175</v>
      </c>
      <c r="H169" s="2">
        <v>36623</v>
      </c>
      <c r="I169" s="2">
        <v>45156</v>
      </c>
      <c r="J169" s="1">
        <v>9.26</v>
      </c>
      <c r="K169" s="1">
        <f t="shared" si="10"/>
        <v>165.08265</v>
      </c>
      <c r="L169" s="1">
        <f t="shared" si="11"/>
        <v>1617.6673499999999</v>
      </c>
      <c r="U169">
        <v>2324.1160250000003</v>
      </c>
      <c r="X169" s="1">
        <v>1218</v>
      </c>
      <c r="Y169" s="2">
        <v>44470</v>
      </c>
      <c r="Z169" s="1" t="str">
        <v>East</v>
      </c>
      <c r="AA169" s="1" t="str">
        <v>Camera</v>
      </c>
      <c r="AB169" s="1" t="str">
        <v>Electronics</v>
      </c>
      <c r="AC169" s="1">
        <v>3830.75</v>
      </c>
      <c r="AD169" s="1" t="str">
        <v>William Padilla</v>
      </c>
      <c r="AE169" s="1">
        <v>23718</v>
      </c>
      <c r="AF169" s="1">
        <v>44475</v>
      </c>
      <c r="AG169" s="1">
        <v>39.33</v>
      </c>
      <c r="AH169" s="1">
        <v>1506.633975</v>
      </c>
      <c r="AI169" s="1">
        <v>2324.1160250000003</v>
      </c>
    </row>
    <row r="170" spans="1:35" x14ac:dyDescent="0.35">
      <c r="A170" s="1">
        <v>1168</v>
      </c>
      <c r="B170" s="2">
        <v>45093</v>
      </c>
      <c r="C170" s="1" t="s">
        <v>14</v>
      </c>
      <c r="D170" s="1" t="s">
        <v>44</v>
      </c>
      <c r="E170" s="1" t="s">
        <v>16</v>
      </c>
      <c r="F170" s="1">
        <v>2529.54</v>
      </c>
      <c r="G170" s="1" t="s">
        <v>72</v>
      </c>
      <c r="H170" s="2">
        <v>32992</v>
      </c>
      <c r="I170" s="2">
        <v>45094</v>
      </c>
      <c r="J170" s="1">
        <v>35.01</v>
      </c>
      <c r="K170" s="1">
        <f t="shared" si="10"/>
        <v>885.59195399999987</v>
      </c>
      <c r="L170" s="1">
        <f t="shared" si="11"/>
        <v>1643.948046</v>
      </c>
      <c r="U170">
        <v>3890.6722749999999</v>
      </c>
      <c r="X170" s="1">
        <v>1220</v>
      </c>
      <c r="Y170" s="2">
        <v>45194</v>
      </c>
      <c r="Z170" s="1" t="str">
        <v>North</v>
      </c>
      <c r="AA170" s="1" t="str">
        <v>Smartphone</v>
      </c>
      <c r="AB170" s="1" t="str">
        <v>Electronics</v>
      </c>
      <c r="AC170" s="1">
        <v>3956.75</v>
      </c>
      <c r="AD170" s="1" t="str">
        <v>Kerry Hines</v>
      </c>
      <c r="AE170" s="1">
        <v>34011</v>
      </c>
      <c r="AF170" s="1">
        <v>45205</v>
      </c>
      <c r="AG170" s="1">
        <v>1.67</v>
      </c>
      <c r="AH170" s="1">
        <v>66.077725000000001</v>
      </c>
      <c r="AI170" s="1">
        <v>3890.6722749999999</v>
      </c>
    </row>
    <row r="171" spans="1:35" x14ac:dyDescent="0.35">
      <c r="A171" s="1">
        <v>1169</v>
      </c>
      <c r="B171" s="2">
        <v>44225</v>
      </c>
      <c r="C171" s="1" t="s">
        <v>14</v>
      </c>
      <c r="D171" s="1" t="s">
        <v>24</v>
      </c>
      <c r="E171" s="1" t="s">
        <v>19</v>
      </c>
      <c r="F171" s="1">
        <v>456.09</v>
      </c>
      <c r="G171" s="1" t="s">
        <v>143</v>
      </c>
      <c r="H171" s="2">
        <v>37490</v>
      </c>
      <c r="I171" s="2">
        <v>44233</v>
      </c>
      <c r="J171" s="1">
        <v>45.07</v>
      </c>
      <c r="K171" s="1">
        <f t="shared" si="10"/>
        <v>205.55976299999998</v>
      </c>
      <c r="L171" s="1">
        <f t="shared" si="11"/>
        <v>250.530237</v>
      </c>
      <c r="U171">
        <v>1736.3607689999999</v>
      </c>
      <c r="X171" s="1">
        <v>1221</v>
      </c>
      <c r="Y171" s="2">
        <v>45465</v>
      </c>
      <c r="Z171" s="1" t="str">
        <v>North</v>
      </c>
      <c r="AA171" s="1" t="str">
        <v>Chair</v>
      </c>
      <c r="AB171" s="1" t="str">
        <v>Furniture</v>
      </c>
      <c r="AC171" s="1">
        <v>3130.27</v>
      </c>
      <c r="AD171" s="1" t="str">
        <v>Melissa Holt</v>
      </c>
      <c r="AE171" s="1">
        <v>29381</v>
      </c>
      <c r="AF171" s="1">
        <v>45478</v>
      </c>
      <c r="AG171" s="1">
        <v>44.53</v>
      </c>
      <c r="AH171" s="1">
        <v>1393.9092310000001</v>
      </c>
      <c r="AI171" s="1">
        <v>1736.3607689999999</v>
      </c>
    </row>
    <row r="172" spans="1:35" x14ac:dyDescent="0.35">
      <c r="A172" s="1">
        <v>1170</v>
      </c>
      <c r="B172" s="2">
        <v>44998</v>
      </c>
      <c r="C172" s="1" t="s">
        <v>26</v>
      </c>
      <c r="D172" s="1" t="s">
        <v>69</v>
      </c>
      <c r="E172" s="1" t="s">
        <v>31</v>
      </c>
      <c r="F172" s="1">
        <v>1253.77</v>
      </c>
      <c r="G172" s="1" t="s">
        <v>132</v>
      </c>
      <c r="H172" s="2">
        <v>34364</v>
      </c>
      <c r="I172" s="2">
        <v>45011</v>
      </c>
      <c r="J172" s="1">
        <v>10.24</v>
      </c>
      <c r="K172" s="1">
        <f t="shared" si="10"/>
        <v>128.38604800000002</v>
      </c>
      <c r="L172" s="1">
        <f t="shared" si="11"/>
        <v>1125.3839519999999</v>
      </c>
      <c r="U172">
        <v>3254.7518279999999</v>
      </c>
      <c r="X172" s="1">
        <v>1222</v>
      </c>
      <c r="Y172" s="2">
        <v>44808</v>
      </c>
      <c r="Z172" s="1" t="str">
        <v>Central</v>
      </c>
      <c r="AA172" s="1" t="str">
        <v>Chair</v>
      </c>
      <c r="AB172" s="1" t="str">
        <v>Furniture</v>
      </c>
      <c r="AC172" s="1">
        <v>3446.37</v>
      </c>
      <c r="AD172" s="1" t="str">
        <v>Mrs. Vanessa Liu</v>
      </c>
      <c r="AE172" s="1">
        <v>23988</v>
      </c>
      <c r="AF172" s="1">
        <v>44814</v>
      </c>
      <c r="AG172" s="1">
        <v>5.56</v>
      </c>
      <c r="AH172" s="1">
        <v>191.61817199999999</v>
      </c>
      <c r="AI172" s="1">
        <v>3254.7518279999999</v>
      </c>
    </row>
    <row r="173" spans="1:35" x14ac:dyDescent="0.35">
      <c r="A173" s="1">
        <v>1171</v>
      </c>
      <c r="B173" s="2">
        <v>45820</v>
      </c>
      <c r="C173" s="1" t="s">
        <v>35</v>
      </c>
      <c r="D173" s="1" t="s">
        <v>24</v>
      </c>
      <c r="E173" s="1" t="s">
        <v>19</v>
      </c>
      <c r="F173" s="1">
        <v>271.82</v>
      </c>
      <c r="G173" s="1" t="s">
        <v>163</v>
      </c>
      <c r="H173" s="2">
        <v>30364</v>
      </c>
      <c r="I173" s="2">
        <v>45824</v>
      </c>
      <c r="J173" s="1">
        <v>42.03</v>
      </c>
      <c r="K173" s="1">
        <f t="shared" si="10"/>
        <v>114.245946</v>
      </c>
      <c r="L173" s="1">
        <f t="shared" si="11"/>
        <v>157.57405399999999</v>
      </c>
      <c r="U173">
        <v>2465.0453460000003</v>
      </c>
      <c r="X173" s="1">
        <v>1223</v>
      </c>
      <c r="Y173" s="2">
        <v>45167</v>
      </c>
      <c r="Z173" s="1" t="str">
        <v>Central</v>
      </c>
      <c r="AA173" s="1" t="str">
        <v>Wardrobe</v>
      </c>
      <c r="AB173" s="1" t="str">
        <v>Furniture</v>
      </c>
      <c r="AC173" s="1">
        <v>2497.2600000000002</v>
      </c>
      <c r="AD173" s="1" t="str">
        <v>Edward Gonzalez</v>
      </c>
      <c r="AE173" s="1">
        <v>38750</v>
      </c>
      <c r="AF173" s="1">
        <v>45174</v>
      </c>
      <c r="AG173" s="1">
        <v>1.29</v>
      </c>
      <c r="AH173" s="1">
        <v>32.214654000000003</v>
      </c>
      <c r="AI173" s="1">
        <v>2465.0453460000003</v>
      </c>
    </row>
    <row r="174" spans="1:35" x14ac:dyDescent="0.35">
      <c r="A174" s="1">
        <v>1172</v>
      </c>
      <c r="B174" s="2">
        <v>44617</v>
      </c>
      <c r="C174" s="1" t="s">
        <v>14</v>
      </c>
      <c r="D174" s="1" t="s">
        <v>55</v>
      </c>
      <c r="E174" s="1" t="s">
        <v>31</v>
      </c>
      <c r="F174" s="1">
        <v>3804.2</v>
      </c>
      <c r="G174" s="1" t="s">
        <v>167</v>
      </c>
      <c r="H174" s="2">
        <v>24672</v>
      </c>
      <c r="I174" s="2">
        <v>44620</v>
      </c>
      <c r="J174" s="1">
        <v>27.88</v>
      </c>
      <c r="K174" s="1">
        <f t="shared" si="10"/>
        <v>1060.61096</v>
      </c>
      <c r="L174" s="1">
        <f t="shared" si="11"/>
        <v>2743.5890399999998</v>
      </c>
      <c r="U174">
        <v>2716.9997349999999</v>
      </c>
      <c r="X174" s="1">
        <v>1225</v>
      </c>
      <c r="Y174" s="2">
        <v>44858</v>
      </c>
      <c r="Z174" s="1" t="str">
        <v>East</v>
      </c>
      <c r="AA174" s="1" t="str">
        <v>Oil</v>
      </c>
      <c r="AB174" s="1" t="str">
        <v>Groceries</v>
      </c>
      <c r="AC174" s="1">
        <v>2904.95</v>
      </c>
      <c r="AD174" s="1" t="str">
        <v>William Robles</v>
      </c>
      <c r="AE174" s="1">
        <v>30786</v>
      </c>
      <c r="AF174" s="1">
        <v>44860</v>
      </c>
      <c r="AG174" s="1">
        <v>6.47</v>
      </c>
      <c r="AH174" s="1">
        <v>187.95026499999997</v>
      </c>
      <c r="AI174" s="1">
        <v>2716.9997349999999</v>
      </c>
    </row>
    <row r="175" spans="1:35" x14ac:dyDescent="0.35">
      <c r="A175" s="1">
        <v>1173</v>
      </c>
      <c r="B175" s="2">
        <v>44561</v>
      </c>
      <c r="C175" s="1" t="s">
        <v>26</v>
      </c>
      <c r="D175" s="1" t="s">
        <v>55</v>
      </c>
      <c r="E175" s="1" t="s">
        <v>31</v>
      </c>
      <c r="F175" s="1">
        <v>3327.36</v>
      </c>
      <c r="G175" s="1" t="s">
        <v>126</v>
      </c>
      <c r="H175" s="2">
        <v>28644</v>
      </c>
      <c r="I175" s="2">
        <v>44567</v>
      </c>
      <c r="J175" s="1">
        <v>43.29</v>
      </c>
      <c r="K175" s="1">
        <f t="shared" si="10"/>
        <v>1440.4141440000001</v>
      </c>
      <c r="L175" s="1">
        <f t="shared" si="11"/>
        <v>1886.945856</v>
      </c>
      <c r="U175">
        <v>3944.2772600000003</v>
      </c>
      <c r="X175" s="1">
        <v>1227</v>
      </c>
      <c r="Y175" s="2">
        <v>45737</v>
      </c>
      <c r="Z175" s="1" t="str">
        <v>Central</v>
      </c>
      <c r="AA175" s="1" t="str">
        <v>Tennis Racket</v>
      </c>
      <c r="AB175" s="1" t="str">
        <v>Sports</v>
      </c>
      <c r="AC175" s="1">
        <v>4335.8</v>
      </c>
      <c r="AD175" s="1" t="str">
        <v>Taylor Knox</v>
      </c>
      <c r="AE175" s="1">
        <v>32188</v>
      </c>
      <c r="AF175" s="1">
        <v>45750</v>
      </c>
      <c r="AG175" s="1">
        <v>9.0299999999999994</v>
      </c>
      <c r="AH175" s="1">
        <v>391.52274</v>
      </c>
      <c r="AI175" s="1">
        <v>3944.2772600000003</v>
      </c>
    </row>
    <row r="176" spans="1:35" x14ac:dyDescent="0.35">
      <c r="A176" s="1">
        <v>1174</v>
      </c>
      <c r="B176" s="2">
        <v>44498</v>
      </c>
      <c r="C176" s="1" t="s">
        <v>35</v>
      </c>
      <c r="D176" s="1" t="s">
        <v>30</v>
      </c>
      <c r="E176" s="1" t="s">
        <v>31</v>
      </c>
      <c r="F176" s="1">
        <v>4323.72</v>
      </c>
      <c r="G176" s="1" t="s">
        <v>29</v>
      </c>
      <c r="H176" s="2">
        <v>24033</v>
      </c>
      <c r="I176" s="2">
        <v>44501</v>
      </c>
      <c r="J176" s="1">
        <v>40.82</v>
      </c>
      <c r="K176" s="1">
        <f t="shared" si="10"/>
        <v>1764.9425040000001</v>
      </c>
      <c r="L176" s="1">
        <f t="shared" si="11"/>
        <v>2558.7774960000002</v>
      </c>
      <c r="U176">
        <v>2237.8517119999997</v>
      </c>
      <c r="X176" s="1">
        <v>1228</v>
      </c>
      <c r="Y176" s="2">
        <v>45107</v>
      </c>
      <c r="Z176" s="1" t="str">
        <v>North</v>
      </c>
      <c r="AA176" s="1" t="str">
        <v>Wheat</v>
      </c>
      <c r="AB176" s="1" t="str">
        <v>Groceries</v>
      </c>
      <c r="AC176" s="1">
        <v>2971.52</v>
      </c>
      <c r="AD176" s="1" t="str">
        <v>Matthew Stuart</v>
      </c>
      <c r="AE176" s="1">
        <v>28522</v>
      </c>
      <c r="AF176" s="1">
        <v>45119</v>
      </c>
      <c r="AG176" s="1">
        <v>24.69</v>
      </c>
      <c r="AH176" s="1">
        <v>733.66828800000008</v>
      </c>
      <c r="AI176" s="1">
        <v>2237.8517119999997</v>
      </c>
    </row>
    <row r="177" spans="1:35" x14ac:dyDescent="0.35">
      <c r="A177" s="1">
        <v>1175</v>
      </c>
      <c r="B177" s="2">
        <v>44844</v>
      </c>
      <c r="C177" s="1" t="s">
        <v>14</v>
      </c>
      <c r="D177" s="1" t="s">
        <v>49</v>
      </c>
      <c r="E177" s="1" t="s">
        <v>12</v>
      </c>
      <c r="F177" s="1">
        <v>4240.53</v>
      </c>
      <c r="G177" s="1" t="s">
        <v>176</v>
      </c>
      <c r="H177" s="2">
        <v>33282</v>
      </c>
      <c r="I177" s="2">
        <v>44856</v>
      </c>
      <c r="J177" s="1">
        <v>1.84</v>
      </c>
      <c r="K177" s="1">
        <f t="shared" si="10"/>
        <v>78.025751999999997</v>
      </c>
      <c r="L177" s="1">
        <f t="shared" si="11"/>
        <v>4162.5042480000002</v>
      </c>
      <c r="U177">
        <v>2690.0255550000002</v>
      </c>
      <c r="X177" s="1">
        <v>1229</v>
      </c>
      <c r="Y177" s="2">
        <v>44494</v>
      </c>
      <c r="Z177" s="1" t="str">
        <v>Central</v>
      </c>
      <c r="AA177" s="1" t="str">
        <v>Eggs</v>
      </c>
      <c r="AB177" s="1" t="str">
        <v>Groceries</v>
      </c>
      <c r="AC177" s="1">
        <v>4761.95</v>
      </c>
      <c r="AD177" s="1" t="str">
        <v>Jesse Hernandez</v>
      </c>
      <c r="AE177" s="1">
        <v>27550</v>
      </c>
      <c r="AF177" s="1">
        <v>44501</v>
      </c>
      <c r="AG177" s="1">
        <v>43.51</v>
      </c>
      <c r="AH177" s="1">
        <v>2071.9244449999997</v>
      </c>
      <c r="AI177" s="1">
        <v>2690.0255550000002</v>
      </c>
    </row>
    <row r="178" spans="1:35" x14ac:dyDescent="0.35">
      <c r="A178" s="1">
        <v>1176</v>
      </c>
      <c r="B178" s="2">
        <v>44490</v>
      </c>
      <c r="C178" s="1" t="s">
        <v>10</v>
      </c>
      <c r="D178" s="1" t="s">
        <v>11</v>
      </c>
      <c r="E178" s="1" t="s">
        <v>12</v>
      </c>
      <c r="F178" s="1">
        <v>365.08</v>
      </c>
      <c r="G178" s="1" t="s">
        <v>177</v>
      </c>
      <c r="H178" s="2">
        <v>22927</v>
      </c>
      <c r="I178" s="2">
        <v>44493</v>
      </c>
      <c r="J178" s="1">
        <v>19.37</v>
      </c>
      <c r="K178" s="1">
        <f t="shared" si="10"/>
        <v>70.715996000000004</v>
      </c>
      <c r="L178" s="1">
        <f t="shared" si="11"/>
        <v>294.36400399999997</v>
      </c>
      <c r="U178">
        <v>2883.9207219999998</v>
      </c>
      <c r="X178" s="1">
        <v>1231</v>
      </c>
      <c r="Y178" s="2">
        <v>44857</v>
      </c>
      <c r="Z178" s="1" t="str">
        <v>East</v>
      </c>
      <c r="AA178" s="1" t="str">
        <v>Tennis Racket</v>
      </c>
      <c r="AB178" s="1" t="str">
        <v>Sports</v>
      </c>
      <c r="AC178" s="1">
        <v>2995.97</v>
      </c>
      <c r="AD178" s="1" t="str">
        <v>Jessica Cruz</v>
      </c>
      <c r="AE178" s="1">
        <v>36216</v>
      </c>
      <c r="AF178" s="1">
        <v>44868</v>
      </c>
      <c r="AG178" s="1">
        <v>3.74</v>
      </c>
      <c r="AH178" s="1">
        <v>112.049278</v>
      </c>
      <c r="AI178" s="1">
        <v>2883.9207219999998</v>
      </c>
    </row>
    <row r="179" spans="1:35" x14ac:dyDescent="0.35">
      <c r="A179" s="1">
        <v>1177</v>
      </c>
      <c r="B179" s="2">
        <v>44469</v>
      </c>
      <c r="C179" s="1" t="s">
        <v>14</v>
      </c>
      <c r="D179" s="1" t="s">
        <v>30</v>
      </c>
      <c r="E179" s="1" t="s">
        <v>31</v>
      </c>
      <c r="F179" s="1">
        <v>2760.09</v>
      </c>
      <c r="G179" s="1" t="s">
        <v>178</v>
      </c>
      <c r="H179" s="2">
        <v>23890</v>
      </c>
      <c r="I179" s="2">
        <v>44481</v>
      </c>
      <c r="J179" s="1">
        <v>45.94</v>
      </c>
      <c r="K179" s="1">
        <f t="shared" si="10"/>
        <v>1267.9853459999999</v>
      </c>
      <c r="L179" s="1">
        <f t="shared" si="11"/>
        <v>1492.1046540000002</v>
      </c>
      <c r="U179">
        <v>1437.4723840000001</v>
      </c>
      <c r="X179" s="1">
        <v>1232</v>
      </c>
      <c r="Y179" s="2">
        <v>44732</v>
      </c>
      <c r="Z179" s="1" t="str">
        <v>North</v>
      </c>
      <c r="AA179" s="1" t="str">
        <v>Table</v>
      </c>
      <c r="AB179" s="1" t="str">
        <v>Furniture</v>
      </c>
      <c r="AC179" s="1">
        <v>1461.44</v>
      </c>
      <c r="AD179" s="1" t="str">
        <v>Donald Burke</v>
      </c>
      <c r="AE179" s="1">
        <v>35702</v>
      </c>
      <c r="AF179" s="1">
        <v>44741</v>
      </c>
      <c r="AG179" s="1">
        <v>1.64</v>
      </c>
      <c r="AH179" s="1">
        <v>23.967616</v>
      </c>
      <c r="AI179" s="1">
        <v>1437.4723840000001</v>
      </c>
    </row>
    <row r="180" spans="1:35" x14ac:dyDescent="0.35">
      <c r="A180" s="1">
        <v>1178</v>
      </c>
      <c r="B180" s="2">
        <v>44255</v>
      </c>
      <c r="C180" s="1" t="s">
        <v>35</v>
      </c>
      <c r="D180" s="1" t="s">
        <v>61</v>
      </c>
      <c r="E180" s="1" t="s">
        <v>19</v>
      </c>
      <c r="F180" s="1">
        <v>3846</v>
      </c>
      <c r="G180" s="1" t="s">
        <v>179</v>
      </c>
      <c r="H180" s="2">
        <v>30356</v>
      </c>
      <c r="I180" s="2">
        <v>44256</v>
      </c>
      <c r="J180" s="1">
        <v>1.22</v>
      </c>
      <c r="K180" s="1">
        <f t="shared" si="10"/>
        <v>46.921199999999999</v>
      </c>
      <c r="L180" s="1">
        <f t="shared" si="11"/>
        <v>3799.0788000000002</v>
      </c>
      <c r="U180">
        <v>2570.2937510000002</v>
      </c>
      <c r="X180" s="1">
        <v>1234</v>
      </c>
      <c r="Y180" s="2">
        <v>44339</v>
      </c>
      <c r="Z180" s="1" t="str">
        <v>South</v>
      </c>
      <c r="AA180" s="1" t="str">
        <v>Football</v>
      </c>
      <c r="AB180" s="1" t="str">
        <v>Sports</v>
      </c>
      <c r="AC180" s="1">
        <v>4453.8100000000004</v>
      </c>
      <c r="AD180" s="1" t="str">
        <v>Katherine Jones</v>
      </c>
      <c r="AE180" s="1">
        <v>23674</v>
      </c>
      <c r="AF180" s="1">
        <v>44348</v>
      </c>
      <c r="AG180" s="1">
        <v>42.29</v>
      </c>
      <c r="AH180" s="1">
        <v>1883.5162490000002</v>
      </c>
      <c r="AI180" s="1">
        <v>2570.2937510000002</v>
      </c>
    </row>
    <row r="181" spans="1:35" x14ac:dyDescent="0.35">
      <c r="A181" s="1">
        <v>1179</v>
      </c>
      <c r="B181" s="2">
        <v>44307</v>
      </c>
      <c r="C181" s="1" t="s">
        <v>26</v>
      </c>
      <c r="D181" s="1" t="s">
        <v>47</v>
      </c>
      <c r="E181" s="1" t="s">
        <v>12</v>
      </c>
      <c r="F181" s="1">
        <v>319.27999999999997</v>
      </c>
      <c r="G181" s="1" t="s">
        <v>180</v>
      </c>
      <c r="H181" s="2">
        <v>25163</v>
      </c>
      <c r="I181" s="2">
        <v>44319</v>
      </c>
      <c r="J181" s="1">
        <v>34.58</v>
      </c>
      <c r="K181" s="1">
        <f t="shared" si="10"/>
        <v>110.40702399999999</v>
      </c>
      <c r="L181" s="1">
        <f t="shared" si="11"/>
        <v>208.87297599999999</v>
      </c>
      <c r="U181">
        <v>2853.8801319999998</v>
      </c>
      <c r="X181" s="1">
        <v>1235</v>
      </c>
      <c r="Y181" s="2">
        <v>44284</v>
      </c>
      <c r="Z181" s="1" t="str">
        <v>Central</v>
      </c>
      <c r="AA181" s="1" t="str">
        <v>Tablet</v>
      </c>
      <c r="AB181" s="1" t="str">
        <v>Electronics</v>
      </c>
      <c r="AC181" s="1">
        <v>4999.79</v>
      </c>
      <c r="AD181" s="1" t="str">
        <v>Colin White</v>
      </c>
      <c r="AE181" s="1">
        <v>34345</v>
      </c>
      <c r="AF181" s="1">
        <v>44285</v>
      </c>
      <c r="AG181" s="1">
        <v>42.92</v>
      </c>
      <c r="AH181" s="1">
        <v>2145.9098680000002</v>
      </c>
      <c r="AI181" s="1">
        <v>2853.8801319999998</v>
      </c>
    </row>
    <row r="182" spans="1:35" x14ac:dyDescent="0.35">
      <c r="A182" s="1">
        <v>1180</v>
      </c>
      <c r="B182" s="2">
        <v>44632</v>
      </c>
      <c r="C182" s="1" t="s">
        <v>14</v>
      </c>
      <c r="D182" s="1" t="s">
        <v>11</v>
      </c>
      <c r="E182" s="1" t="s">
        <v>12</v>
      </c>
      <c r="F182" s="1">
        <v>4801.1000000000004</v>
      </c>
      <c r="G182" s="1" t="s">
        <v>85</v>
      </c>
      <c r="H182" s="2">
        <v>37236</v>
      </c>
      <c r="I182" s="2">
        <v>44645</v>
      </c>
      <c r="J182" s="1">
        <v>46.21</v>
      </c>
      <c r="K182" s="1">
        <f t="shared" si="10"/>
        <v>2218.5883100000001</v>
      </c>
      <c r="L182" s="1">
        <f t="shared" si="11"/>
        <v>2582.5116900000003</v>
      </c>
      <c r="U182">
        <v>3239.1146799999997</v>
      </c>
      <c r="X182" s="1">
        <v>1236</v>
      </c>
      <c r="Y182" s="2">
        <v>45408</v>
      </c>
      <c r="Z182" s="1" t="str">
        <v>West</v>
      </c>
      <c r="AA182" s="1" t="str">
        <v>Rice</v>
      </c>
      <c r="AB182" s="1" t="str">
        <v>Groceries</v>
      </c>
      <c r="AC182" s="1">
        <v>4464.05</v>
      </c>
      <c r="AD182" s="1" t="str">
        <v>Mary Hicks</v>
      </c>
      <c r="AE182" s="1">
        <v>39294</v>
      </c>
      <c r="AF182" s="1">
        <v>45415</v>
      </c>
      <c r="AG182" s="1">
        <v>27.44</v>
      </c>
      <c r="AH182" s="1">
        <v>1224.9353200000003</v>
      </c>
      <c r="AI182" s="1">
        <v>3239.1146799999997</v>
      </c>
    </row>
    <row r="183" spans="1:35" x14ac:dyDescent="0.35">
      <c r="A183" s="1">
        <v>1181</v>
      </c>
      <c r="B183" s="2">
        <v>44779</v>
      </c>
      <c r="C183" s="1" t="s">
        <v>14</v>
      </c>
      <c r="D183" s="1" t="s">
        <v>47</v>
      </c>
      <c r="E183" s="1" t="s">
        <v>12</v>
      </c>
      <c r="F183" s="1">
        <v>2518.65</v>
      </c>
      <c r="G183" s="1" t="s">
        <v>181</v>
      </c>
      <c r="H183" s="2">
        <v>25222</v>
      </c>
      <c r="I183" s="2">
        <v>44782</v>
      </c>
      <c r="J183" s="1">
        <v>18.14</v>
      </c>
      <c r="K183" s="1">
        <f t="shared" si="10"/>
        <v>456.88311000000004</v>
      </c>
      <c r="L183" s="1">
        <f t="shared" si="11"/>
        <v>2061.7668899999999</v>
      </c>
      <c r="U183">
        <v>2081.9608280000002</v>
      </c>
      <c r="X183" s="1">
        <v>1237</v>
      </c>
      <c r="Y183" s="2">
        <v>44398</v>
      </c>
      <c r="Z183" s="1" t="str">
        <v>South</v>
      </c>
      <c r="AA183" s="1" t="str">
        <v>Cricket Bat</v>
      </c>
      <c r="AB183" s="1" t="str">
        <v>Sports</v>
      </c>
      <c r="AC183" s="1">
        <v>3581.56</v>
      </c>
      <c r="AD183" s="1" t="str">
        <v>Melanie Shaffer</v>
      </c>
      <c r="AE183" s="1">
        <v>37858</v>
      </c>
      <c r="AF183" s="1">
        <v>44405</v>
      </c>
      <c r="AG183" s="1">
        <v>41.87</v>
      </c>
      <c r="AH183" s="1">
        <v>1499.5991719999997</v>
      </c>
      <c r="AI183" s="1">
        <v>2081.9608280000002</v>
      </c>
    </row>
    <row r="184" spans="1:35" x14ac:dyDescent="0.35">
      <c r="A184" s="1">
        <v>1182</v>
      </c>
      <c r="B184" s="2">
        <v>44255</v>
      </c>
      <c r="C184" s="1" t="s">
        <v>14</v>
      </c>
      <c r="D184" s="1" t="s">
        <v>73</v>
      </c>
      <c r="E184" s="1" t="s">
        <v>28</v>
      </c>
      <c r="F184" s="1">
        <v>842.21</v>
      </c>
      <c r="G184" s="1" t="s">
        <v>182</v>
      </c>
      <c r="H184" s="2">
        <v>24719</v>
      </c>
      <c r="I184" s="2">
        <v>44258</v>
      </c>
      <c r="J184" s="1">
        <v>32.22</v>
      </c>
      <c r="K184" s="1">
        <f t="shared" si="10"/>
        <v>271.36006200000003</v>
      </c>
      <c r="L184" s="1">
        <f t="shared" si="11"/>
        <v>570.84993800000007</v>
      </c>
      <c r="U184">
        <v>1201.8963200000001</v>
      </c>
      <c r="X184" s="1">
        <v>1238</v>
      </c>
      <c r="Y184" s="2">
        <v>44940</v>
      </c>
      <c r="Z184" s="1" t="str">
        <v>East</v>
      </c>
      <c r="AA184" s="1" t="str">
        <v>T-Shirt</v>
      </c>
      <c r="AB184" s="1" t="str">
        <v>Clothing</v>
      </c>
      <c r="AC184" s="1">
        <v>1509.92</v>
      </c>
      <c r="AD184" s="1" t="str">
        <v>Madison Dickson</v>
      </c>
      <c r="AE184" s="1">
        <v>29540</v>
      </c>
      <c r="AF184" s="1">
        <v>44943</v>
      </c>
      <c r="AG184" s="1">
        <v>20.399999999999999</v>
      </c>
      <c r="AH184" s="1">
        <v>308.02368000000001</v>
      </c>
      <c r="AI184" s="1">
        <v>1201.8963200000001</v>
      </c>
    </row>
    <row r="185" spans="1:35" x14ac:dyDescent="0.35">
      <c r="A185" s="1">
        <v>1183</v>
      </c>
      <c r="B185" s="2">
        <v>44414</v>
      </c>
      <c r="C185" s="1" t="s">
        <v>14</v>
      </c>
      <c r="D185" s="1" t="s">
        <v>33</v>
      </c>
      <c r="E185" s="1" t="s">
        <v>16</v>
      </c>
      <c r="F185" s="1">
        <v>1084.71</v>
      </c>
      <c r="G185" s="1" t="s">
        <v>121</v>
      </c>
      <c r="H185" s="2">
        <v>24580</v>
      </c>
      <c r="I185" s="2">
        <v>44424</v>
      </c>
      <c r="J185" s="1">
        <v>36.89</v>
      </c>
      <c r="K185" s="1">
        <f t="shared" si="10"/>
        <v>400.149519</v>
      </c>
      <c r="L185" s="1">
        <f t="shared" si="11"/>
        <v>684.56048099999998</v>
      </c>
      <c r="U185">
        <v>1387.6280600000002</v>
      </c>
      <c r="X185" s="1">
        <v>1239</v>
      </c>
      <c r="Y185" s="2">
        <v>45792</v>
      </c>
      <c r="Z185" s="1" t="str">
        <v>Central</v>
      </c>
      <c r="AA185" s="1" t="str">
        <v>Bed</v>
      </c>
      <c r="AB185" s="1" t="str">
        <v>Furniture</v>
      </c>
      <c r="AC185" s="1">
        <v>2305.0300000000002</v>
      </c>
      <c r="AD185" s="1" t="str">
        <v>Shannon Foster</v>
      </c>
      <c r="AE185" s="1">
        <v>31386</v>
      </c>
      <c r="AF185" s="1">
        <v>45803</v>
      </c>
      <c r="AG185" s="1">
        <v>39.799999999999997</v>
      </c>
      <c r="AH185" s="1">
        <v>917.40193999999997</v>
      </c>
      <c r="AI185" s="1">
        <v>1387.6280600000002</v>
      </c>
    </row>
    <row r="186" spans="1:35" x14ac:dyDescent="0.35">
      <c r="A186" s="1">
        <v>1184</v>
      </c>
      <c r="B186" s="2">
        <v>44227</v>
      </c>
      <c r="C186" s="1" t="s">
        <v>21</v>
      </c>
      <c r="D186" s="1" t="s">
        <v>38</v>
      </c>
      <c r="E186" s="1" t="s">
        <v>28</v>
      </c>
      <c r="F186" s="1">
        <v>2092.31</v>
      </c>
      <c r="G186" s="1" t="s">
        <v>183</v>
      </c>
      <c r="H186" s="2">
        <v>32359</v>
      </c>
      <c r="I186" s="2">
        <v>44234</v>
      </c>
      <c r="J186" s="1">
        <v>41.77</v>
      </c>
      <c r="K186" s="1">
        <f t="shared" si="10"/>
        <v>873.95788700000003</v>
      </c>
      <c r="L186" s="1">
        <f t="shared" si="11"/>
        <v>1218.3521129999999</v>
      </c>
      <c r="U186">
        <v>2660.2016979999999</v>
      </c>
      <c r="X186" s="1">
        <v>1240</v>
      </c>
      <c r="Y186" s="2">
        <v>45013</v>
      </c>
      <c r="Z186" s="1" t="str">
        <v>Central</v>
      </c>
      <c r="AA186" s="1" t="str">
        <v>Eggs</v>
      </c>
      <c r="AB186" s="1" t="str">
        <v>Groceries</v>
      </c>
      <c r="AC186" s="1">
        <v>4272.7299999999996</v>
      </c>
      <c r="AD186" s="1" t="str">
        <v>Jenna Campbell</v>
      </c>
      <c r="AE186" s="1">
        <v>34220</v>
      </c>
      <c r="AF186" s="1">
        <v>45020</v>
      </c>
      <c r="AG186" s="1">
        <v>37.74</v>
      </c>
      <c r="AH186" s="1">
        <v>1612.5283019999999</v>
      </c>
      <c r="AI186" s="1">
        <v>2660.2016979999999</v>
      </c>
    </row>
    <row r="187" spans="1:35" x14ac:dyDescent="0.35">
      <c r="A187" s="1">
        <v>1185</v>
      </c>
      <c r="B187" s="2">
        <v>44174</v>
      </c>
      <c r="C187" s="1" t="s">
        <v>14</v>
      </c>
      <c r="D187" s="1" t="s">
        <v>33</v>
      </c>
      <c r="E187" s="1" t="s">
        <v>16</v>
      </c>
      <c r="F187" s="1">
        <v>3301.51</v>
      </c>
      <c r="G187" s="1" t="s">
        <v>184</v>
      </c>
      <c r="H187" s="2">
        <v>29547</v>
      </c>
      <c r="I187" s="2">
        <v>44180</v>
      </c>
      <c r="J187" s="1">
        <v>14.54</v>
      </c>
      <c r="K187" s="1">
        <f t="shared" si="10"/>
        <v>480.03955400000001</v>
      </c>
      <c r="L187" s="1">
        <f t="shared" si="11"/>
        <v>2821.4704460000003</v>
      </c>
      <c r="U187">
        <v>1168.8934400000001</v>
      </c>
      <c r="X187" s="1">
        <v>1241</v>
      </c>
      <c r="Y187" s="2">
        <v>45234</v>
      </c>
      <c r="Z187" s="1" t="str">
        <v>South</v>
      </c>
      <c r="AA187" s="1" t="str">
        <v>Shoes</v>
      </c>
      <c r="AB187" s="1" t="str">
        <v>Clothing</v>
      </c>
      <c r="AC187" s="1">
        <v>1756.15</v>
      </c>
      <c r="AD187" s="1" t="str">
        <v>Laura Wood</v>
      </c>
      <c r="AE187" s="1">
        <v>31419</v>
      </c>
      <c r="AF187" s="1">
        <v>45239</v>
      </c>
      <c r="AG187" s="1">
        <v>33.44</v>
      </c>
      <c r="AH187" s="1">
        <v>587.25656000000004</v>
      </c>
      <c r="AI187" s="1">
        <v>1168.8934400000001</v>
      </c>
    </row>
    <row r="188" spans="1:35" x14ac:dyDescent="0.35">
      <c r="A188" s="1">
        <v>1186</v>
      </c>
      <c r="B188" s="2">
        <v>45520</v>
      </c>
      <c r="C188" s="1" t="s">
        <v>26</v>
      </c>
      <c r="D188" s="1" t="s">
        <v>49</v>
      </c>
      <c r="E188" s="1" t="s">
        <v>12</v>
      </c>
      <c r="F188" s="1">
        <v>4889.82</v>
      </c>
      <c r="G188" s="1" t="s">
        <v>185</v>
      </c>
      <c r="H188" s="2">
        <v>36384</v>
      </c>
      <c r="I188" s="2">
        <v>45534</v>
      </c>
      <c r="J188" s="1">
        <v>26.73</v>
      </c>
      <c r="K188" s="1">
        <f t="shared" si="10"/>
        <v>1307.0488859999998</v>
      </c>
      <c r="L188" s="1">
        <f t="shared" si="11"/>
        <v>3582.7711140000001</v>
      </c>
      <c r="U188">
        <v>2421.7674739999998</v>
      </c>
      <c r="X188" s="1">
        <v>1242</v>
      </c>
      <c r="Y188" s="2">
        <v>44800</v>
      </c>
      <c r="Z188" s="1" t="str">
        <v>North</v>
      </c>
      <c r="AA188" s="1" t="str">
        <v>Rice</v>
      </c>
      <c r="AB188" s="1" t="str">
        <v>Groceries</v>
      </c>
      <c r="AC188" s="1">
        <v>2727.83</v>
      </c>
      <c r="AD188" s="1" t="str">
        <v>Laura Sanchez</v>
      </c>
      <c r="AE188" s="1">
        <v>30923</v>
      </c>
      <c r="AF188" s="1">
        <v>44805</v>
      </c>
      <c r="AG188" s="1">
        <v>11.22</v>
      </c>
      <c r="AH188" s="1">
        <v>306.06252599999999</v>
      </c>
      <c r="AI188" s="1">
        <v>2421.7674739999998</v>
      </c>
    </row>
    <row r="189" spans="1:35" x14ac:dyDescent="0.35">
      <c r="A189" s="1">
        <v>1187</v>
      </c>
      <c r="B189" s="2">
        <v>45444</v>
      </c>
      <c r="C189" s="1" t="s">
        <v>35</v>
      </c>
      <c r="D189" s="1" t="s">
        <v>71</v>
      </c>
      <c r="E189" s="1" t="s">
        <v>31</v>
      </c>
      <c r="F189" s="1">
        <v>1596.91</v>
      </c>
      <c r="G189" s="1" t="s">
        <v>122</v>
      </c>
      <c r="H189" s="2">
        <v>29720</v>
      </c>
      <c r="I189" s="2">
        <v>45453</v>
      </c>
      <c r="J189" s="1">
        <v>23.65</v>
      </c>
      <c r="K189" s="1">
        <f t="shared" si="10"/>
        <v>377.66921500000001</v>
      </c>
      <c r="L189" s="1">
        <f t="shared" si="11"/>
        <v>1219.240785</v>
      </c>
      <c r="U189">
        <v>1554.9932800000001</v>
      </c>
      <c r="X189" s="1">
        <v>1245</v>
      </c>
      <c r="Y189" s="2">
        <v>44488</v>
      </c>
      <c r="Z189" s="1" t="str">
        <v>South</v>
      </c>
      <c r="AA189" s="1" t="str">
        <v>Milk</v>
      </c>
      <c r="AB189" s="1" t="str">
        <v>Groceries</v>
      </c>
      <c r="AC189" s="1">
        <v>2517.8000000000002</v>
      </c>
      <c r="AD189" s="1" t="str">
        <v>Vincent Wiggins</v>
      </c>
      <c r="AE189" s="1">
        <v>26671</v>
      </c>
      <c r="AF189" s="1">
        <v>44495</v>
      </c>
      <c r="AG189" s="1">
        <v>38.24</v>
      </c>
      <c r="AH189" s="1">
        <v>962.80672000000015</v>
      </c>
      <c r="AI189" s="1">
        <v>1554.9932800000001</v>
      </c>
    </row>
    <row r="190" spans="1:35" x14ac:dyDescent="0.35">
      <c r="A190" s="1">
        <v>1188</v>
      </c>
      <c r="B190" s="2">
        <v>45667</v>
      </c>
      <c r="C190" s="1" t="s">
        <v>35</v>
      </c>
      <c r="D190" s="1" t="s">
        <v>88</v>
      </c>
      <c r="E190" s="1" t="s">
        <v>16</v>
      </c>
      <c r="F190" s="1">
        <v>746.87</v>
      </c>
      <c r="G190" s="1" t="s">
        <v>186</v>
      </c>
      <c r="H190" s="2">
        <v>39193</v>
      </c>
      <c r="I190" s="2">
        <v>45670</v>
      </c>
      <c r="J190" s="1">
        <v>42.9</v>
      </c>
      <c r="K190" s="1">
        <f t="shared" si="10"/>
        <v>320.40722999999997</v>
      </c>
      <c r="L190" s="1">
        <f t="shared" si="11"/>
        <v>426.46277000000003</v>
      </c>
      <c r="U190">
        <v>3712.6913600000003</v>
      </c>
      <c r="X190" s="1">
        <v>1246</v>
      </c>
      <c r="Y190" s="2">
        <v>44489</v>
      </c>
      <c r="Z190" s="1" t="str">
        <v>West</v>
      </c>
      <c r="AA190" s="1" t="str">
        <v>Eggs</v>
      </c>
      <c r="AB190" s="1" t="str">
        <v>Groceries</v>
      </c>
      <c r="AC190" s="1">
        <v>4390.6000000000004</v>
      </c>
      <c r="AD190" s="1" t="str">
        <v>Regina Gay</v>
      </c>
      <c r="AE190" s="1">
        <v>34571</v>
      </c>
      <c r="AF190" s="1">
        <v>44491</v>
      </c>
      <c r="AG190" s="1">
        <v>15.44</v>
      </c>
      <c r="AH190" s="1">
        <v>677.90863999999999</v>
      </c>
      <c r="AI190" s="1">
        <v>3712.6913600000003</v>
      </c>
    </row>
    <row r="191" spans="1:35" x14ac:dyDescent="0.35">
      <c r="A191" s="1">
        <v>1189</v>
      </c>
      <c r="B191" s="2">
        <v>45333</v>
      </c>
      <c r="C191" s="1" t="s">
        <v>35</v>
      </c>
      <c r="D191" s="1" t="s">
        <v>65</v>
      </c>
      <c r="E191" s="1" t="s">
        <v>19</v>
      </c>
      <c r="F191" s="1">
        <v>2712.97</v>
      </c>
      <c r="G191" s="1" t="s">
        <v>187</v>
      </c>
      <c r="H191" s="2">
        <v>30778</v>
      </c>
      <c r="I191" s="2">
        <v>45344</v>
      </c>
      <c r="J191" s="1">
        <v>6.89</v>
      </c>
      <c r="K191" s="1">
        <f t="shared" si="10"/>
        <v>186.923633</v>
      </c>
      <c r="L191" s="1">
        <f t="shared" si="11"/>
        <v>2526.0463669999999</v>
      </c>
      <c r="U191">
        <v>2554.832946</v>
      </c>
      <c r="X191" s="1">
        <v>1247</v>
      </c>
      <c r="Y191" s="2">
        <v>44653</v>
      </c>
      <c r="Z191" s="1" t="str">
        <v>Central</v>
      </c>
      <c r="AA191" s="1" t="str">
        <v>Sofa</v>
      </c>
      <c r="AB191" s="1" t="str">
        <v>Furniture</v>
      </c>
      <c r="AC191" s="1">
        <v>4464.93</v>
      </c>
      <c r="AD191" s="1" t="str">
        <v>Tyler Frye</v>
      </c>
      <c r="AE191" s="1">
        <v>22210</v>
      </c>
      <c r="AF191" s="1">
        <v>44658</v>
      </c>
      <c r="AG191" s="1">
        <v>42.78</v>
      </c>
      <c r="AH191" s="1">
        <v>1910.0970540000003</v>
      </c>
      <c r="AI191" s="1">
        <v>2554.832946</v>
      </c>
    </row>
    <row r="192" spans="1:35" x14ac:dyDescent="0.35">
      <c r="A192" s="1">
        <v>1190</v>
      </c>
      <c r="B192" s="2">
        <v>44120</v>
      </c>
      <c r="C192" s="1" t="s">
        <v>10</v>
      </c>
      <c r="D192" s="1" t="s">
        <v>15</v>
      </c>
      <c r="E192" s="1" t="s">
        <v>16</v>
      </c>
      <c r="F192" s="1">
        <v>4441.87</v>
      </c>
      <c r="G192" s="1" t="s">
        <v>184</v>
      </c>
      <c r="H192" s="2">
        <v>29547</v>
      </c>
      <c r="I192" s="2">
        <v>44123</v>
      </c>
      <c r="J192" s="1">
        <v>1.02</v>
      </c>
      <c r="K192" s="1">
        <f t="shared" si="10"/>
        <v>45.307074</v>
      </c>
      <c r="L192" s="1">
        <f t="shared" si="11"/>
        <v>4396.5629259999996</v>
      </c>
      <c r="U192">
        <v>1004.181842</v>
      </c>
      <c r="X192" s="1">
        <v>1249</v>
      </c>
      <c r="Y192" s="2">
        <v>45218</v>
      </c>
      <c r="Z192" s="1" t="str">
        <v>North</v>
      </c>
      <c r="AA192" s="1" t="str">
        <v>Table</v>
      </c>
      <c r="AB192" s="1" t="str">
        <v>Furniture</v>
      </c>
      <c r="AC192" s="1">
        <v>1780.78</v>
      </c>
      <c r="AD192" s="1" t="str">
        <v>Stephanie Weeks</v>
      </c>
      <c r="AE192" s="1">
        <v>36951</v>
      </c>
      <c r="AF192" s="1">
        <v>45232</v>
      </c>
      <c r="AG192" s="1">
        <v>43.61</v>
      </c>
      <c r="AH192" s="1">
        <v>776.59815800000001</v>
      </c>
      <c r="AI192" s="1">
        <v>1004.181842</v>
      </c>
    </row>
    <row r="193" spans="1:35" x14ac:dyDescent="0.35">
      <c r="A193" s="1">
        <v>1191</v>
      </c>
      <c r="B193" s="2">
        <v>45266</v>
      </c>
      <c r="C193" s="1" t="s">
        <v>14</v>
      </c>
      <c r="D193" s="1" t="s">
        <v>55</v>
      </c>
      <c r="E193" s="1" t="s">
        <v>31</v>
      </c>
      <c r="F193" s="1">
        <v>4864.68</v>
      </c>
      <c r="G193" s="1" t="s">
        <v>188</v>
      </c>
      <c r="H193" s="2">
        <v>31467</v>
      </c>
      <c r="I193" s="2">
        <v>45277</v>
      </c>
      <c r="J193" s="1">
        <v>35.32</v>
      </c>
      <c r="K193" s="1">
        <f t="shared" si="10"/>
        <v>1718.2049760000002</v>
      </c>
      <c r="L193" s="1">
        <f t="shared" si="11"/>
        <v>3146.4750240000003</v>
      </c>
      <c r="U193">
        <v>1824.2945420000001</v>
      </c>
      <c r="X193" s="1">
        <v>1250</v>
      </c>
      <c r="Y193" s="2">
        <v>44458</v>
      </c>
      <c r="Z193" s="1" t="str">
        <v>Central</v>
      </c>
      <c r="AA193" s="1" t="str">
        <v>Football</v>
      </c>
      <c r="AB193" s="1" t="str">
        <v>Sports</v>
      </c>
      <c r="AC193" s="1">
        <v>2340.94</v>
      </c>
      <c r="AD193" s="1" t="str">
        <v>Brandon Ross</v>
      </c>
      <c r="AE193" s="1">
        <v>29792</v>
      </c>
      <c r="AF193" s="1">
        <v>44460</v>
      </c>
      <c r="AG193" s="1">
        <v>22.07</v>
      </c>
      <c r="AH193" s="1">
        <v>516.64545800000008</v>
      </c>
      <c r="AI193" s="1">
        <v>1824.2945420000001</v>
      </c>
    </row>
    <row r="194" spans="1:35" x14ac:dyDescent="0.35">
      <c r="A194" s="1">
        <v>1192</v>
      </c>
      <c r="B194" s="2">
        <v>44285</v>
      </c>
      <c r="C194" s="1" t="s">
        <v>35</v>
      </c>
      <c r="D194" s="1" t="s">
        <v>27</v>
      </c>
      <c r="E194" s="1" t="s">
        <v>28</v>
      </c>
      <c r="F194" s="1">
        <v>4013.62</v>
      </c>
      <c r="G194" s="1" t="s">
        <v>189</v>
      </c>
      <c r="H194" s="2">
        <v>34164</v>
      </c>
      <c r="I194" s="2">
        <v>44292</v>
      </c>
      <c r="J194" s="1">
        <v>45.04</v>
      </c>
      <c r="K194" s="1">
        <f t="shared" si="10"/>
        <v>1807.7344479999999</v>
      </c>
      <c r="L194" s="1">
        <f t="shared" si="11"/>
        <v>2205.8855519999997</v>
      </c>
      <c r="U194">
        <v>1398.1178620000001</v>
      </c>
      <c r="X194" s="1">
        <v>1252</v>
      </c>
      <c r="Y194" s="2">
        <v>45116</v>
      </c>
      <c r="Z194" s="1" t="str">
        <v>South</v>
      </c>
      <c r="AA194" s="1" t="str">
        <v>Sofa</v>
      </c>
      <c r="AB194" s="1" t="str">
        <v>Furniture</v>
      </c>
      <c r="AC194" s="1">
        <v>2705.86</v>
      </c>
      <c r="AD194" s="1" t="str">
        <v>Matthew Gonzalez</v>
      </c>
      <c r="AE194" s="1">
        <v>25321</v>
      </c>
      <c r="AF194" s="1">
        <v>45121</v>
      </c>
      <c r="AG194" s="1">
        <v>48.33</v>
      </c>
      <c r="AH194" s="1">
        <v>1307.7421380000001</v>
      </c>
      <c r="AI194" s="1">
        <v>1398.1178620000001</v>
      </c>
    </row>
    <row r="195" spans="1:35" x14ac:dyDescent="0.35">
      <c r="A195" s="1">
        <v>1193</v>
      </c>
      <c r="B195" s="2">
        <v>45437</v>
      </c>
      <c r="C195" s="1" t="s">
        <v>14</v>
      </c>
      <c r="D195" s="1" t="s">
        <v>36</v>
      </c>
      <c r="E195" s="1" t="s">
        <v>28</v>
      </c>
      <c r="F195" s="1">
        <v>3465.02</v>
      </c>
      <c r="G195" s="1" t="s">
        <v>190</v>
      </c>
      <c r="H195" s="2">
        <v>33354</v>
      </c>
      <c r="I195" s="2">
        <v>45449</v>
      </c>
      <c r="J195" s="1">
        <v>18.989999999999998</v>
      </c>
      <c r="K195" s="1">
        <f t="shared" ref="K195:K258" si="12">F195*J195%</f>
        <v>658.00729799999999</v>
      </c>
      <c r="L195" s="1">
        <f t="shared" ref="L195:L258" si="13">F195-K195</f>
        <v>2807.012702</v>
      </c>
      <c r="U195">
        <v>3806.0106239999996</v>
      </c>
      <c r="X195" s="1">
        <v>1253</v>
      </c>
      <c r="Y195" s="2">
        <v>44995</v>
      </c>
      <c r="Z195" s="1" t="str">
        <v>West</v>
      </c>
      <c r="AA195" s="1" t="str">
        <v>Camera</v>
      </c>
      <c r="AB195" s="1" t="str">
        <v>Electronics</v>
      </c>
      <c r="AC195" s="1">
        <v>4945.4399999999996</v>
      </c>
      <c r="AD195" s="1" t="str">
        <v>Adam Martinez</v>
      </c>
      <c r="AE195" s="1">
        <v>22599</v>
      </c>
      <c r="AF195" s="1">
        <v>44999</v>
      </c>
      <c r="AG195" s="1">
        <v>23.04</v>
      </c>
      <c r="AH195" s="1">
        <v>1139.4293759999998</v>
      </c>
      <c r="AI195" s="1">
        <v>3806.0106239999996</v>
      </c>
    </row>
    <row r="196" spans="1:35" x14ac:dyDescent="0.35">
      <c r="A196" s="1">
        <v>1194</v>
      </c>
      <c r="B196" s="2">
        <v>45746</v>
      </c>
      <c r="C196" s="1" t="s">
        <v>14</v>
      </c>
      <c r="D196" s="1" t="s">
        <v>65</v>
      </c>
      <c r="E196" s="1" t="s">
        <v>19</v>
      </c>
      <c r="F196" s="1">
        <v>4434.63</v>
      </c>
      <c r="G196" s="1" t="s">
        <v>191</v>
      </c>
      <c r="H196" s="2">
        <v>37495</v>
      </c>
      <c r="I196" s="2">
        <v>45750</v>
      </c>
      <c r="J196" s="1">
        <v>35.770000000000003</v>
      </c>
      <c r="K196" s="1">
        <f t="shared" si="12"/>
        <v>1586.267151</v>
      </c>
      <c r="L196" s="1">
        <f t="shared" si="13"/>
        <v>2848.3628490000001</v>
      </c>
      <c r="U196">
        <v>1736.80936</v>
      </c>
      <c r="X196" s="1">
        <v>1254</v>
      </c>
      <c r="Y196" s="2">
        <v>45777</v>
      </c>
      <c r="Z196" s="1" t="str">
        <v>South</v>
      </c>
      <c r="AA196" s="1" t="str">
        <v>Cap</v>
      </c>
      <c r="AB196" s="1" t="str">
        <v>Clothing</v>
      </c>
      <c r="AC196" s="1">
        <v>1796.08</v>
      </c>
      <c r="AD196" s="1" t="str">
        <v>Tracy Moore</v>
      </c>
      <c r="AE196" s="1">
        <v>33282</v>
      </c>
      <c r="AF196" s="1">
        <v>45788</v>
      </c>
      <c r="AG196" s="1">
        <v>3.3</v>
      </c>
      <c r="AH196" s="1">
        <v>59.27064</v>
      </c>
      <c r="AI196" s="1">
        <v>1736.80936</v>
      </c>
    </row>
    <row r="197" spans="1:35" x14ac:dyDescent="0.35">
      <c r="A197" s="1">
        <v>1195</v>
      </c>
      <c r="B197" s="2">
        <v>45831</v>
      </c>
      <c r="C197" s="1" t="s">
        <v>21</v>
      </c>
      <c r="D197" s="1" t="s">
        <v>53</v>
      </c>
      <c r="E197" s="1" t="s">
        <v>28</v>
      </c>
      <c r="F197" s="1">
        <v>440.11</v>
      </c>
      <c r="G197" s="1" t="s">
        <v>191</v>
      </c>
      <c r="H197" s="2">
        <v>37495</v>
      </c>
      <c r="I197" s="2">
        <v>45836</v>
      </c>
      <c r="J197" s="1">
        <v>15.2</v>
      </c>
      <c r="K197" s="1">
        <f t="shared" si="12"/>
        <v>66.896720000000002</v>
      </c>
      <c r="L197" s="1">
        <f t="shared" si="13"/>
        <v>373.21328</v>
      </c>
      <c r="U197">
        <v>1065.5387559999999</v>
      </c>
      <c r="X197" s="1">
        <v>1256</v>
      </c>
      <c r="Y197" s="2">
        <v>44829</v>
      </c>
      <c r="Z197" s="1" t="str">
        <v>West</v>
      </c>
      <c r="AA197" s="1" t="str">
        <v>Headphones</v>
      </c>
      <c r="AB197" s="1" t="str">
        <v>Electronics</v>
      </c>
      <c r="AC197" s="1">
        <v>1161.73</v>
      </c>
      <c r="AD197" s="1" t="str">
        <v>Jessica Frank</v>
      </c>
      <c r="AE197" s="1">
        <v>30755</v>
      </c>
      <c r="AF197" s="1">
        <v>44838</v>
      </c>
      <c r="AG197" s="1">
        <v>8.2799999999999994</v>
      </c>
      <c r="AH197" s="1">
        <v>96.191243999999998</v>
      </c>
      <c r="AI197" s="1">
        <v>1065.5387559999999</v>
      </c>
    </row>
    <row r="198" spans="1:35" x14ac:dyDescent="0.35">
      <c r="A198" s="1">
        <v>1196</v>
      </c>
      <c r="B198" s="2">
        <v>45182</v>
      </c>
      <c r="C198" s="1" t="s">
        <v>10</v>
      </c>
      <c r="D198" s="1" t="s">
        <v>102</v>
      </c>
      <c r="E198" s="1" t="s">
        <v>12</v>
      </c>
      <c r="F198" s="1">
        <v>505.23</v>
      </c>
      <c r="G198" s="1" t="s">
        <v>192</v>
      </c>
      <c r="H198" s="2">
        <v>33626</v>
      </c>
      <c r="I198" s="2">
        <v>45186</v>
      </c>
      <c r="J198" s="1">
        <v>32.119999999999997</v>
      </c>
      <c r="K198" s="1">
        <f t="shared" si="12"/>
        <v>162.279876</v>
      </c>
      <c r="L198" s="1">
        <f t="shared" si="13"/>
        <v>342.95012400000002</v>
      </c>
      <c r="U198">
        <v>3674.9827759999998</v>
      </c>
      <c r="X198" s="1">
        <v>1258</v>
      </c>
      <c r="Y198" s="2">
        <v>44533</v>
      </c>
      <c r="Z198" s="1" t="str">
        <v>East</v>
      </c>
      <c r="AA198" s="1" t="str">
        <v>Football</v>
      </c>
      <c r="AB198" s="1" t="str">
        <v>Sports</v>
      </c>
      <c r="AC198" s="1">
        <v>4156.28</v>
      </c>
      <c r="AD198" s="1" t="str">
        <v>Kevin Preston</v>
      </c>
      <c r="AE198" s="1">
        <v>32064</v>
      </c>
      <c r="AF198" s="1">
        <v>44535</v>
      </c>
      <c r="AG198" s="1">
        <v>11.58</v>
      </c>
      <c r="AH198" s="1">
        <v>481.29722399999997</v>
      </c>
      <c r="AI198" s="1">
        <v>3674.9827759999998</v>
      </c>
    </row>
    <row r="199" spans="1:35" x14ac:dyDescent="0.35">
      <c r="A199" s="1">
        <v>1197</v>
      </c>
      <c r="B199" s="2">
        <v>45554</v>
      </c>
      <c r="C199" s="1" t="s">
        <v>35</v>
      </c>
      <c r="D199" s="1" t="s">
        <v>33</v>
      </c>
      <c r="E199" s="1" t="s">
        <v>16</v>
      </c>
      <c r="F199" s="1">
        <v>4798.92</v>
      </c>
      <c r="G199" s="1" t="s">
        <v>123</v>
      </c>
      <c r="H199" s="2">
        <v>36120</v>
      </c>
      <c r="I199" s="2">
        <v>45561</v>
      </c>
      <c r="J199" s="1">
        <v>34.590000000000003</v>
      </c>
      <c r="K199" s="1">
        <f t="shared" si="12"/>
        <v>1659.9464280000002</v>
      </c>
      <c r="L199" s="1">
        <f t="shared" si="13"/>
        <v>3138.9735719999999</v>
      </c>
      <c r="U199">
        <v>1752.895837</v>
      </c>
      <c r="X199" s="1">
        <v>1259</v>
      </c>
      <c r="Y199" s="2">
        <v>44840</v>
      </c>
      <c r="Z199" s="1" t="str">
        <v>South</v>
      </c>
      <c r="AA199" s="1" t="str">
        <v>Basketball</v>
      </c>
      <c r="AB199" s="1" t="str">
        <v>Sports</v>
      </c>
      <c r="AC199" s="1">
        <v>1970.21</v>
      </c>
      <c r="AD199" s="1" t="str">
        <v>Jeffery Smith</v>
      </c>
      <c r="AE199" s="1">
        <v>28619</v>
      </c>
      <c r="AF199" s="1">
        <v>44850</v>
      </c>
      <c r="AG199" s="1">
        <v>11.03</v>
      </c>
      <c r="AH199" s="1">
        <v>217.31416300000001</v>
      </c>
      <c r="AI199" s="1">
        <v>1752.895837</v>
      </c>
    </row>
    <row r="200" spans="1:35" x14ac:dyDescent="0.35">
      <c r="A200" s="1">
        <v>1198</v>
      </c>
      <c r="B200" s="2">
        <v>44503</v>
      </c>
      <c r="C200" s="1" t="s">
        <v>14</v>
      </c>
      <c r="D200" s="1" t="s">
        <v>33</v>
      </c>
      <c r="E200" s="1" t="s">
        <v>16</v>
      </c>
      <c r="F200" s="1">
        <v>484.34</v>
      </c>
      <c r="G200" s="1" t="s">
        <v>193</v>
      </c>
      <c r="H200" s="2">
        <v>26082</v>
      </c>
      <c r="I200" s="2">
        <v>44510</v>
      </c>
      <c r="J200" s="1">
        <v>18.260000000000002</v>
      </c>
      <c r="K200" s="1">
        <f t="shared" si="12"/>
        <v>88.440483999999998</v>
      </c>
      <c r="L200" s="1">
        <f t="shared" si="13"/>
        <v>395.89951599999995</v>
      </c>
      <c r="U200">
        <v>2773.573077</v>
      </c>
      <c r="X200" s="1">
        <v>1260</v>
      </c>
      <c r="Y200" s="2">
        <v>44890</v>
      </c>
      <c r="Z200" s="1" t="str">
        <v>Central</v>
      </c>
      <c r="AA200" s="1" t="str">
        <v>Table</v>
      </c>
      <c r="AB200" s="1" t="str">
        <v>Furniture</v>
      </c>
      <c r="AC200" s="1">
        <v>4251.99</v>
      </c>
      <c r="AD200" s="1" t="str">
        <v>Jacob Thomas</v>
      </c>
      <c r="AE200" s="1">
        <v>39193</v>
      </c>
      <c r="AF200" s="1">
        <v>44903</v>
      </c>
      <c r="AG200" s="1">
        <v>34.770000000000003</v>
      </c>
      <c r="AH200" s="1">
        <v>1478.416923</v>
      </c>
      <c r="AI200" s="1">
        <v>2773.573077</v>
      </c>
    </row>
    <row r="201" spans="1:35" x14ac:dyDescent="0.35">
      <c r="A201" s="1">
        <v>1199</v>
      </c>
      <c r="B201" s="2">
        <v>44435</v>
      </c>
      <c r="C201" s="1" t="s">
        <v>14</v>
      </c>
      <c r="D201" s="1" t="s">
        <v>49</v>
      </c>
      <c r="E201" s="1" t="s">
        <v>12</v>
      </c>
      <c r="F201" s="1">
        <v>4449.97</v>
      </c>
      <c r="G201" s="1" t="s">
        <v>118</v>
      </c>
      <c r="H201" s="2">
        <v>22599</v>
      </c>
      <c r="I201" s="2">
        <v>44448</v>
      </c>
      <c r="J201" s="1">
        <v>4.2699999999999996</v>
      </c>
      <c r="K201" s="1">
        <f t="shared" si="12"/>
        <v>190.01371899999998</v>
      </c>
      <c r="L201" s="1">
        <f t="shared" si="13"/>
        <v>4259.9562810000007</v>
      </c>
      <c r="U201">
        <v>1777.5525150000001</v>
      </c>
      <c r="X201" s="1">
        <v>1261</v>
      </c>
      <c r="Y201" s="2">
        <v>44437</v>
      </c>
      <c r="Z201" s="1" t="str">
        <v>South</v>
      </c>
      <c r="AA201" s="1" t="str">
        <v>Laptop</v>
      </c>
      <c r="AB201" s="1" t="str">
        <v>Electronics</v>
      </c>
      <c r="AC201" s="1">
        <v>2814.81</v>
      </c>
      <c r="AD201" s="1" t="str">
        <v>Beth Landry</v>
      </c>
      <c r="AE201" s="1">
        <v>34954</v>
      </c>
      <c r="AF201" s="1">
        <v>44444</v>
      </c>
      <c r="AG201" s="1">
        <v>36.85</v>
      </c>
      <c r="AH201" s="1">
        <v>1037.2574849999999</v>
      </c>
      <c r="AI201" s="1">
        <v>1777.5525150000001</v>
      </c>
    </row>
    <row r="202" spans="1:35" x14ac:dyDescent="0.35">
      <c r="A202" s="1">
        <v>1200</v>
      </c>
      <c r="B202" s="2">
        <v>45089</v>
      </c>
      <c r="C202" s="1" t="s">
        <v>26</v>
      </c>
      <c r="D202" s="1" t="s">
        <v>11</v>
      </c>
      <c r="E202" s="1" t="s">
        <v>12</v>
      </c>
      <c r="F202" s="1">
        <v>3878.91</v>
      </c>
      <c r="G202" s="1" t="s">
        <v>83</v>
      </c>
      <c r="H202" s="2">
        <v>24673</v>
      </c>
      <c r="I202" s="2">
        <v>45096</v>
      </c>
      <c r="J202" s="1">
        <v>39.96</v>
      </c>
      <c r="K202" s="1">
        <f t="shared" si="12"/>
        <v>1550.012436</v>
      </c>
      <c r="L202" s="1">
        <f t="shared" si="13"/>
        <v>2328.8975639999999</v>
      </c>
      <c r="U202">
        <v>1965.7856099999999</v>
      </c>
      <c r="X202" s="1">
        <v>1262</v>
      </c>
      <c r="Y202" s="2">
        <v>45103</v>
      </c>
      <c r="Z202" s="1" t="str">
        <v>West</v>
      </c>
      <c r="AA202" s="1" t="str">
        <v>Table</v>
      </c>
      <c r="AB202" s="1" t="str">
        <v>Furniture</v>
      </c>
      <c r="AC202" s="1">
        <v>2491.4899999999998</v>
      </c>
      <c r="AD202" s="1" t="str">
        <v>Matthew Baird</v>
      </c>
      <c r="AE202" s="1">
        <v>35658</v>
      </c>
      <c r="AF202" s="1">
        <v>45113</v>
      </c>
      <c r="AG202" s="1">
        <v>21.1</v>
      </c>
      <c r="AH202" s="1">
        <v>525.70438999999999</v>
      </c>
      <c r="AI202" s="1">
        <v>1965.7856099999999</v>
      </c>
    </row>
    <row r="203" spans="1:35" x14ac:dyDescent="0.35">
      <c r="A203" s="1">
        <v>1201</v>
      </c>
      <c r="B203" s="2">
        <v>44968</v>
      </c>
      <c r="C203" s="1" t="s">
        <v>21</v>
      </c>
      <c r="D203" s="1" t="s">
        <v>38</v>
      </c>
      <c r="E203" s="1" t="s">
        <v>28</v>
      </c>
      <c r="F203" s="1">
        <v>3955.84</v>
      </c>
      <c r="G203" s="1" t="s">
        <v>194</v>
      </c>
      <c r="H203" s="2">
        <v>22210</v>
      </c>
      <c r="I203" s="2">
        <v>44969</v>
      </c>
      <c r="J203" s="1">
        <v>18.329999999999998</v>
      </c>
      <c r="K203" s="1">
        <f t="shared" si="12"/>
        <v>725.10547199999996</v>
      </c>
      <c r="L203" s="1">
        <f t="shared" si="13"/>
        <v>3230.734528</v>
      </c>
      <c r="U203">
        <v>1805.1230220000002</v>
      </c>
      <c r="X203" s="1">
        <v>1263</v>
      </c>
      <c r="Y203" s="2">
        <v>44413</v>
      </c>
      <c r="Z203" s="1" t="str">
        <v>North</v>
      </c>
      <c r="AA203" s="1" t="str">
        <v>Tablet</v>
      </c>
      <c r="AB203" s="1" t="str">
        <v>Electronics</v>
      </c>
      <c r="AC203" s="1">
        <v>3097.86</v>
      </c>
      <c r="AD203" s="1" t="str">
        <v>Aaron Smith</v>
      </c>
      <c r="AE203" s="1">
        <v>23470</v>
      </c>
      <c r="AF203" s="1">
        <v>44419</v>
      </c>
      <c r="AG203" s="1">
        <v>41.73</v>
      </c>
      <c r="AH203" s="1">
        <v>1292.7369779999999</v>
      </c>
      <c r="AI203" s="1">
        <v>1805.1230220000002</v>
      </c>
    </row>
    <row r="204" spans="1:35" x14ac:dyDescent="0.35">
      <c r="A204" s="1">
        <v>1202</v>
      </c>
      <c r="B204" s="2">
        <v>44175</v>
      </c>
      <c r="C204" s="1" t="s">
        <v>26</v>
      </c>
      <c r="D204" s="1" t="s">
        <v>69</v>
      </c>
      <c r="E204" s="1" t="s">
        <v>31</v>
      </c>
      <c r="F204" s="1">
        <v>1511.72</v>
      </c>
      <c r="G204" s="1" t="s">
        <v>195</v>
      </c>
      <c r="H204" s="2">
        <v>28065</v>
      </c>
      <c r="I204" s="2">
        <v>44187</v>
      </c>
      <c r="J204" s="1">
        <v>39.659999999999997</v>
      </c>
      <c r="K204" s="1">
        <f t="shared" si="12"/>
        <v>599.54815199999996</v>
      </c>
      <c r="L204" s="1">
        <f t="shared" si="13"/>
        <v>912.17184800000007</v>
      </c>
      <c r="U204">
        <v>2637.6487200000001</v>
      </c>
      <c r="X204" s="1">
        <v>1265</v>
      </c>
      <c r="Y204" s="2">
        <v>45103</v>
      </c>
      <c r="Z204" s="1" t="str">
        <v>Central</v>
      </c>
      <c r="AA204" s="1" t="str">
        <v>Laptop</v>
      </c>
      <c r="AB204" s="1" t="str">
        <v>Electronics</v>
      </c>
      <c r="AC204" s="1">
        <v>3658.32</v>
      </c>
      <c r="AD204" s="1" t="str">
        <v>Kirsten Wilkins</v>
      </c>
      <c r="AE204" s="1">
        <v>25430</v>
      </c>
      <c r="AF204" s="1">
        <v>45116</v>
      </c>
      <c r="AG204" s="1">
        <v>27.9</v>
      </c>
      <c r="AH204" s="1">
        <v>1020.6712799999999</v>
      </c>
      <c r="AI204" s="1">
        <v>2637.6487200000001</v>
      </c>
    </row>
    <row r="205" spans="1:35" x14ac:dyDescent="0.35">
      <c r="A205" s="1">
        <v>1203</v>
      </c>
      <c r="B205" s="2">
        <v>45345</v>
      </c>
      <c r="C205" s="1" t="s">
        <v>35</v>
      </c>
      <c r="D205" s="1" t="s">
        <v>44</v>
      </c>
      <c r="E205" s="1" t="s">
        <v>16</v>
      </c>
      <c r="F205" s="1">
        <v>2358</v>
      </c>
      <c r="G205" s="1" t="s">
        <v>122</v>
      </c>
      <c r="H205" s="2">
        <v>29720</v>
      </c>
      <c r="I205" s="2">
        <v>45346</v>
      </c>
      <c r="J205" s="1">
        <v>47.61</v>
      </c>
      <c r="K205" s="1">
        <f t="shared" si="12"/>
        <v>1122.6437999999998</v>
      </c>
      <c r="L205" s="1">
        <f t="shared" si="13"/>
        <v>1235.3562000000002</v>
      </c>
      <c r="U205">
        <v>2724.1193200000002</v>
      </c>
      <c r="X205" s="1">
        <v>1266</v>
      </c>
      <c r="Y205" s="2">
        <v>45878</v>
      </c>
      <c r="Z205" s="1" t="str">
        <v>Central</v>
      </c>
      <c r="AA205" s="1" t="str">
        <v>Oil</v>
      </c>
      <c r="AB205" s="1" t="str">
        <v>Groceries</v>
      </c>
      <c r="AC205" s="1">
        <v>4570.67</v>
      </c>
      <c r="AD205" s="1" t="str">
        <v>Cynthia Brown</v>
      </c>
      <c r="AE205" s="1">
        <v>35407</v>
      </c>
      <c r="AF205" s="1">
        <v>45880</v>
      </c>
      <c r="AG205" s="1">
        <v>40.4</v>
      </c>
      <c r="AH205" s="1">
        <v>1846.5506799999998</v>
      </c>
      <c r="AI205" s="1">
        <v>2724.1193200000002</v>
      </c>
    </row>
    <row r="206" spans="1:35" x14ac:dyDescent="0.35">
      <c r="A206" s="1">
        <v>1204</v>
      </c>
      <c r="B206" s="2">
        <v>44468</v>
      </c>
      <c r="C206" s="1" t="s">
        <v>26</v>
      </c>
      <c r="D206" s="1" t="s">
        <v>65</v>
      </c>
      <c r="E206" s="1" t="s">
        <v>19</v>
      </c>
      <c r="F206" s="1">
        <v>4910.2700000000004</v>
      </c>
      <c r="G206" s="1" t="s">
        <v>173</v>
      </c>
      <c r="H206" s="2">
        <v>22016</v>
      </c>
      <c r="I206" s="2">
        <v>44481</v>
      </c>
      <c r="J206" s="1">
        <v>0.52</v>
      </c>
      <c r="K206" s="1">
        <f t="shared" si="12"/>
        <v>25.533404000000001</v>
      </c>
      <c r="L206" s="1">
        <f t="shared" si="13"/>
        <v>4884.7365960000006</v>
      </c>
      <c r="U206">
        <v>1080.750366</v>
      </c>
      <c r="X206" s="1">
        <v>1268</v>
      </c>
      <c r="Y206" s="2">
        <v>44776</v>
      </c>
      <c r="Z206" s="1" t="str">
        <v>West</v>
      </c>
      <c r="AA206" s="1" t="str">
        <v>Shoes</v>
      </c>
      <c r="AB206" s="1" t="str">
        <v>Sports</v>
      </c>
      <c r="AC206" s="1">
        <v>1206.06</v>
      </c>
      <c r="AD206" s="1" t="str">
        <v>Wesley Olson</v>
      </c>
      <c r="AE206" s="1">
        <v>27166</v>
      </c>
      <c r="AF206" s="1">
        <v>44782</v>
      </c>
      <c r="AG206" s="1">
        <v>10.39</v>
      </c>
      <c r="AH206" s="1">
        <v>125.309634</v>
      </c>
      <c r="AI206" s="1">
        <v>1080.750366</v>
      </c>
    </row>
    <row r="207" spans="1:35" x14ac:dyDescent="0.35">
      <c r="A207" s="1">
        <v>1205</v>
      </c>
      <c r="B207" s="2">
        <v>44575</v>
      </c>
      <c r="C207" s="1" t="s">
        <v>21</v>
      </c>
      <c r="D207" s="1" t="s">
        <v>69</v>
      </c>
      <c r="E207" s="1" t="s">
        <v>31</v>
      </c>
      <c r="F207" s="1">
        <v>654.83000000000004</v>
      </c>
      <c r="G207" s="1" t="s">
        <v>196</v>
      </c>
      <c r="H207" s="2">
        <v>26300</v>
      </c>
      <c r="I207" s="2">
        <v>44588</v>
      </c>
      <c r="J207" s="1">
        <v>27.19</v>
      </c>
      <c r="K207" s="1">
        <f t="shared" si="12"/>
        <v>178.04827700000004</v>
      </c>
      <c r="L207" s="1">
        <f t="shared" si="13"/>
        <v>476.781723</v>
      </c>
      <c r="U207">
        <v>1844.7740819999999</v>
      </c>
      <c r="X207" s="1">
        <v>1270</v>
      </c>
      <c r="Y207" s="2">
        <v>44757</v>
      </c>
      <c r="Z207" s="1" t="str">
        <v>Central</v>
      </c>
      <c r="AA207" s="1" t="str">
        <v>Wardrobe</v>
      </c>
      <c r="AB207" s="1" t="str">
        <v>Furniture</v>
      </c>
      <c r="AC207" s="1">
        <v>1878.78</v>
      </c>
      <c r="AD207" s="1" t="str">
        <v>Brittany Allen</v>
      </c>
      <c r="AE207" s="1">
        <v>24670</v>
      </c>
      <c r="AF207" s="1">
        <v>44766</v>
      </c>
      <c r="AG207" s="1">
        <v>1.81</v>
      </c>
      <c r="AH207" s="1">
        <v>34.005918000000001</v>
      </c>
      <c r="AI207" s="1">
        <v>1844.7740819999999</v>
      </c>
    </row>
    <row r="208" spans="1:35" x14ac:dyDescent="0.35">
      <c r="A208" s="1">
        <v>1206</v>
      </c>
      <c r="B208" s="2">
        <v>45665</v>
      </c>
      <c r="C208" s="1" t="s">
        <v>14</v>
      </c>
      <c r="D208" s="1" t="s">
        <v>47</v>
      </c>
      <c r="E208" s="1" t="s">
        <v>12</v>
      </c>
      <c r="F208" s="1">
        <v>871.1</v>
      </c>
      <c r="G208" s="1" t="s">
        <v>197</v>
      </c>
      <c r="H208" s="2">
        <v>26001</v>
      </c>
      <c r="I208" s="2">
        <v>45667</v>
      </c>
      <c r="J208" s="1">
        <v>42.4</v>
      </c>
      <c r="K208" s="1">
        <f t="shared" si="12"/>
        <v>369.34640000000002</v>
      </c>
      <c r="L208" s="1">
        <f t="shared" si="13"/>
        <v>501.75360000000001</v>
      </c>
      <c r="U208">
        <v>1951.4234299999998</v>
      </c>
      <c r="X208" s="1">
        <v>1272</v>
      </c>
      <c r="Y208" s="2">
        <v>45875</v>
      </c>
      <c r="Z208" s="1" t="str">
        <v>North</v>
      </c>
      <c r="AA208" s="1" t="str">
        <v>Tennis Racket</v>
      </c>
      <c r="AB208" s="1" t="str">
        <v>Sports</v>
      </c>
      <c r="AC208" s="1">
        <v>3347.21</v>
      </c>
      <c r="AD208" s="1" t="str">
        <v>Jason Davidson</v>
      </c>
      <c r="AE208" s="1">
        <v>34016</v>
      </c>
      <c r="AF208" s="1">
        <v>45880</v>
      </c>
      <c r="AG208" s="1">
        <v>41.7</v>
      </c>
      <c r="AH208" s="1">
        <v>1395.7865700000002</v>
      </c>
      <c r="AI208" s="1">
        <v>1951.4234299999998</v>
      </c>
    </row>
    <row r="209" spans="1:35" x14ac:dyDescent="0.35">
      <c r="A209" s="1">
        <v>1207</v>
      </c>
      <c r="B209" s="2">
        <v>44585</v>
      </c>
      <c r="C209" s="1" t="s">
        <v>10</v>
      </c>
      <c r="D209" s="1" t="s">
        <v>30</v>
      </c>
      <c r="E209" s="1" t="s">
        <v>31</v>
      </c>
      <c r="F209" s="1">
        <v>2724.62</v>
      </c>
      <c r="G209" s="1" t="s">
        <v>198</v>
      </c>
      <c r="H209" s="2">
        <v>31598</v>
      </c>
      <c r="I209" s="2">
        <v>44599</v>
      </c>
      <c r="J209" s="1">
        <v>39.33</v>
      </c>
      <c r="K209" s="1">
        <f t="shared" si="12"/>
        <v>1071.593046</v>
      </c>
      <c r="L209" s="1">
        <f t="shared" si="13"/>
        <v>1653.0269539999999</v>
      </c>
      <c r="U209">
        <v>2087.3383650000001</v>
      </c>
      <c r="X209" s="1">
        <v>1273</v>
      </c>
      <c r="Y209" s="2">
        <v>45857</v>
      </c>
      <c r="Z209" s="1" t="str">
        <v>East</v>
      </c>
      <c r="AA209" s="1" t="str">
        <v>Chair</v>
      </c>
      <c r="AB209" s="1" t="str">
        <v>Furniture</v>
      </c>
      <c r="AC209" s="1">
        <v>2890.65</v>
      </c>
      <c r="AD209" s="1" t="str">
        <v>Caitlin Crane</v>
      </c>
      <c r="AE209" s="1">
        <v>33332</v>
      </c>
      <c r="AF209" s="1">
        <v>45868</v>
      </c>
      <c r="AG209" s="1">
        <v>27.79</v>
      </c>
      <c r="AH209" s="1">
        <v>803.31163500000002</v>
      </c>
      <c r="AI209" s="1">
        <v>2087.3383650000001</v>
      </c>
    </row>
    <row r="210" spans="1:35" x14ac:dyDescent="0.35">
      <c r="A210" s="1">
        <v>1208</v>
      </c>
      <c r="B210" s="2">
        <v>45028</v>
      </c>
      <c r="C210" s="1" t="s">
        <v>14</v>
      </c>
      <c r="D210" s="1" t="s">
        <v>36</v>
      </c>
      <c r="E210" s="1" t="s">
        <v>28</v>
      </c>
      <c r="F210" s="1">
        <v>1636.83</v>
      </c>
      <c r="G210" s="1" t="s">
        <v>199</v>
      </c>
      <c r="H210" s="2">
        <v>25341</v>
      </c>
      <c r="I210" s="2">
        <v>45040</v>
      </c>
      <c r="J210" s="1">
        <v>11.01</v>
      </c>
      <c r="K210" s="1">
        <f t="shared" si="12"/>
        <v>180.21498299999999</v>
      </c>
      <c r="L210" s="1">
        <f t="shared" si="13"/>
        <v>1456.6150169999999</v>
      </c>
      <c r="U210">
        <v>2738.1949960000002</v>
      </c>
      <c r="X210" s="1">
        <v>1274</v>
      </c>
      <c r="Y210" s="2">
        <v>45696</v>
      </c>
      <c r="Z210" s="1" t="str">
        <v>East</v>
      </c>
      <c r="AA210" s="1" t="str">
        <v>Football</v>
      </c>
      <c r="AB210" s="1" t="str">
        <v>Sports</v>
      </c>
      <c r="AC210" s="1">
        <v>3258.98</v>
      </c>
      <c r="AD210" s="1" t="str">
        <v>Patrick Woods</v>
      </c>
      <c r="AE210" s="1">
        <v>34932</v>
      </c>
      <c r="AF210" s="1">
        <v>45701</v>
      </c>
      <c r="AG210" s="1">
        <v>15.98</v>
      </c>
      <c r="AH210" s="1">
        <v>520.78500399999996</v>
      </c>
      <c r="AI210" s="1">
        <v>2738.1949960000002</v>
      </c>
    </row>
    <row r="211" spans="1:35" x14ac:dyDescent="0.35">
      <c r="A211" s="1">
        <v>1209</v>
      </c>
      <c r="B211" s="2">
        <v>44543</v>
      </c>
      <c r="C211" s="1" t="s">
        <v>10</v>
      </c>
      <c r="D211" s="1" t="s">
        <v>65</v>
      </c>
      <c r="E211" s="1" t="s">
        <v>19</v>
      </c>
      <c r="F211" s="1">
        <v>173.02</v>
      </c>
      <c r="G211" s="1" t="s">
        <v>200</v>
      </c>
      <c r="H211" s="2">
        <v>30222</v>
      </c>
      <c r="I211" s="2">
        <v>44553</v>
      </c>
      <c r="J211" s="1">
        <v>15.94</v>
      </c>
      <c r="K211" s="1">
        <f t="shared" si="12"/>
        <v>27.579387999999998</v>
      </c>
      <c r="L211" s="1">
        <f t="shared" si="13"/>
        <v>145.44061200000002</v>
      </c>
      <c r="U211">
        <v>1578.0847999999999</v>
      </c>
      <c r="X211" s="1">
        <v>1275</v>
      </c>
      <c r="Y211" s="2">
        <v>45724</v>
      </c>
      <c r="Z211" s="1" t="str">
        <v>West</v>
      </c>
      <c r="AA211" s="1" t="str">
        <v>Football</v>
      </c>
      <c r="AB211" s="1" t="str">
        <v>Sports</v>
      </c>
      <c r="AC211" s="1">
        <v>2674.72</v>
      </c>
      <c r="AD211" s="1" t="str">
        <v>Troy Kelley</v>
      </c>
      <c r="AE211" s="1">
        <v>29348</v>
      </c>
      <c r="AF211" s="1">
        <v>45730</v>
      </c>
      <c r="AG211" s="1">
        <v>41</v>
      </c>
      <c r="AH211" s="1">
        <v>1096.6351999999999</v>
      </c>
      <c r="AI211" s="1">
        <v>1578.0847999999999</v>
      </c>
    </row>
    <row r="212" spans="1:35" x14ac:dyDescent="0.35">
      <c r="A212" s="1">
        <v>1210</v>
      </c>
      <c r="B212" s="2">
        <v>44387</v>
      </c>
      <c r="C212" s="1" t="s">
        <v>35</v>
      </c>
      <c r="D212" s="1" t="s">
        <v>61</v>
      </c>
      <c r="E212" s="1" t="s">
        <v>19</v>
      </c>
      <c r="F212" s="1">
        <v>3390.55</v>
      </c>
      <c r="G212" s="1" t="s">
        <v>201</v>
      </c>
      <c r="H212" s="2">
        <v>23469</v>
      </c>
      <c r="I212" s="2">
        <v>44389</v>
      </c>
      <c r="J212" s="1">
        <v>16.8</v>
      </c>
      <c r="K212" s="1">
        <f t="shared" si="12"/>
        <v>569.61240000000009</v>
      </c>
      <c r="L212" s="1">
        <f t="shared" si="13"/>
        <v>2820.9376000000002</v>
      </c>
      <c r="U212">
        <v>1607.166387</v>
      </c>
      <c r="X212" s="1">
        <v>1276</v>
      </c>
      <c r="Y212" s="2">
        <v>45664</v>
      </c>
      <c r="Z212" s="1" t="str">
        <v>Central</v>
      </c>
      <c r="AA212" s="1" t="str">
        <v>Tennis Racket</v>
      </c>
      <c r="AB212" s="1" t="str">
        <v>Sports</v>
      </c>
      <c r="AC212" s="1">
        <v>2605.23</v>
      </c>
      <c r="AD212" s="1" t="str">
        <v>Debra Jones</v>
      </c>
      <c r="AE212" s="1">
        <v>25811</v>
      </c>
      <c r="AF212" s="1">
        <v>45671</v>
      </c>
      <c r="AG212" s="1">
        <v>38.31</v>
      </c>
      <c r="AH212" s="1">
        <v>998.06361300000003</v>
      </c>
      <c r="AI212" s="1">
        <v>1607.166387</v>
      </c>
    </row>
    <row r="213" spans="1:35" x14ac:dyDescent="0.35">
      <c r="A213" s="1">
        <v>1211</v>
      </c>
      <c r="B213" s="2">
        <v>44412</v>
      </c>
      <c r="C213" s="1" t="s">
        <v>14</v>
      </c>
      <c r="D213" s="1" t="s">
        <v>53</v>
      </c>
      <c r="E213" s="1" t="s">
        <v>28</v>
      </c>
      <c r="F213" s="1">
        <v>2135.7600000000002</v>
      </c>
      <c r="G213" s="1" t="s">
        <v>202</v>
      </c>
      <c r="H213" s="2">
        <v>24802</v>
      </c>
      <c r="I213" s="2">
        <v>44426</v>
      </c>
      <c r="J213" s="1">
        <v>38.24</v>
      </c>
      <c r="K213" s="1">
        <f t="shared" si="12"/>
        <v>816.71462400000007</v>
      </c>
      <c r="L213" s="1">
        <f t="shared" si="13"/>
        <v>1319.045376</v>
      </c>
      <c r="U213">
        <v>1775.5990239999999</v>
      </c>
      <c r="X213" s="1">
        <v>1278</v>
      </c>
      <c r="Y213" s="2">
        <v>45112</v>
      </c>
      <c r="Z213" s="1" t="str">
        <v>North</v>
      </c>
      <c r="AA213" s="1" t="str">
        <v>Milk</v>
      </c>
      <c r="AB213" s="1" t="str">
        <v>Groceries</v>
      </c>
      <c r="AC213" s="1">
        <v>1792.81</v>
      </c>
      <c r="AD213" s="1" t="str">
        <v>Colin Garcia</v>
      </c>
      <c r="AE213" s="1">
        <v>37783</v>
      </c>
      <c r="AF213" s="1">
        <v>45114</v>
      </c>
      <c r="AG213" s="1">
        <v>0.96</v>
      </c>
      <c r="AH213" s="1">
        <v>17.210975999999999</v>
      </c>
      <c r="AI213" s="1">
        <v>1775.5990239999999</v>
      </c>
    </row>
    <row r="214" spans="1:35" x14ac:dyDescent="0.35">
      <c r="A214" s="1">
        <v>1212</v>
      </c>
      <c r="B214" s="2">
        <v>45875</v>
      </c>
      <c r="C214" s="1" t="s">
        <v>35</v>
      </c>
      <c r="D214" s="1" t="s">
        <v>58</v>
      </c>
      <c r="E214" s="1" t="s">
        <v>31</v>
      </c>
      <c r="F214" s="1">
        <v>4735.45</v>
      </c>
      <c r="G214" s="1" t="s">
        <v>165</v>
      </c>
      <c r="H214" s="2">
        <v>29887</v>
      </c>
      <c r="I214" s="2">
        <v>45888</v>
      </c>
      <c r="J214" s="1">
        <v>31.17</v>
      </c>
      <c r="K214" s="1">
        <f t="shared" si="12"/>
        <v>1476.039765</v>
      </c>
      <c r="L214" s="1">
        <f t="shared" si="13"/>
        <v>3259.4102349999998</v>
      </c>
      <c r="U214">
        <v>1088.6992289999998</v>
      </c>
      <c r="X214" s="1">
        <v>1281</v>
      </c>
      <c r="Y214" s="2">
        <v>44602</v>
      </c>
      <c r="Z214" s="1" t="str">
        <v>Central</v>
      </c>
      <c r="AA214" s="1" t="str">
        <v>Tablet</v>
      </c>
      <c r="AB214" s="1" t="str">
        <v>Electronics</v>
      </c>
      <c r="AC214" s="1">
        <v>1739.97</v>
      </c>
      <c r="AD214" s="1" t="str">
        <v>Brandon King</v>
      </c>
      <c r="AE214" s="1">
        <v>34364</v>
      </c>
      <c r="AF214" s="1">
        <v>44608</v>
      </c>
      <c r="AG214" s="1">
        <v>37.43</v>
      </c>
      <c r="AH214" s="1">
        <v>651.27077100000008</v>
      </c>
      <c r="AI214" s="1">
        <v>1088.6992289999998</v>
      </c>
    </row>
    <row r="215" spans="1:35" x14ac:dyDescent="0.35">
      <c r="A215" s="1">
        <v>1213</v>
      </c>
      <c r="B215" s="2">
        <v>44481</v>
      </c>
      <c r="C215" s="1" t="s">
        <v>10</v>
      </c>
      <c r="D215" s="1" t="s">
        <v>69</v>
      </c>
      <c r="E215" s="1" t="s">
        <v>31</v>
      </c>
      <c r="F215" s="1">
        <v>2889.24</v>
      </c>
      <c r="G215" s="1" t="s">
        <v>13</v>
      </c>
      <c r="H215" s="2">
        <v>24348</v>
      </c>
      <c r="I215" s="2">
        <v>44488</v>
      </c>
      <c r="J215" s="1">
        <v>28.37</v>
      </c>
      <c r="K215" s="1">
        <f t="shared" si="12"/>
        <v>819.67738799999995</v>
      </c>
      <c r="L215" s="1">
        <f t="shared" si="13"/>
        <v>2069.5626119999997</v>
      </c>
      <c r="U215">
        <v>1254.7164130000001</v>
      </c>
      <c r="X215" s="1">
        <v>1283</v>
      </c>
      <c r="Y215" s="2">
        <v>45017</v>
      </c>
      <c r="Z215" s="1" t="str">
        <v>East</v>
      </c>
      <c r="AA215" s="1" t="str">
        <v>Oil</v>
      </c>
      <c r="AB215" s="1" t="str">
        <v>Groceries</v>
      </c>
      <c r="AC215" s="1">
        <v>1815.01</v>
      </c>
      <c r="AD215" s="1" t="str">
        <v>Kyle Thomas</v>
      </c>
      <c r="AE215" s="1">
        <v>29541</v>
      </c>
      <c r="AF215" s="1">
        <v>45031</v>
      </c>
      <c r="AG215" s="1">
        <v>30.87</v>
      </c>
      <c r="AH215" s="1">
        <v>560.293587</v>
      </c>
      <c r="AI215" s="1">
        <v>1254.7164130000001</v>
      </c>
    </row>
    <row r="216" spans="1:35" x14ac:dyDescent="0.35">
      <c r="A216" s="1">
        <v>1214</v>
      </c>
      <c r="B216" s="2">
        <v>45507</v>
      </c>
      <c r="C216" s="1" t="s">
        <v>21</v>
      </c>
      <c r="D216" s="1" t="s">
        <v>22</v>
      </c>
      <c r="E216" s="1" t="s">
        <v>19</v>
      </c>
      <c r="F216" s="1">
        <v>3022.9</v>
      </c>
      <c r="G216" s="1" t="s">
        <v>170</v>
      </c>
      <c r="H216" s="2">
        <v>34205</v>
      </c>
      <c r="I216" s="2">
        <v>45521</v>
      </c>
      <c r="J216" s="1">
        <v>47.72</v>
      </c>
      <c r="K216" s="1">
        <f t="shared" si="12"/>
        <v>1442.5278800000001</v>
      </c>
      <c r="L216" s="1">
        <f t="shared" si="13"/>
        <v>1580.37212</v>
      </c>
      <c r="U216">
        <v>2884.27909</v>
      </c>
      <c r="X216" s="1">
        <v>1284</v>
      </c>
      <c r="Y216" s="2">
        <v>45082</v>
      </c>
      <c r="Z216" s="1" t="str">
        <v>West</v>
      </c>
      <c r="AA216" s="1" t="str">
        <v>Cricket Bat</v>
      </c>
      <c r="AB216" s="1" t="str">
        <v>Sports</v>
      </c>
      <c r="AC216" s="1">
        <v>3756.55</v>
      </c>
      <c r="AD216" s="1" t="str">
        <v>Mrs. Rebecca Young</v>
      </c>
      <c r="AE216" s="1">
        <v>30820</v>
      </c>
      <c r="AF216" s="1">
        <v>45088</v>
      </c>
      <c r="AG216" s="1">
        <v>23.22</v>
      </c>
      <c r="AH216" s="1">
        <v>872.27090999999996</v>
      </c>
      <c r="AI216" s="1">
        <v>2884.27909</v>
      </c>
    </row>
    <row r="217" spans="1:35" x14ac:dyDescent="0.35">
      <c r="A217" s="1">
        <v>1215</v>
      </c>
      <c r="B217" s="2">
        <v>45473</v>
      </c>
      <c r="C217" s="1" t="s">
        <v>35</v>
      </c>
      <c r="D217" s="1" t="s">
        <v>11</v>
      </c>
      <c r="E217" s="1" t="s">
        <v>12</v>
      </c>
      <c r="F217" s="1">
        <v>4188.75</v>
      </c>
      <c r="G217" s="1" t="s">
        <v>203</v>
      </c>
      <c r="H217" s="2">
        <v>34357</v>
      </c>
      <c r="I217" s="2">
        <v>45475</v>
      </c>
      <c r="J217" s="1">
        <v>38.21</v>
      </c>
      <c r="K217" s="1">
        <f t="shared" si="12"/>
        <v>1600.521375</v>
      </c>
      <c r="L217" s="1">
        <f t="shared" si="13"/>
        <v>2588.2286249999997</v>
      </c>
      <c r="U217">
        <v>1574.1624999999999</v>
      </c>
      <c r="X217" s="1">
        <v>1286</v>
      </c>
      <c r="Y217" s="2">
        <v>45456</v>
      </c>
      <c r="Z217" s="1" t="str">
        <v>Central</v>
      </c>
      <c r="AA217" s="1" t="str">
        <v>Shoes</v>
      </c>
      <c r="AB217" s="1" t="str">
        <v>Clothing</v>
      </c>
      <c r="AC217" s="1">
        <v>2518.66</v>
      </c>
      <c r="AD217" s="1" t="str">
        <v>Robert Jones</v>
      </c>
      <c r="AE217" s="1">
        <v>32047</v>
      </c>
      <c r="AF217" s="1">
        <v>45468</v>
      </c>
      <c r="AG217" s="1">
        <v>37.5</v>
      </c>
      <c r="AH217" s="1">
        <v>944.49749999999995</v>
      </c>
      <c r="AI217" s="1">
        <v>1574.1624999999999</v>
      </c>
    </row>
    <row r="218" spans="1:35" x14ac:dyDescent="0.35">
      <c r="A218" s="1">
        <v>1216</v>
      </c>
      <c r="B218" s="2">
        <v>44675</v>
      </c>
      <c r="C218" s="1" t="s">
        <v>26</v>
      </c>
      <c r="D218" s="1" t="s">
        <v>49</v>
      </c>
      <c r="E218" s="1" t="s">
        <v>12</v>
      </c>
      <c r="F218" s="1">
        <v>2073.79</v>
      </c>
      <c r="G218" s="1" t="s">
        <v>77</v>
      </c>
      <c r="H218" s="2">
        <v>38696</v>
      </c>
      <c r="I218" s="2">
        <v>44682</v>
      </c>
      <c r="J218" s="1">
        <v>25.62</v>
      </c>
      <c r="K218" s="1">
        <f t="shared" si="12"/>
        <v>531.30499799999996</v>
      </c>
      <c r="L218" s="1">
        <f t="shared" si="13"/>
        <v>1542.4850019999999</v>
      </c>
      <c r="U218">
        <v>1926.3668100000002</v>
      </c>
      <c r="X218" s="1">
        <v>1288</v>
      </c>
      <c r="Y218" s="2">
        <v>44486</v>
      </c>
      <c r="Z218" s="1" t="str">
        <v>West</v>
      </c>
      <c r="AA218" s="1" t="str">
        <v>Bed</v>
      </c>
      <c r="AB218" s="1" t="str">
        <v>Furniture</v>
      </c>
      <c r="AC218" s="1">
        <v>2583.3000000000002</v>
      </c>
      <c r="AD218" s="1" t="str">
        <v>Colin White</v>
      </c>
      <c r="AE218" s="1">
        <v>34345</v>
      </c>
      <c r="AF218" s="1">
        <v>44493</v>
      </c>
      <c r="AG218" s="1">
        <v>25.43</v>
      </c>
      <c r="AH218" s="1">
        <v>656.93318999999997</v>
      </c>
      <c r="AI218" s="1">
        <v>1926.3668100000002</v>
      </c>
    </row>
    <row r="219" spans="1:35" x14ac:dyDescent="0.35">
      <c r="A219" s="1">
        <v>1217</v>
      </c>
      <c r="B219" s="2">
        <v>44521</v>
      </c>
      <c r="C219" s="1" t="s">
        <v>14</v>
      </c>
      <c r="D219" s="1" t="s">
        <v>73</v>
      </c>
      <c r="E219" s="1" t="s">
        <v>28</v>
      </c>
      <c r="F219" s="1">
        <v>2237.83</v>
      </c>
      <c r="G219" s="1" t="s">
        <v>137</v>
      </c>
      <c r="H219" s="2">
        <v>36905</v>
      </c>
      <c r="I219" s="2">
        <v>44524</v>
      </c>
      <c r="J219" s="1">
        <v>4.8600000000000003</v>
      </c>
      <c r="K219" s="1">
        <f t="shared" si="12"/>
        <v>108.758538</v>
      </c>
      <c r="L219" s="1">
        <f t="shared" si="13"/>
        <v>2129.0714619999999</v>
      </c>
      <c r="U219">
        <v>2508.5715989999999</v>
      </c>
      <c r="X219" s="1">
        <v>1290</v>
      </c>
      <c r="Y219" s="2">
        <v>44419</v>
      </c>
      <c r="Z219" s="1" t="str">
        <v>Central</v>
      </c>
      <c r="AA219" s="1" t="str">
        <v>Cap</v>
      </c>
      <c r="AB219" s="1" t="str">
        <v>Clothing</v>
      </c>
      <c r="AC219" s="1">
        <v>3547.69</v>
      </c>
      <c r="AD219" s="1" t="str">
        <v>Troy Kelley</v>
      </c>
      <c r="AE219" s="1">
        <v>29348</v>
      </c>
      <c r="AF219" s="1">
        <v>44423</v>
      </c>
      <c r="AG219" s="1">
        <v>29.29</v>
      </c>
      <c r="AH219" s="1">
        <v>1039.1184009999999</v>
      </c>
      <c r="AI219" s="1">
        <v>2508.5715989999999</v>
      </c>
    </row>
    <row r="220" spans="1:35" x14ac:dyDescent="0.35">
      <c r="A220" s="1">
        <v>1218</v>
      </c>
      <c r="B220" s="2">
        <v>44470</v>
      </c>
      <c r="C220" s="1" t="s">
        <v>26</v>
      </c>
      <c r="D220" s="1" t="s">
        <v>24</v>
      </c>
      <c r="E220" s="1" t="s">
        <v>19</v>
      </c>
      <c r="F220" s="1">
        <v>3830.75</v>
      </c>
      <c r="G220" s="1" t="s">
        <v>204</v>
      </c>
      <c r="H220" s="2">
        <v>23718</v>
      </c>
      <c r="I220" s="2">
        <v>44475</v>
      </c>
      <c r="J220" s="1">
        <v>39.33</v>
      </c>
      <c r="K220" s="1">
        <f t="shared" si="12"/>
        <v>1506.633975</v>
      </c>
      <c r="L220" s="1">
        <f t="shared" si="13"/>
        <v>2324.1160250000003</v>
      </c>
      <c r="U220">
        <v>2351.2124719999997</v>
      </c>
      <c r="X220" s="1">
        <v>1291</v>
      </c>
      <c r="Y220" s="2">
        <v>44229</v>
      </c>
      <c r="Z220" s="1" t="str">
        <v>North</v>
      </c>
      <c r="AA220" s="1" t="str">
        <v>Tennis Racket</v>
      </c>
      <c r="AB220" s="1" t="str">
        <v>Sports</v>
      </c>
      <c r="AC220" s="1">
        <v>3240.37</v>
      </c>
      <c r="AD220" s="1" t="str">
        <v>Douglas Williams</v>
      </c>
      <c r="AE220" s="1">
        <v>38826</v>
      </c>
      <c r="AF220" s="1">
        <v>44235</v>
      </c>
      <c r="AG220" s="1">
        <v>27.44</v>
      </c>
      <c r="AH220" s="1">
        <v>889.15752800000007</v>
      </c>
      <c r="AI220" s="1">
        <v>2351.2124719999997</v>
      </c>
    </row>
    <row r="221" spans="1:35" x14ac:dyDescent="0.35">
      <c r="A221" s="1">
        <v>1219</v>
      </c>
      <c r="B221" s="2">
        <v>45412</v>
      </c>
      <c r="C221" s="1" t="s">
        <v>35</v>
      </c>
      <c r="D221" s="1" t="s">
        <v>53</v>
      </c>
      <c r="E221" s="1" t="s">
        <v>28</v>
      </c>
      <c r="F221" s="1">
        <v>808.73</v>
      </c>
      <c r="G221" s="1" t="s">
        <v>205</v>
      </c>
      <c r="H221" s="2">
        <v>27526</v>
      </c>
      <c r="I221" s="2">
        <v>45419</v>
      </c>
      <c r="J221" s="1">
        <v>8.61</v>
      </c>
      <c r="K221" s="1">
        <f t="shared" si="12"/>
        <v>69.631653</v>
      </c>
      <c r="L221" s="1">
        <f t="shared" si="13"/>
        <v>739.09834699999999</v>
      </c>
      <c r="U221">
        <v>1098.39994</v>
      </c>
      <c r="X221" s="1">
        <v>1292</v>
      </c>
      <c r="Y221" s="2">
        <v>45799</v>
      </c>
      <c r="Z221" s="1" t="str">
        <v>West</v>
      </c>
      <c r="AA221" s="1" t="str">
        <v>Shoes</v>
      </c>
      <c r="AB221" s="1" t="str">
        <v>Sports</v>
      </c>
      <c r="AC221" s="1">
        <v>1365.32</v>
      </c>
      <c r="AD221" s="1" t="str">
        <v>Stephanie Weeks</v>
      </c>
      <c r="AE221" s="1">
        <v>36951</v>
      </c>
      <c r="AF221" s="1">
        <v>45803</v>
      </c>
      <c r="AG221" s="1">
        <v>19.55</v>
      </c>
      <c r="AH221" s="1">
        <v>266.92005999999998</v>
      </c>
      <c r="AI221" s="1">
        <v>1098.39994</v>
      </c>
    </row>
    <row r="222" spans="1:35" x14ac:dyDescent="0.35">
      <c r="A222" s="1">
        <v>1220</v>
      </c>
      <c r="B222" s="2">
        <v>45194</v>
      </c>
      <c r="C222" s="1" t="s">
        <v>14</v>
      </c>
      <c r="D222" s="1" t="s">
        <v>65</v>
      </c>
      <c r="E222" s="1" t="s">
        <v>19</v>
      </c>
      <c r="F222" s="1">
        <v>3956.75</v>
      </c>
      <c r="G222" s="1" t="s">
        <v>206</v>
      </c>
      <c r="H222" s="2">
        <v>34011</v>
      </c>
      <c r="I222" s="2">
        <v>45205</v>
      </c>
      <c r="J222" s="1">
        <v>1.67</v>
      </c>
      <c r="K222" s="1">
        <f t="shared" si="12"/>
        <v>66.077725000000001</v>
      </c>
      <c r="L222" s="1">
        <f t="shared" si="13"/>
        <v>3890.6722749999999</v>
      </c>
      <c r="U222">
        <v>1616.1675</v>
      </c>
      <c r="X222" s="1">
        <v>1295</v>
      </c>
      <c r="Y222" s="2">
        <v>45791</v>
      </c>
      <c r="Z222" s="1" t="str">
        <v>Central</v>
      </c>
      <c r="AA222" s="1" t="str">
        <v>Basketball</v>
      </c>
      <c r="AB222" s="1" t="str">
        <v>Sports</v>
      </c>
      <c r="AC222" s="1">
        <v>2154.89</v>
      </c>
      <c r="AD222" s="1" t="str">
        <v>David Noble</v>
      </c>
      <c r="AE222" s="1">
        <v>22594</v>
      </c>
      <c r="AF222" s="1">
        <v>45792</v>
      </c>
      <c r="AG222" s="1">
        <v>25</v>
      </c>
      <c r="AH222" s="1">
        <v>538.72249999999997</v>
      </c>
      <c r="AI222" s="1">
        <v>1616.1675</v>
      </c>
    </row>
    <row r="223" spans="1:35" x14ac:dyDescent="0.35">
      <c r="A223" s="1">
        <v>1221</v>
      </c>
      <c r="B223" s="2">
        <v>45465</v>
      </c>
      <c r="C223" s="1" t="s">
        <v>14</v>
      </c>
      <c r="D223" s="1" t="s">
        <v>53</v>
      </c>
      <c r="E223" s="1" t="s">
        <v>28</v>
      </c>
      <c r="F223" s="1">
        <v>3130.27</v>
      </c>
      <c r="G223" s="1" t="s">
        <v>139</v>
      </c>
      <c r="H223" s="2">
        <v>29381</v>
      </c>
      <c r="I223" s="2">
        <v>45478</v>
      </c>
      <c r="J223" s="1">
        <v>44.53</v>
      </c>
      <c r="K223" s="1">
        <f t="shared" si="12"/>
        <v>1393.9092310000001</v>
      </c>
      <c r="L223" s="1">
        <f t="shared" si="13"/>
        <v>1736.3607689999999</v>
      </c>
      <c r="U223">
        <v>2133.5301719999998</v>
      </c>
      <c r="X223" s="1">
        <v>1296</v>
      </c>
      <c r="Y223" s="2">
        <v>45625</v>
      </c>
      <c r="Z223" s="1" t="str">
        <v>South</v>
      </c>
      <c r="AA223" s="1" t="str">
        <v>Wheat</v>
      </c>
      <c r="AB223" s="1" t="str">
        <v>Groceries</v>
      </c>
      <c r="AC223" s="1">
        <v>4002.12</v>
      </c>
      <c r="AD223" s="1" t="str">
        <v>Lucas Rodriguez</v>
      </c>
      <c r="AE223" s="1">
        <v>23890</v>
      </c>
      <c r="AF223" s="1">
        <v>45633</v>
      </c>
      <c r="AG223" s="1">
        <v>46.69</v>
      </c>
      <c r="AH223" s="1">
        <v>1868.5898279999999</v>
      </c>
      <c r="AI223" s="1">
        <v>2133.5301719999998</v>
      </c>
    </row>
    <row r="224" spans="1:35" x14ac:dyDescent="0.35">
      <c r="A224" s="1">
        <v>1222</v>
      </c>
      <c r="B224" s="2">
        <v>44808</v>
      </c>
      <c r="C224" s="1" t="s">
        <v>35</v>
      </c>
      <c r="D224" s="1" t="s">
        <v>53</v>
      </c>
      <c r="E224" s="1" t="s">
        <v>28</v>
      </c>
      <c r="F224" s="1">
        <v>3446.37</v>
      </c>
      <c r="G224" s="1" t="s">
        <v>207</v>
      </c>
      <c r="H224" s="2">
        <v>23988</v>
      </c>
      <c r="I224" s="2">
        <v>44814</v>
      </c>
      <c r="J224" s="1">
        <v>5.56</v>
      </c>
      <c r="K224" s="1">
        <f t="shared" si="12"/>
        <v>191.61817199999999</v>
      </c>
      <c r="L224" s="1">
        <f t="shared" si="13"/>
        <v>3254.7518279999999</v>
      </c>
      <c r="U224">
        <v>2886.8079929999999</v>
      </c>
      <c r="X224" s="1">
        <v>1297</v>
      </c>
      <c r="Y224" s="2">
        <v>44703</v>
      </c>
      <c r="Z224" s="1" t="str">
        <v>East</v>
      </c>
      <c r="AA224" s="1" t="str">
        <v>Headphones</v>
      </c>
      <c r="AB224" s="1" t="str">
        <v>Electronics</v>
      </c>
      <c r="AC224" s="1">
        <v>3838.33</v>
      </c>
      <c r="AD224" s="1" t="str">
        <v>Jesse Hernandez</v>
      </c>
      <c r="AE224" s="1">
        <v>27550</v>
      </c>
      <c r="AF224" s="1">
        <v>44713</v>
      </c>
      <c r="AG224" s="1">
        <v>24.79</v>
      </c>
      <c r="AH224" s="1">
        <v>951.52200699999992</v>
      </c>
      <c r="AI224" s="1">
        <v>2886.8079929999999</v>
      </c>
    </row>
    <row r="225" spans="1:35" x14ac:dyDescent="0.35">
      <c r="A225" s="1">
        <v>1223</v>
      </c>
      <c r="B225" s="2">
        <v>45167</v>
      </c>
      <c r="C225" s="1" t="s">
        <v>35</v>
      </c>
      <c r="D225" s="1" t="s">
        <v>36</v>
      </c>
      <c r="E225" s="1" t="s">
        <v>28</v>
      </c>
      <c r="F225" s="1">
        <v>2497.2600000000002</v>
      </c>
      <c r="G225" s="1" t="s">
        <v>130</v>
      </c>
      <c r="H225" s="2">
        <v>38750</v>
      </c>
      <c r="I225" s="2">
        <v>45174</v>
      </c>
      <c r="J225" s="1">
        <v>1.29</v>
      </c>
      <c r="K225" s="1">
        <f t="shared" si="12"/>
        <v>32.214654000000003</v>
      </c>
      <c r="L225" s="1">
        <f t="shared" si="13"/>
        <v>2465.0453460000003</v>
      </c>
      <c r="U225">
        <v>2152.408265</v>
      </c>
      <c r="X225" s="1">
        <v>1299</v>
      </c>
      <c r="Y225" s="2">
        <v>44819</v>
      </c>
      <c r="Z225" s="1" t="str">
        <v>West</v>
      </c>
      <c r="AA225" s="1" t="str">
        <v>Sofa</v>
      </c>
      <c r="AB225" s="1" t="str">
        <v>Furniture</v>
      </c>
      <c r="AC225" s="1">
        <v>2757.73</v>
      </c>
      <c r="AD225" s="1" t="str">
        <v>Christopher Harris</v>
      </c>
      <c r="AE225" s="1">
        <v>24792</v>
      </c>
      <c r="AF225" s="1">
        <v>44829</v>
      </c>
      <c r="AG225" s="1">
        <v>21.95</v>
      </c>
      <c r="AH225" s="1">
        <v>605.32173499999999</v>
      </c>
      <c r="AI225" s="1">
        <v>2152.408265</v>
      </c>
    </row>
    <row r="226" spans="1:35" x14ac:dyDescent="0.35">
      <c r="A226" s="1">
        <v>1224</v>
      </c>
      <c r="B226" s="2">
        <v>44083</v>
      </c>
      <c r="C226" s="1" t="s">
        <v>14</v>
      </c>
      <c r="D226" s="1" t="s">
        <v>11</v>
      </c>
      <c r="E226" s="1" t="s">
        <v>12</v>
      </c>
      <c r="F226" s="1">
        <v>851.57</v>
      </c>
      <c r="G226" s="1" t="s">
        <v>181</v>
      </c>
      <c r="H226" s="2">
        <v>25222</v>
      </c>
      <c r="I226" s="2">
        <v>44092</v>
      </c>
      <c r="J226" s="1">
        <v>7.79</v>
      </c>
      <c r="K226" s="1">
        <f t="shared" si="12"/>
        <v>66.337303000000006</v>
      </c>
      <c r="L226" s="1">
        <f t="shared" si="13"/>
        <v>785.23269700000003</v>
      </c>
      <c r="U226">
        <v>2942.0708100000002</v>
      </c>
      <c r="X226" s="1">
        <v>1300</v>
      </c>
      <c r="Y226" s="2">
        <v>45780</v>
      </c>
      <c r="Z226" s="1" t="str">
        <v>Central</v>
      </c>
      <c r="AA226" s="1" t="str">
        <v>Wardrobe</v>
      </c>
      <c r="AB226" s="1" t="str">
        <v>Furniture</v>
      </c>
      <c r="AC226" s="1">
        <v>4519.3100000000004</v>
      </c>
      <c r="AD226" s="1" t="str">
        <v>Kathryn Allen</v>
      </c>
      <c r="AE226" s="1">
        <v>32146</v>
      </c>
      <c r="AF226" s="1">
        <v>45791</v>
      </c>
      <c r="AG226" s="1">
        <v>34.9</v>
      </c>
      <c r="AH226" s="1">
        <v>1577.23919</v>
      </c>
      <c r="AI226" s="1">
        <v>2942.0708100000002</v>
      </c>
    </row>
    <row r="227" spans="1:35" x14ac:dyDescent="0.35">
      <c r="A227" s="1">
        <v>1225</v>
      </c>
      <c r="B227" s="2">
        <v>44858</v>
      </c>
      <c r="C227" s="1" t="s">
        <v>26</v>
      </c>
      <c r="D227" s="1" t="s">
        <v>33</v>
      </c>
      <c r="E227" s="1" t="s">
        <v>16</v>
      </c>
      <c r="F227" s="1">
        <v>2904.95</v>
      </c>
      <c r="G227" s="1" t="s">
        <v>124</v>
      </c>
      <c r="H227" s="2">
        <v>30786</v>
      </c>
      <c r="I227" s="2">
        <v>44860</v>
      </c>
      <c r="J227" s="1">
        <v>6.47</v>
      </c>
      <c r="K227" s="1">
        <f t="shared" si="12"/>
        <v>187.95026499999997</v>
      </c>
      <c r="L227" s="1">
        <f t="shared" si="13"/>
        <v>2716.9997349999999</v>
      </c>
      <c r="U227">
        <v>1596.213123</v>
      </c>
      <c r="X227" s="1">
        <v>1301</v>
      </c>
      <c r="Y227" s="2">
        <v>45060</v>
      </c>
      <c r="Z227" s="1" t="str">
        <v>North</v>
      </c>
      <c r="AA227" s="1" t="str">
        <v>Oil</v>
      </c>
      <c r="AB227" s="1" t="str">
        <v>Groceries</v>
      </c>
      <c r="AC227" s="1">
        <v>2137.69</v>
      </c>
      <c r="AD227" s="1" t="str">
        <v>Mark Swanson</v>
      </c>
      <c r="AE227" s="1">
        <v>36099</v>
      </c>
      <c r="AF227" s="1">
        <v>45074</v>
      </c>
      <c r="AG227" s="1">
        <v>25.33</v>
      </c>
      <c r="AH227" s="1">
        <v>541.47687699999994</v>
      </c>
      <c r="AI227" s="1">
        <v>1596.213123</v>
      </c>
    </row>
    <row r="228" spans="1:35" x14ac:dyDescent="0.35">
      <c r="A228" s="1">
        <v>1226</v>
      </c>
      <c r="B228" s="2">
        <v>45203</v>
      </c>
      <c r="C228" s="1" t="s">
        <v>26</v>
      </c>
      <c r="D228" s="1" t="s">
        <v>47</v>
      </c>
      <c r="E228" s="1" t="s">
        <v>12</v>
      </c>
      <c r="F228" s="1">
        <v>513.84</v>
      </c>
      <c r="G228" s="1" t="s">
        <v>113</v>
      </c>
      <c r="H228" s="2">
        <v>25579</v>
      </c>
      <c r="I228" s="2">
        <v>45214</v>
      </c>
      <c r="J228" s="1">
        <v>49.58</v>
      </c>
      <c r="K228" s="1">
        <f t="shared" si="12"/>
        <v>254.76187199999998</v>
      </c>
      <c r="L228" s="1">
        <f t="shared" si="13"/>
        <v>259.07812800000005</v>
      </c>
      <c r="U228">
        <v>2402.870085</v>
      </c>
      <c r="X228" s="1">
        <v>1302</v>
      </c>
      <c r="Y228" s="2">
        <v>44344</v>
      </c>
      <c r="Z228" s="1" t="str">
        <v>West</v>
      </c>
      <c r="AA228" s="1" t="str">
        <v>Table</v>
      </c>
      <c r="AB228" s="1" t="str">
        <v>Furniture</v>
      </c>
      <c r="AC228" s="1">
        <v>3401.09</v>
      </c>
      <c r="AD228" s="1" t="str">
        <v>Melissa Moreno</v>
      </c>
      <c r="AE228" s="1">
        <v>25579</v>
      </c>
      <c r="AF228" s="1">
        <v>44348</v>
      </c>
      <c r="AG228" s="1">
        <v>29.35</v>
      </c>
      <c r="AH228" s="1">
        <v>998.21991500000013</v>
      </c>
      <c r="AI228" s="1">
        <v>2402.870085</v>
      </c>
    </row>
    <row r="229" spans="1:35" x14ac:dyDescent="0.35">
      <c r="A229" s="1">
        <v>1227</v>
      </c>
      <c r="B229" s="2">
        <v>45737</v>
      </c>
      <c r="C229" s="1" t="s">
        <v>35</v>
      </c>
      <c r="D229" s="1" t="s">
        <v>47</v>
      </c>
      <c r="E229" s="1" t="s">
        <v>12</v>
      </c>
      <c r="F229" s="1">
        <v>4335.8</v>
      </c>
      <c r="G229" s="1" t="s">
        <v>208</v>
      </c>
      <c r="H229" s="2">
        <v>32188</v>
      </c>
      <c r="I229" s="2">
        <v>45750</v>
      </c>
      <c r="J229" s="1">
        <v>9.0299999999999994</v>
      </c>
      <c r="K229" s="1">
        <f t="shared" si="12"/>
        <v>391.52274</v>
      </c>
      <c r="L229" s="1">
        <f t="shared" si="13"/>
        <v>3944.2772600000003</v>
      </c>
      <c r="U229">
        <v>2842.4190600000002</v>
      </c>
      <c r="X229" s="1">
        <v>1303</v>
      </c>
      <c r="Y229" s="2">
        <v>44677</v>
      </c>
      <c r="Z229" s="1" t="str">
        <v>East</v>
      </c>
      <c r="AA229" s="1" t="str">
        <v>Laptop</v>
      </c>
      <c r="AB229" s="1" t="str">
        <v>Electronics</v>
      </c>
      <c r="AC229" s="1">
        <v>3673.8</v>
      </c>
      <c r="AD229" s="1" t="str">
        <v>Melissa Douglas</v>
      </c>
      <c r="AE229" s="1">
        <v>33386</v>
      </c>
      <c r="AF229" s="1">
        <v>44688</v>
      </c>
      <c r="AG229" s="1">
        <v>22.63</v>
      </c>
      <c r="AH229" s="1">
        <v>831.38094000000001</v>
      </c>
      <c r="AI229" s="1">
        <v>2842.4190600000002</v>
      </c>
    </row>
    <row r="230" spans="1:35" x14ac:dyDescent="0.35">
      <c r="A230" s="1">
        <v>1228</v>
      </c>
      <c r="B230" s="2">
        <v>45107</v>
      </c>
      <c r="C230" s="1" t="s">
        <v>14</v>
      </c>
      <c r="D230" s="1" t="s">
        <v>44</v>
      </c>
      <c r="E230" s="1" t="s">
        <v>16</v>
      </c>
      <c r="F230" s="1">
        <v>2971.52</v>
      </c>
      <c r="G230" s="1" t="s">
        <v>209</v>
      </c>
      <c r="H230" s="2">
        <v>28522</v>
      </c>
      <c r="I230" s="2">
        <v>45119</v>
      </c>
      <c r="J230" s="1">
        <v>24.69</v>
      </c>
      <c r="K230" s="1">
        <f t="shared" si="12"/>
        <v>733.66828800000008</v>
      </c>
      <c r="L230" s="1">
        <f t="shared" si="13"/>
        <v>2237.8517119999997</v>
      </c>
      <c r="U230">
        <v>2590.181748</v>
      </c>
      <c r="X230" s="1">
        <v>1304</v>
      </c>
      <c r="Y230" s="2">
        <v>44833</v>
      </c>
      <c r="Z230" s="1" t="str">
        <v>South</v>
      </c>
      <c r="AA230" s="1" t="str">
        <v>Laptop</v>
      </c>
      <c r="AB230" s="1" t="str">
        <v>Electronics</v>
      </c>
      <c r="AC230" s="1">
        <v>3544.31</v>
      </c>
      <c r="AD230" s="1" t="str">
        <v>Kerry Hines</v>
      </c>
      <c r="AE230" s="1">
        <v>34011</v>
      </c>
      <c r="AF230" s="1">
        <v>44844</v>
      </c>
      <c r="AG230" s="1">
        <v>26.92</v>
      </c>
      <c r="AH230" s="1">
        <v>954.12825199999997</v>
      </c>
      <c r="AI230" s="1">
        <v>2590.181748</v>
      </c>
    </row>
    <row r="231" spans="1:35" x14ac:dyDescent="0.35">
      <c r="A231" s="1">
        <v>1229</v>
      </c>
      <c r="B231" s="2">
        <v>44494</v>
      </c>
      <c r="C231" s="1" t="s">
        <v>35</v>
      </c>
      <c r="D231" s="1" t="s">
        <v>88</v>
      </c>
      <c r="E231" s="1" t="s">
        <v>16</v>
      </c>
      <c r="F231" s="1">
        <v>4761.95</v>
      </c>
      <c r="G231" s="1" t="s">
        <v>210</v>
      </c>
      <c r="H231" s="2">
        <v>27550</v>
      </c>
      <c r="I231" s="2">
        <v>44501</v>
      </c>
      <c r="J231" s="1">
        <v>43.51</v>
      </c>
      <c r="K231" s="1">
        <f t="shared" si="12"/>
        <v>2071.9244449999997</v>
      </c>
      <c r="L231" s="1">
        <f t="shared" si="13"/>
        <v>2690.0255550000002</v>
      </c>
      <c r="U231">
        <v>2572.7869500000002</v>
      </c>
      <c r="X231" s="1">
        <v>1305</v>
      </c>
      <c r="Y231" s="2">
        <v>45432</v>
      </c>
      <c r="Z231" s="1" t="str">
        <v>Central</v>
      </c>
      <c r="AA231" s="1" t="str">
        <v>Cap</v>
      </c>
      <c r="AB231" s="1" t="str">
        <v>Clothing</v>
      </c>
      <c r="AC231" s="1">
        <v>4720.71</v>
      </c>
      <c r="AD231" s="1" t="str">
        <v>Laura Wood</v>
      </c>
      <c r="AE231" s="1">
        <v>31419</v>
      </c>
      <c r="AF231" s="1">
        <v>45440</v>
      </c>
      <c r="AG231" s="1">
        <v>45.5</v>
      </c>
      <c r="AH231" s="1">
        <v>2147.9230499999999</v>
      </c>
      <c r="AI231" s="1">
        <v>2572.7869500000002</v>
      </c>
    </row>
    <row r="232" spans="1:35" x14ac:dyDescent="0.35">
      <c r="A232" s="1">
        <v>1230</v>
      </c>
      <c r="B232" s="2">
        <v>44269</v>
      </c>
      <c r="C232" s="1" t="s">
        <v>26</v>
      </c>
      <c r="D232" s="1" t="s">
        <v>33</v>
      </c>
      <c r="E232" s="1" t="s">
        <v>16</v>
      </c>
      <c r="F232" s="1">
        <v>1146.72</v>
      </c>
      <c r="G232" s="1" t="s">
        <v>158</v>
      </c>
      <c r="H232" s="2">
        <v>34871</v>
      </c>
      <c r="I232" s="2">
        <v>44274</v>
      </c>
      <c r="J232" s="1">
        <v>32.44</v>
      </c>
      <c r="K232" s="1">
        <f t="shared" si="12"/>
        <v>371.99596799999995</v>
      </c>
      <c r="L232" s="1">
        <f t="shared" si="13"/>
        <v>774.72403200000008</v>
      </c>
      <c r="U232">
        <v>1744.5143039999998</v>
      </c>
      <c r="X232" s="1">
        <v>1307</v>
      </c>
      <c r="Y232" s="2">
        <v>45377</v>
      </c>
      <c r="Z232" s="1" t="str">
        <v>East</v>
      </c>
      <c r="AA232" s="1" t="str">
        <v>Camera</v>
      </c>
      <c r="AB232" s="1" t="str">
        <v>Electronics</v>
      </c>
      <c r="AC232" s="1">
        <v>2670.72</v>
      </c>
      <c r="AD232" s="1" t="str">
        <v>Kim Brown</v>
      </c>
      <c r="AE232" s="1">
        <v>24368</v>
      </c>
      <c r="AF232" s="1">
        <v>45379</v>
      </c>
      <c r="AG232" s="1">
        <v>34.68</v>
      </c>
      <c r="AH232" s="1">
        <v>926.20569599999988</v>
      </c>
      <c r="AI232" s="1">
        <v>1744.5143039999998</v>
      </c>
    </row>
    <row r="233" spans="1:35" x14ac:dyDescent="0.35">
      <c r="A233" s="1">
        <v>1231</v>
      </c>
      <c r="B233" s="2">
        <v>44857</v>
      </c>
      <c r="C233" s="1" t="s">
        <v>26</v>
      </c>
      <c r="D233" s="1" t="s">
        <v>47</v>
      </c>
      <c r="E233" s="1" t="s">
        <v>12</v>
      </c>
      <c r="F233" s="1">
        <v>2995.97</v>
      </c>
      <c r="G233" s="1" t="s">
        <v>153</v>
      </c>
      <c r="H233" s="2">
        <v>36216</v>
      </c>
      <c r="I233" s="2">
        <v>44868</v>
      </c>
      <c r="J233" s="1">
        <v>3.74</v>
      </c>
      <c r="K233" s="1">
        <f t="shared" si="12"/>
        <v>112.049278</v>
      </c>
      <c r="L233" s="1">
        <f t="shared" si="13"/>
        <v>2883.9207219999998</v>
      </c>
      <c r="U233">
        <v>2795.3945799999997</v>
      </c>
      <c r="X233" s="1">
        <v>1308</v>
      </c>
      <c r="Y233" s="2">
        <v>45111</v>
      </c>
      <c r="Z233" s="1" t="str">
        <v>South</v>
      </c>
      <c r="AA233" s="1" t="str">
        <v>Jeans</v>
      </c>
      <c r="AB233" s="1" t="str">
        <v>Clothing</v>
      </c>
      <c r="AC233" s="1">
        <v>4912.82</v>
      </c>
      <c r="AD233" s="1" t="str">
        <v>Matthew Stone</v>
      </c>
      <c r="AE233" s="1">
        <v>34871</v>
      </c>
      <c r="AF233" s="1">
        <v>45123</v>
      </c>
      <c r="AG233" s="1">
        <v>43.1</v>
      </c>
      <c r="AH233" s="1">
        <v>2117.42542</v>
      </c>
      <c r="AI233" s="1">
        <v>2795.3945799999997</v>
      </c>
    </row>
    <row r="234" spans="1:35" x14ac:dyDescent="0.35">
      <c r="A234" s="1">
        <v>1232</v>
      </c>
      <c r="B234" s="2">
        <v>44732</v>
      </c>
      <c r="C234" s="1" t="s">
        <v>14</v>
      </c>
      <c r="D234" s="1" t="s">
        <v>73</v>
      </c>
      <c r="E234" s="1" t="s">
        <v>28</v>
      </c>
      <c r="F234" s="1">
        <v>1461.44</v>
      </c>
      <c r="G234" s="1" t="s">
        <v>211</v>
      </c>
      <c r="H234" s="2">
        <v>35702</v>
      </c>
      <c r="I234" s="2">
        <v>44741</v>
      </c>
      <c r="J234" s="1">
        <v>1.64</v>
      </c>
      <c r="K234" s="1">
        <f t="shared" si="12"/>
        <v>23.967616</v>
      </c>
      <c r="L234" s="1">
        <f t="shared" si="13"/>
        <v>1437.4723840000001</v>
      </c>
      <c r="U234">
        <v>1920.0321900000001</v>
      </c>
      <c r="X234" s="1">
        <v>1309</v>
      </c>
      <c r="Y234" s="2">
        <v>44701</v>
      </c>
      <c r="Z234" s="1" t="str">
        <v>West</v>
      </c>
      <c r="AA234" s="1" t="str">
        <v>Laptop</v>
      </c>
      <c r="AB234" s="1" t="str">
        <v>Electronics</v>
      </c>
      <c r="AC234" s="1">
        <v>2214.5700000000002</v>
      </c>
      <c r="AD234" s="1" t="str">
        <v>Martha Harris</v>
      </c>
      <c r="AE234" s="1">
        <v>27455</v>
      </c>
      <c r="AF234" s="1">
        <v>44713</v>
      </c>
      <c r="AG234" s="1">
        <v>13.3</v>
      </c>
      <c r="AH234" s="1">
        <v>294.53781000000004</v>
      </c>
      <c r="AI234" s="1">
        <v>1920.0321900000001</v>
      </c>
    </row>
    <row r="235" spans="1:35" x14ac:dyDescent="0.35">
      <c r="A235" s="1">
        <v>1233</v>
      </c>
      <c r="B235" s="2">
        <v>44730</v>
      </c>
      <c r="C235" s="1" t="s">
        <v>21</v>
      </c>
      <c r="D235" s="1" t="s">
        <v>69</v>
      </c>
      <c r="E235" s="1" t="s">
        <v>12</v>
      </c>
      <c r="F235" s="1">
        <v>325.3</v>
      </c>
      <c r="G235" s="1" t="s">
        <v>152</v>
      </c>
      <c r="H235" s="2">
        <v>24792</v>
      </c>
      <c r="I235" s="2">
        <v>44736</v>
      </c>
      <c r="J235" s="1">
        <v>9.27</v>
      </c>
      <c r="K235" s="1">
        <f t="shared" si="12"/>
        <v>30.155309999999997</v>
      </c>
      <c r="L235" s="1">
        <f t="shared" si="13"/>
        <v>295.14469000000003</v>
      </c>
      <c r="U235">
        <v>1973.4931790000001</v>
      </c>
      <c r="X235" s="1">
        <v>1310</v>
      </c>
      <c r="Y235" s="2">
        <v>44991</v>
      </c>
      <c r="Z235" s="1" t="str">
        <v>South</v>
      </c>
      <c r="AA235" s="1" t="str">
        <v>Eggs</v>
      </c>
      <c r="AB235" s="1" t="str">
        <v>Groceries</v>
      </c>
      <c r="AC235" s="1">
        <v>2682.47</v>
      </c>
      <c r="AD235" s="1" t="str">
        <v>Douglas Williams</v>
      </c>
      <c r="AE235" s="1">
        <v>38826</v>
      </c>
      <c r="AF235" s="1">
        <v>45003</v>
      </c>
      <c r="AG235" s="1">
        <v>26.43</v>
      </c>
      <c r="AH235" s="1">
        <v>708.97682099999986</v>
      </c>
      <c r="AI235" s="1">
        <v>1973.4931790000001</v>
      </c>
    </row>
    <row r="236" spans="1:35" x14ac:dyDescent="0.35">
      <c r="A236" s="1">
        <v>1234</v>
      </c>
      <c r="B236" s="2">
        <v>44339</v>
      </c>
      <c r="C236" s="1" t="s">
        <v>21</v>
      </c>
      <c r="D236" s="1" t="s">
        <v>49</v>
      </c>
      <c r="E236" s="1" t="s">
        <v>12</v>
      </c>
      <c r="F236" s="1">
        <v>4453.8100000000004</v>
      </c>
      <c r="G236" s="1" t="s">
        <v>212</v>
      </c>
      <c r="H236" s="2">
        <v>23674</v>
      </c>
      <c r="I236" s="2">
        <v>44348</v>
      </c>
      <c r="J236" s="1">
        <v>42.29</v>
      </c>
      <c r="K236" s="1">
        <f t="shared" si="12"/>
        <v>1883.5162490000002</v>
      </c>
      <c r="L236" s="1">
        <f t="shared" si="13"/>
        <v>2570.2937510000002</v>
      </c>
      <c r="U236">
        <v>2000.4899760000001</v>
      </c>
      <c r="X236" s="1">
        <v>1315</v>
      </c>
      <c r="Y236" s="2">
        <v>44342</v>
      </c>
      <c r="Z236" s="1" t="str">
        <v>Central</v>
      </c>
      <c r="AA236" s="1" t="str">
        <v>Football</v>
      </c>
      <c r="AB236" s="1" t="str">
        <v>Sports</v>
      </c>
      <c r="AC236" s="1">
        <v>3736.44</v>
      </c>
      <c r="AD236" s="1" t="str">
        <v>Jesse Hernandez</v>
      </c>
      <c r="AE236" s="1">
        <v>27550</v>
      </c>
      <c r="AF236" s="1">
        <v>44356</v>
      </c>
      <c r="AG236" s="1">
        <v>46.46</v>
      </c>
      <c r="AH236" s="1">
        <v>1735.950024</v>
      </c>
      <c r="AI236" s="1">
        <v>2000.4899760000001</v>
      </c>
    </row>
    <row r="237" spans="1:35" x14ac:dyDescent="0.35">
      <c r="A237" s="1">
        <v>1235</v>
      </c>
      <c r="B237" s="2">
        <v>44284</v>
      </c>
      <c r="C237" s="1" t="s">
        <v>35</v>
      </c>
      <c r="D237" s="1" t="s">
        <v>18</v>
      </c>
      <c r="E237" s="1" t="s">
        <v>19</v>
      </c>
      <c r="F237" s="1">
        <v>4999.79</v>
      </c>
      <c r="G237" s="1" t="s">
        <v>213</v>
      </c>
      <c r="H237" s="2">
        <v>34345</v>
      </c>
      <c r="I237" s="2">
        <v>44285</v>
      </c>
      <c r="J237" s="1">
        <v>42.92</v>
      </c>
      <c r="K237" s="1">
        <f t="shared" si="12"/>
        <v>2145.9098680000002</v>
      </c>
      <c r="L237" s="1">
        <f t="shared" si="13"/>
        <v>2853.8801319999998</v>
      </c>
      <c r="U237">
        <v>2606.4126240000001</v>
      </c>
      <c r="X237" s="1">
        <v>1317</v>
      </c>
      <c r="Y237" s="2">
        <v>44407</v>
      </c>
      <c r="Z237" s="1" t="str">
        <v>East</v>
      </c>
      <c r="AA237" s="1" t="str">
        <v>Milk</v>
      </c>
      <c r="AB237" s="1" t="str">
        <v>Groceries</v>
      </c>
      <c r="AC237" s="1">
        <v>4105.88</v>
      </c>
      <c r="AD237" s="1" t="str">
        <v>Adam Martinez</v>
      </c>
      <c r="AE237" s="1">
        <v>22599</v>
      </c>
      <c r="AF237" s="1">
        <v>44414</v>
      </c>
      <c r="AG237" s="1">
        <v>36.520000000000003</v>
      </c>
      <c r="AH237" s="1">
        <v>1499.4673760000001</v>
      </c>
      <c r="AI237" s="1">
        <v>2606.4126240000001</v>
      </c>
    </row>
    <row r="238" spans="1:35" x14ac:dyDescent="0.35">
      <c r="A238" s="1">
        <v>1236</v>
      </c>
      <c r="B238" s="2">
        <v>45408</v>
      </c>
      <c r="C238" s="1" t="s">
        <v>10</v>
      </c>
      <c r="D238" s="1" t="s">
        <v>40</v>
      </c>
      <c r="E238" s="1" t="s">
        <v>16</v>
      </c>
      <c r="F238" s="1">
        <v>4464.05</v>
      </c>
      <c r="G238" s="1" t="s">
        <v>116</v>
      </c>
      <c r="H238" s="2">
        <v>39294</v>
      </c>
      <c r="I238" s="2">
        <v>45415</v>
      </c>
      <c r="J238" s="1">
        <v>27.44</v>
      </c>
      <c r="K238" s="1">
        <f t="shared" si="12"/>
        <v>1224.9353200000003</v>
      </c>
      <c r="L238" s="1">
        <f t="shared" si="13"/>
        <v>3239.1146799999997</v>
      </c>
      <c r="U238">
        <v>2771.0534280000002</v>
      </c>
      <c r="X238" s="1">
        <v>1319</v>
      </c>
      <c r="Y238" s="2">
        <v>44922</v>
      </c>
      <c r="Z238" s="1" t="str">
        <v>East</v>
      </c>
      <c r="AA238" s="1" t="str">
        <v>Camera</v>
      </c>
      <c r="AB238" s="1" t="str">
        <v>Electronics</v>
      </c>
      <c r="AC238" s="1">
        <v>3444.87</v>
      </c>
      <c r="AD238" s="1" t="str">
        <v>Debbie Jensen</v>
      </c>
      <c r="AE238" s="1">
        <v>29103</v>
      </c>
      <c r="AF238" s="1">
        <v>44930</v>
      </c>
      <c r="AG238" s="1">
        <v>19.559999999999999</v>
      </c>
      <c r="AH238" s="1">
        <v>673.81657199999995</v>
      </c>
      <c r="AI238" s="1">
        <v>2771.0534280000002</v>
      </c>
    </row>
    <row r="239" spans="1:35" x14ac:dyDescent="0.35">
      <c r="A239" s="1">
        <v>1237</v>
      </c>
      <c r="B239" s="2">
        <v>44398</v>
      </c>
      <c r="C239" s="1" t="s">
        <v>21</v>
      </c>
      <c r="D239" s="1" t="s">
        <v>102</v>
      </c>
      <c r="E239" s="1" t="s">
        <v>12</v>
      </c>
      <c r="F239" s="1">
        <v>3581.56</v>
      </c>
      <c r="G239" s="1" t="s">
        <v>86</v>
      </c>
      <c r="H239" s="2">
        <v>37858</v>
      </c>
      <c r="I239" s="2">
        <v>44405</v>
      </c>
      <c r="J239" s="1">
        <v>41.87</v>
      </c>
      <c r="K239" s="1">
        <f t="shared" si="12"/>
        <v>1499.5991719999997</v>
      </c>
      <c r="L239" s="1">
        <f t="shared" si="13"/>
        <v>2081.9608280000002</v>
      </c>
      <c r="U239">
        <v>2294.54612</v>
      </c>
      <c r="X239" s="1">
        <v>1320</v>
      </c>
      <c r="Y239" s="2">
        <v>44290</v>
      </c>
      <c r="Z239" s="1" t="str">
        <v>South</v>
      </c>
      <c r="AA239" s="1" t="str">
        <v>Tennis Racket</v>
      </c>
      <c r="AB239" s="1" t="str">
        <v>Sports</v>
      </c>
      <c r="AC239" s="1">
        <v>2972.21</v>
      </c>
      <c r="AD239" s="1" t="str">
        <v>Darryl Cooper</v>
      </c>
      <c r="AE239" s="1">
        <v>38378</v>
      </c>
      <c r="AF239" s="1">
        <v>44304</v>
      </c>
      <c r="AG239" s="1">
        <v>22.8</v>
      </c>
      <c r="AH239" s="1">
        <v>677.66388000000006</v>
      </c>
      <c r="AI239" s="1">
        <v>2294.54612</v>
      </c>
    </row>
    <row r="240" spans="1:35" x14ac:dyDescent="0.35">
      <c r="A240" s="1">
        <v>1238</v>
      </c>
      <c r="B240" s="2">
        <v>44940</v>
      </c>
      <c r="C240" s="1" t="s">
        <v>26</v>
      </c>
      <c r="D240" s="1" t="s">
        <v>71</v>
      </c>
      <c r="E240" s="1" t="s">
        <v>31</v>
      </c>
      <c r="F240" s="1">
        <v>1509.92</v>
      </c>
      <c r="G240" s="1" t="s">
        <v>214</v>
      </c>
      <c r="H240" s="2">
        <v>29540</v>
      </c>
      <c r="I240" s="2">
        <v>44943</v>
      </c>
      <c r="J240" s="1">
        <v>20.399999999999999</v>
      </c>
      <c r="K240" s="1">
        <f t="shared" si="12"/>
        <v>308.02368000000001</v>
      </c>
      <c r="L240" s="1">
        <f t="shared" si="13"/>
        <v>1201.8963200000001</v>
      </c>
      <c r="U240">
        <v>2523.2474400000001</v>
      </c>
      <c r="X240" s="1">
        <v>1321</v>
      </c>
      <c r="Y240" s="2">
        <v>44915</v>
      </c>
      <c r="Z240" s="1" t="str">
        <v>South</v>
      </c>
      <c r="AA240" s="1" t="str">
        <v>Chair</v>
      </c>
      <c r="AB240" s="1" t="str">
        <v>Furniture</v>
      </c>
      <c r="AC240" s="1">
        <v>4855.2</v>
      </c>
      <c r="AD240" s="1" t="str">
        <v>Derek Boyle</v>
      </c>
      <c r="AE240" s="1">
        <v>27534</v>
      </c>
      <c r="AF240" s="1">
        <v>44921</v>
      </c>
      <c r="AG240" s="1">
        <v>48.03</v>
      </c>
      <c r="AH240" s="1">
        <v>2331.9525599999997</v>
      </c>
      <c r="AI240" s="1">
        <v>2523.2474400000001</v>
      </c>
    </row>
    <row r="241" spans="1:35" x14ac:dyDescent="0.35">
      <c r="A241" s="1">
        <v>1239</v>
      </c>
      <c r="B241" s="2">
        <v>45792</v>
      </c>
      <c r="C241" s="1" t="s">
        <v>35</v>
      </c>
      <c r="D241" s="1" t="s">
        <v>27</v>
      </c>
      <c r="E241" s="1" t="s">
        <v>28</v>
      </c>
      <c r="F241" s="1">
        <v>2305.0300000000002</v>
      </c>
      <c r="G241" s="1" t="s">
        <v>215</v>
      </c>
      <c r="H241" s="2">
        <v>31386</v>
      </c>
      <c r="I241" s="2">
        <v>45803</v>
      </c>
      <c r="J241" s="1">
        <v>39.799999999999997</v>
      </c>
      <c r="K241" s="1">
        <f t="shared" si="12"/>
        <v>917.40193999999997</v>
      </c>
      <c r="L241" s="1">
        <f t="shared" si="13"/>
        <v>1387.6280600000002</v>
      </c>
      <c r="U241">
        <v>4193.3574989999997</v>
      </c>
      <c r="X241" s="1">
        <v>1322</v>
      </c>
      <c r="Y241" s="2">
        <v>44138</v>
      </c>
      <c r="Z241" s="1" t="str">
        <v>Central</v>
      </c>
      <c r="AA241" s="1" t="str">
        <v>Chair</v>
      </c>
      <c r="AB241" s="1" t="str">
        <v>Furniture</v>
      </c>
      <c r="AC241" s="1">
        <v>4450.13</v>
      </c>
      <c r="AD241" s="1" t="str">
        <v>Cody Mason</v>
      </c>
      <c r="AE241" s="1">
        <v>31598</v>
      </c>
      <c r="AF241" s="1">
        <v>44151</v>
      </c>
      <c r="AG241" s="1">
        <v>5.77</v>
      </c>
      <c r="AH241" s="1">
        <v>256.77250099999998</v>
      </c>
      <c r="AI241" s="1">
        <v>4193.3574989999997</v>
      </c>
    </row>
    <row r="242" spans="1:35" x14ac:dyDescent="0.35">
      <c r="A242" s="1">
        <v>1240</v>
      </c>
      <c r="B242" s="2">
        <v>45013</v>
      </c>
      <c r="C242" s="1" t="s">
        <v>35</v>
      </c>
      <c r="D242" s="1" t="s">
        <v>88</v>
      </c>
      <c r="E242" s="1" t="s">
        <v>16</v>
      </c>
      <c r="F242" s="1">
        <v>4272.7299999999996</v>
      </c>
      <c r="G242" s="1" t="s">
        <v>91</v>
      </c>
      <c r="H242" s="2">
        <v>34220</v>
      </c>
      <c r="I242" s="2">
        <v>45020</v>
      </c>
      <c r="J242" s="1">
        <v>37.74</v>
      </c>
      <c r="K242" s="1">
        <f t="shared" si="12"/>
        <v>1612.5283019999999</v>
      </c>
      <c r="L242" s="1">
        <f t="shared" si="13"/>
        <v>2660.2016979999999</v>
      </c>
      <c r="U242">
        <v>2619.1697700000004</v>
      </c>
      <c r="X242" s="1">
        <v>1323</v>
      </c>
      <c r="Y242" s="2">
        <v>45155</v>
      </c>
      <c r="Z242" s="1" t="str">
        <v>North</v>
      </c>
      <c r="AA242" s="1" t="str">
        <v>Shoes</v>
      </c>
      <c r="AB242" s="1" t="str">
        <v>Clothing</v>
      </c>
      <c r="AC242" s="1">
        <v>4766.46</v>
      </c>
      <c r="AD242" s="1" t="str">
        <v>Joseph Rivera</v>
      </c>
      <c r="AE242" s="1">
        <v>27641</v>
      </c>
      <c r="AF242" s="1">
        <v>45160</v>
      </c>
      <c r="AG242" s="1">
        <v>45.05</v>
      </c>
      <c r="AH242" s="1">
        <v>2147.2902299999996</v>
      </c>
      <c r="AI242" s="1">
        <v>2619.1697700000004</v>
      </c>
    </row>
    <row r="243" spans="1:35" x14ac:dyDescent="0.35">
      <c r="A243" s="1">
        <v>1241</v>
      </c>
      <c r="B243" s="2">
        <v>45234</v>
      </c>
      <c r="C243" s="1" t="s">
        <v>21</v>
      </c>
      <c r="D243" s="1" t="s">
        <v>69</v>
      </c>
      <c r="E243" s="1" t="s">
        <v>31</v>
      </c>
      <c r="F243" s="1">
        <v>1756.15</v>
      </c>
      <c r="G243" s="1" t="s">
        <v>216</v>
      </c>
      <c r="H243" s="2">
        <v>31419</v>
      </c>
      <c r="I243" s="2">
        <v>45239</v>
      </c>
      <c r="J243" s="1">
        <v>33.44</v>
      </c>
      <c r="K243" s="1">
        <f t="shared" si="12"/>
        <v>587.25656000000004</v>
      </c>
      <c r="L243" s="1">
        <f t="shared" si="13"/>
        <v>1168.8934400000001</v>
      </c>
      <c r="U243">
        <v>3515.6039719999999</v>
      </c>
      <c r="X243" s="1">
        <v>1324</v>
      </c>
      <c r="Y243" s="2">
        <v>45150</v>
      </c>
      <c r="Z243" s="1" t="str">
        <v>South</v>
      </c>
      <c r="AA243" s="1" t="str">
        <v>Sofa</v>
      </c>
      <c r="AB243" s="1" t="str">
        <v>Furniture</v>
      </c>
      <c r="AC243" s="1">
        <v>4884.1400000000003</v>
      </c>
      <c r="AD243" s="1" t="str">
        <v>Darryl Cooper</v>
      </c>
      <c r="AE243" s="1">
        <v>38378</v>
      </c>
      <c r="AF243" s="1">
        <v>45152</v>
      </c>
      <c r="AG243" s="1">
        <v>28.02</v>
      </c>
      <c r="AH243" s="1">
        <v>1368.5360280000002</v>
      </c>
      <c r="AI243" s="1">
        <v>3515.6039719999999</v>
      </c>
    </row>
    <row r="244" spans="1:35" x14ac:dyDescent="0.35">
      <c r="A244" s="1">
        <v>1242</v>
      </c>
      <c r="B244" s="2">
        <v>44800</v>
      </c>
      <c r="C244" s="1" t="s">
        <v>14</v>
      </c>
      <c r="D244" s="1" t="s">
        <v>40</v>
      </c>
      <c r="E244" s="1" t="s">
        <v>16</v>
      </c>
      <c r="F244" s="1">
        <v>2727.83</v>
      </c>
      <c r="G244" s="1" t="s">
        <v>103</v>
      </c>
      <c r="H244" s="2">
        <v>30923</v>
      </c>
      <c r="I244" s="2">
        <v>44805</v>
      </c>
      <c r="J244" s="1">
        <v>11.22</v>
      </c>
      <c r="K244" s="1">
        <f t="shared" si="12"/>
        <v>306.06252599999999</v>
      </c>
      <c r="L244" s="1">
        <f t="shared" si="13"/>
        <v>2421.7674739999998</v>
      </c>
      <c r="U244">
        <v>3493.895176</v>
      </c>
      <c r="X244" s="1">
        <v>1325</v>
      </c>
      <c r="Y244" s="2">
        <v>44396</v>
      </c>
      <c r="Z244" s="1" t="str">
        <v>West</v>
      </c>
      <c r="AA244" s="1" t="str">
        <v>Chair</v>
      </c>
      <c r="AB244" s="1" t="str">
        <v>Furniture</v>
      </c>
      <c r="AC244" s="1">
        <v>3607.16</v>
      </c>
      <c r="AD244" s="1" t="str">
        <v>Amanda West</v>
      </c>
      <c r="AE244" s="1">
        <v>30356</v>
      </c>
      <c r="AF244" s="1">
        <v>44405</v>
      </c>
      <c r="AG244" s="1">
        <v>3.14</v>
      </c>
      <c r="AH244" s="1">
        <v>113.264824</v>
      </c>
      <c r="AI244" s="1">
        <v>3493.895176</v>
      </c>
    </row>
    <row r="245" spans="1:35" x14ac:dyDescent="0.35">
      <c r="A245" s="1">
        <v>1243</v>
      </c>
      <c r="B245" s="2">
        <v>44438</v>
      </c>
      <c r="C245" s="1" t="s">
        <v>26</v>
      </c>
      <c r="D245" s="1" t="s">
        <v>53</v>
      </c>
      <c r="E245" s="1" t="s">
        <v>28</v>
      </c>
      <c r="F245" s="1">
        <v>993.29</v>
      </c>
      <c r="G245" s="1" t="s">
        <v>80</v>
      </c>
      <c r="H245" s="2">
        <v>31578</v>
      </c>
      <c r="I245" s="2">
        <v>44442</v>
      </c>
      <c r="J245" s="1">
        <v>9.93</v>
      </c>
      <c r="K245" s="1">
        <f t="shared" si="12"/>
        <v>98.633696999999998</v>
      </c>
      <c r="L245" s="1">
        <f t="shared" si="13"/>
        <v>894.65630299999998</v>
      </c>
      <c r="U245">
        <v>3573.7924200000002</v>
      </c>
      <c r="X245" s="1">
        <v>1326</v>
      </c>
      <c r="Y245" s="2">
        <v>45277</v>
      </c>
      <c r="Z245" s="1" t="str">
        <v>East</v>
      </c>
      <c r="AA245" s="1" t="str">
        <v>Smartphone</v>
      </c>
      <c r="AB245" s="1" t="str">
        <v>Electronics</v>
      </c>
      <c r="AC245" s="1">
        <v>3914.34</v>
      </c>
      <c r="AD245" s="1" t="str">
        <v>Beth Landry</v>
      </c>
      <c r="AE245" s="1">
        <v>34954</v>
      </c>
      <c r="AF245" s="1">
        <v>45289</v>
      </c>
      <c r="AG245" s="1">
        <v>8.6999999999999993</v>
      </c>
      <c r="AH245" s="1">
        <v>340.54757999999998</v>
      </c>
      <c r="AI245" s="1">
        <v>3573.7924200000002</v>
      </c>
    </row>
    <row r="246" spans="1:35" x14ac:dyDescent="0.35">
      <c r="A246" s="1">
        <v>1244</v>
      </c>
      <c r="B246" s="2">
        <v>45408</v>
      </c>
      <c r="C246" s="1" t="s">
        <v>14</v>
      </c>
      <c r="D246" s="1" t="s">
        <v>47</v>
      </c>
      <c r="E246" s="1" t="s">
        <v>12</v>
      </c>
      <c r="F246" s="1">
        <v>1187.1099999999999</v>
      </c>
      <c r="G246" s="1" t="s">
        <v>170</v>
      </c>
      <c r="H246" s="2">
        <v>34205</v>
      </c>
      <c r="I246" s="2">
        <v>45420</v>
      </c>
      <c r="J246" s="1">
        <v>33.229999999999997</v>
      </c>
      <c r="K246" s="1">
        <f t="shared" si="12"/>
        <v>394.47665299999994</v>
      </c>
      <c r="L246" s="1">
        <f t="shared" si="13"/>
        <v>792.63334699999996</v>
      </c>
      <c r="U246">
        <v>1746.4176839999998</v>
      </c>
      <c r="X246" s="1">
        <v>1328</v>
      </c>
      <c r="Y246" s="2">
        <v>44336</v>
      </c>
      <c r="Z246" s="1" t="str">
        <v>East</v>
      </c>
      <c r="AA246" s="1" t="str">
        <v>Chair</v>
      </c>
      <c r="AB246" s="1" t="str">
        <v>Furniture</v>
      </c>
      <c r="AC246" s="1">
        <v>2855.49</v>
      </c>
      <c r="AD246" s="1" t="str">
        <v>Gregory Cohen</v>
      </c>
      <c r="AE246" s="1">
        <v>30154</v>
      </c>
      <c r="AF246" s="1">
        <v>44344</v>
      </c>
      <c r="AG246" s="1">
        <v>38.840000000000003</v>
      </c>
      <c r="AH246" s="1">
        <v>1109.072316</v>
      </c>
      <c r="AI246" s="1">
        <v>1746.4176839999998</v>
      </c>
    </row>
    <row r="247" spans="1:35" x14ac:dyDescent="0.35">
      <c r="A247" s="1">
        <v>1245</v>
      </c>
      <c r="B247" s="2">
        <v>44488</v>
      </c>
      <c r="C247" s="1" t="s">
        <v>21</v>
      </c>
      <c r="D247" s="1" t="s">
        <v>15</v>
      </c>
      <c r="E247" s="1" t="s">
        <v>16</v>
      </c>
      <c r="F247" s="1">
        <v>2517.8000000000002</v>
      </c>
      <c r="G247" s="1" t="s">
        <v>107</v>
      </c>
      <c r="H247" s="2">
        <v>26671</v>
      </c>
      <c r="I247" s="2">
        <v>44495</v>
      </c>
      <c r="J247" s="1">
        <v>38.24</v>
      </c>
      <c r="K247" s="1">
        <f t="shared" si="12"/>
        <v>962.80672000000015</v>
      </c>
      <c r="L247" s="1">
        <f t="shared" si="13"/>
        <v>1554.9932800000001</v>
      </c>
      <c r="U247">
        <v>1185.740168</v>
      </c>
      <c r="X247" s="1">
        <v>1329</v>
      </c>
      <c r="Y247" s="2">
        <v>44234</v>
      </c>
      <c r="Z247" s="1" t="str">
        <v>North</v>
      </c>
      <c r="AA247" s="1" t="str">
        <v>Shoes</v>
      </c>
      <c r="AB247" s="1" t="str">
        <v>Sports</v>
      </c>
      <c r="AC247" s="1">
        <v>2244.02</v>
      </c>
      <c r="AD247" s="1" t="str">
        <v>Savannah Smith</v>
      </c>
      <c r="AE247" s="1">
        <v>35889</v>
      </c>
      <c r="AF247" s="1">
        <v>44237</v>
      </c>
      <c r="AG247" s="1">
        <v>47.16</v>
      </c>
      <c r="AH247" s="1">
        <v>1058.2798319999999</v>
      </c>
      <c r="AI247" s="1">
        <v>1185.740168</v>
      </c>
    </row>
    <row r="248" spans="1:35" x14ac:dyDescent="0.35">
      <c r="A248" s="1">
        <v>1246</v>
      </c>
      <c r="B248" s="2">
        <v>44489</v>
      </c>
      <c r="C248" s="1" t="s">
        <v>10</v>
      </c>
      <c r="D248" s="1" t="s">
        <v>88</v>
      </c>
      <c r="E248" s="1" t="s">
        <v>16</v>
      </c>
      <c r="F248" s="1">
        <v>4390.6000000000004</v>
      </c>
      <c r="G248" s="1" t="s">
        <v>144</v>
      </c>
      <c r="H248" s="2">
        <v>34571</v>
      </c>
      <c r="I248" s="2">
        <v>44491</v>
      </c>
      <c r="J248" s="1">
        <v>15.44</v>
      </c>
      <c r="K248" s="1">
        <f t="shared" si="12"/>
        <v>677.90863999999999</v>
      </c>
      <c r="L248" s="1">
        <f t="shared" si="13"/>
        <v>3712.6913600000003</v>
      </c>
      <c r="U248">
        <v>2713.0452960000002</v>
      </c>
      <c r="X248" s="1">
        <v>1334</v>
      </c>
      <c r="Y248" s="2">
        <v>45592</v>
      </c>
      <c r="Z248" s="1" t="str">
        <v>Central</v>
      </c>
      <c r="AA248" s="1" t="str">
        <v>Tennis Racket</v>
      </c>
      <c r="AB248" s="1" t="str">
        <v>Sports</v>
      </c>
      <c r="AC248" s="1">
        <v>3700.28</v>
      </c>
      <c r="AD248" s="1" t="str">
        <v>Lawrence Frazier</v>
      </c>
      <c r="AE248" s="1">
        <v>25232</v>
      </c>
      <c r="AF248" s="1">
        <v>45595</v>
      </c>
      <c r="AG248" s="1">
        <v>26.68</v>
      </c>
      <c r="AH248" s="1">
        <v>987.23470399999997</v>
      </c>
      <c r="AI248" s="1">
        <v>2713.0452960000002</v>
      </c>
    </row>
    <row r="249" spans="1:35" x14ac:dyDescent="0.35">
      <c r="A249" s="1">
        <v>1247</v>
      </c>
      <c r="B249" s="2">
        <v>44653</v>
      </c>
      <c r="C249" s="1" t="s">
        <v>35</v>
      </c>
      <c r="D249" s="1" t="s">
        <v>38</v>
      </c>
      <c r="E249" s="1" t="s">
        <v>28</v>
      </c>
      <c r="F249" s="1">
        <v>4464.93</v>
      </c>
      <c r="G249" s="1" t="s">
        <v>194</v>
      </c>
      <c r="H249" s="2">
        <v>22210</v>
      </c>
      <c r="I249" s="2">
        <v>44658</v>
      </c>
      <c r="J249" s="1">
        <v>42.78</v>
      </c>
      <c r="K249" s="1">
        <f t="shared" si="12"/>
        <v>1910.0970540000003</v>
      </c>
      <c r="L249" s="1">
        <f t="shared" si="13"/>
        <v>2554.832946</v>
      </c>
      <c r="U249">
        <v>1312.1786080000002</v>
      </c>
      <c r="X249" s="1">
        <v>1336</v>
      </c>
      <c r="Y249" s="2">
        <v>44315</v>
      </c>
      <c r="Z249" s="1" t="str">
        <v>East</v>
      </c>
      <c r="AA249" s="1" t="str">
        <v>Wardrobe</v>
      </c>
      <c r="AB249" s="1" t="str">
        <v>Furniture</v>
      </c>
      <c r="AC249" s="1">
        <v>1662.88</v>
      </c>
      <c r="AD249" s="1" t="str">
        <v>Matthew Stuart</v>
      </c>
      <c r="AE249" s="1">
        <v>28522</v>
      </c>
      <c r="AF249" s="1">
        <v>44317</v>
      </c>
      <c r="AG249" s="1">
        <v>21.09</v>
      </c>
      <c r="AH249" s="1">
        <v>350.70139200000006</v>
      </c>
      <c r="AI249" s="1">
        <v>1312.1786080000002</v>
      </c>
    </row>
    <row r="250" spans="1:35" x14ac:dyDescent="0.35">
      <c r="A250" s="1">
        <v>1248</v>
      </c>
      <c r="B250" s="2">
        <v>45583</v>
      </c>
      <c r="C250" s="1" t="s">
        <v>10</v>
      </c>
      <c r="D250" s="1" t="s">
        <v>55</v>
      </c>
      <c r="E250" s="1" t="s">
        <v>31</v>
      </c>
      <c r="F250" s="1">
        <v>834.79</v>
      </c>
      <c r="G250" s="1" t="s">
        <v>62</v>
      </c>
      <c r="H250" s="2">
        <v>22870</v>
      </c>
      <c r="I250" s="2">
        <v>45587</v>
      </c>
      <c r="J250" s="1">
        <v>43.88</v>
      </c>
      <c r="K250" s="1">
        <f t="shared" si="12"/>
        <v>366.30585200000002</v>
      </c>
      <c r="L250" s="1">
        <f t="shared" si="13"/>
        <v>468.48414799999995</v>
      </c>
      <c r="U250">
        <v>1748.2948120000001</v>
      </c>
      <c r="X250" s="1">
        <v>1338</v>
      </c>
      <c r="Y250" s="2">
        <v>45729</v>
      </c>
      <c r="Z250" s="1" t="str">
        <v>West</v>
      </c>
      <c r="AA250" s="1" t="str">
        <v>Headphones</v>
      </c>
      <c r="AB250" s="1" t="str">
        <v>Electronics</v>
      </c>
      <c r="AC250" s="1">
        <v>2900.29</v>
      </c>
      <c r="AD250" s="1" t="str">
        <v>Kim Brown</v>
      </c>
      <c r="AE250" s="1">
        <v>24368</v>
      </c>
      <c r="AF250" s="1">
        <v>45739</v>
      </c>
      <c r="AG250" s="1">
        <v>39.72</v>
      </c>
      <c r="AH250" s="1">
        <v>1151.9951879999999</v>
      </c>
      <c r="AI250" s="1">
        <v>1748.2948120000001</v>
      </c>
    </row>
    <row r="251" spans="1:35" x14ac:dyDescent="0.35">
      <c r="A251" s="1">
        <v>1249</v>
      </c>
      <c r="B251" s="2">
        <v>45218</v>
      </c>
      <c r="C251" s="1" t="s">
        <v>14</v>
      </c>
      <c r="D251" s="1" t="s">
        <v>73</v>
      </c>
      <c r="E251" s="1" t="s">
        <v>28</v>
      </c>
      <c r="F251" s="1">
        <v>1780.78</v>
      </c>
      <c r="G251" s="1" t="s">
        <v>217</v>
      </c>
      <c r="H251" s="2">
        <v>36951</v>
      </c>
      <c r="I251" s="2">
        <v>45232</v>
      </c>
      <c r="J251" s="1">
        <v>43.61</v>
      </c>
      <c r="K251" s="1">
        <f t="shared" si="12"/>
        <v>776.59815800000001</v>
      </c>
      <c r="L251" s="1">
        <f t="shared" si="13"/>
        <v>1004.181842</v>
      </c>
      <c r="U251">
        <v>1769.4058980000002</v>
      </c>
      <c r="X251" s="1">
        <v>1339</v>
      </c>
      <c r="Y251" s="2">
        <v>45567</v>
      </c>
      <c r="Z251" s="1" t="str">
        <v>West</v>
      </c>
      <c r="AA251" s="1" t="str">
        <v>Table</v>
      </c>
      <c r="AB251" s="1" t="str">
        <v>Furniture</v>
      </c>
      <c r="AC251" s="1">
        <v>3000.01</v>
      </c>
      <c r="AD251" s="1" t="str">
        <v>Amanda West</v>
      </c>
      <c r="AE251" s="1">
        <v>30356</v>
      </c>
      <c r="AF251" s="1">
        <v>45578</v>
      </c>
      <c r="AG251" s="1">
        <v>41.02</v>
      </c>
      <c r="AH251" s="1">
        <v>1230.604102</v>
      </c>
      <c r="AI251" s="1">
        <v>1769.4058980000002</v>
      </c>
    </row>
    <row r="252" spans="1:35" x14ac:dyDescent="0.35">
      <c r="A252" s="1">
        <v>1250</v>
      </c>
      <c r="B252" s="2">
        <v>44458</v>
      </c>
      <c r="C252" s="1" t="s">
        <v>35</v>
      </c>
      <c r="D252" s="1" t="s">
        <v>49</v>
      </c>
      <c r="E252" s="1" t="s">
        <v>12</v>
      </c>
      <c r="F252" s="1">
        <v>2340.94</v>
      </c>
      <c r="G252" s="1" t="s">
        <v>218</v>
      </c>
      <c r="H252" s="2">
        <v>29792</v>
      </c>
      <c r="I252" s="2">
        <v>44460</v>
      </c>
      <c r="J252" s="1">
        <v>22.07</v>
      </c>
      <c r="K252" s="1">
        <f t="shared" si="12"/>
        <v>516.64545800000008</v>
      </c>
      <c r="L252" s="1">
        <f t="shared" si="13"/>
        <v>1824.2945420000001</v>
      </c>
      <c r="U252">
        <v>2691.9591700000001</v>
      </c>
      <c r="X252" s="1">
        <v>1340</v>
      </c>
      <c r="Y252" s="2">
        <v>44612</v>
      </c>
      <c r="Z252" s="1" t="str">
        <v>North</v>
      </c>
      <c r="AA252" s="1" t="str">
        <v>Oil</v>
      </c>
      <c r="AB252" s="1" t="str">
        <v>Groceries</v>
      </c>
      <c r="AC252" s="1">
        <v>3840.17</v>
      </c>
      <c r="AD252" s="1" t="str">
        <v>Robert Harris</v>
      </c>
      <c r="AE252" s="1">
        <v>32205</v>
      </c>
      <c r="AF252" s="1">
        <v>44622</v>
      </c>
      <c r="AG252" s="1">
        <v>29.9</v>
      </c>
      <c r="AH252" s="1">
        <v>1148.21083</v>
      </c>
      <c r="AI252" s="1">
        <v>2691.9591700000001</v>
      </c>
    </row>
    <row r="253" spans="1:35" x14ac:dyDescent="0.35">
      <c r="A253" s="1">
        <v>1251</v>
      </c>
      <c r="B253" s="2">
        <v>45121</v>
      </c>
      <c r="C253" s="1" t="s">
        <v>21</v>
      </c>
      <c r="D253" s="1" t="s">
        <v>38</v>
      </c>
      <c r="E253" s="1" t="s">
        <v>28</v>
      </c>
      <c r="F253" s="1">
        <v>898.44</v>
      </c>
      <c r="G253" s="1" t="s">
        <v>152</v>
      </c>
      <c r="H253" s="2">
        <v>24792</v>
      </c>
      <c r="I253" s="2">
        <v>45128</v>
      </c>
      <c r="J253" s="1">
        <v>19.48</v>
      </c>
      <c r="K253" s="1">
        <f t="shared" si="12"/>
        <v>175.01611200000002</v>
      </c>
      <c r="L253" s="1">
        <f t="shared" si="13"/>
        <v>723.42388800000003</v>
      </c>
      <c r="U253">
        <v>1252.178328</v>
      </c>
      <c r="X253" s="1">
        <v>1341</v>
      </c>
      <c r="Y253" s="2">
        <v>45522</v>
      </c>
      <c r="Z253" s="1" t="str">
        <v>East</v>
      </c>
      <c r="AA253" s="1" t="str">
        <v>Sofa</v>
      </c>
      <c r="AB253" s="1" t="str">
        <v>Furniture</v>
      </c>
      <c r="AC253" s="1">
        <v>1977.54</v>
      </c>
      <c r="AD253" s="1" t="str">
        <v>Zachary Anthony</v>
      </c>
      <c r="AE253" s="1">
        <v>34704</v>
      </c>
      <c r="AF253" s="1">
        <v>45535</v>
      </c>
      <c r="AG253" s="1">
        <v>36.68</v>
      </c>
      <c r="AH253" s="1">
        <v>725.361672</v>
      </c>
      <c r="AI253" s="1">
        <v>1252.178328</v>
      </c>
    </row>
    <row r="254" spans="1:35" x14ac:dyDescent="0.35">
      <c r="A254" s="1">
        <v>1252</v>
      </c>
      <c r="B254" s="2">
        <v>45116</v>
      </c>
      <c r="C254" s="1" t="s">
        <v>21</v>
      </c>
      <c r="D254" s="1" t="s">
        <v>38</v>
      </c>
      <c r="E254" s="1" t="s">
        <v>28</v>
      </c>
      <c r="F254" s="1">
        <v>2705.86</v>
      </c>
      <c r="G254" s="1" t="s">
        <v>219</v>
      </c>
      <c r="H254" s="2">
        <v>25321</v>
      </c>
      <c r="I254" s="2">
        <v>45121</v>
      </c>
      <c r="J254" s="1">
        <v>48.33</v>
      </c>
      <c r="K254" s="1">
        <f t="shared" si="12"/>
        <v>1307.7421380000001</v>
      </c>
      <c r="L254" s="1">
        <f t="shared" si="13"/>
        <v>1398.1178620000001</v>
      </c>
      <c r="U254">
        <v>2106.2128199999997</v>
      </c>
      <c r="X254" s="1">
        <v>1345</v>
      </c>
      <c r="Y254" s="2">
        <v>44608</v>
      </c>
      <c r="Z254" s="1" t="str">
        <v>South</v>
      </c>
      <c r="AA254" s="1" t="str">
        <v>Cricket Bat</v>
      </c>
      <c r="AB254" s="1" t="str">
        <v>Sports</v>
      </c>
      <c r="AC254" s="1">
        <v>3013.18</v>
      </c>
      <c r="AD254" s="1" t="str">
        <v>Anthony Kim</v>
      </c>
      <c r="AE254" s="1">
        <v>34205</v>
      </c>
      <c r="AF254" s="1">
        <v>44616</v>
      </c>
      <c r="AG254" s="1">
        <v>30.1</v>
      </c>
      <c r="AH254" s="1">
        <v>906.96717999999987</v>
      </c>
      <c r="AI254" s="1">
        <v>2106.2128199999997</v>
      </c>
    </row>
    <row r="255" spans="1:35" x14ac:dyDescent="0.35">
      <c r="A255" s="1">
        <v>1253</v>
      </c>
      <c r="B255" s="2">
        <v>44995</v>
      </c>
      <c r="C255" s="1" t="s">
        <v>10</v>
      </c>
      <c r="D255" s="1" t="s">
        <v>24</v>
      </c>
      <c r="E255" s="1" t="s">
        <v>19</v>
      </c>
      <c r="F255" s="1">
        <v>4945.4399999999996</v>
      </c>
      <c r="G255" s="1" t="s">
        <v>118</v>
      </c>
      <c r="H255" s="2">
        <v>22599</v>
      </c>
      <c r="I255" s="2">
        <v>44999</v>
      </c>
      <c r="J255" s="1">
        <v>23.04</v>
      </c>
      <c r="K255" s="1">
        <f t="shared" si="12"/>
        <v>1139.4293759999998</v>
      </c>
      <c r="L255" s="1">
        <f t="shared" si="13"/>
        <v>3806.0106239999996</v>
      </c>
      <c r="U255">
        <v>2185.6153690000001</v>
      </c>
      <c r="X255" s="1">
        <v>1346</v>
      </c>
      <c r="Y255" s="2">
        <v>44107</v>
      </c>
      <c r="Z255" s="1" t="str">
        <v>East</v>
      </c>
      <c r="AA255" s="1" t="str">
        <v>Tennis Racket</v>
      </c>
      <c r="AB255" s="1" t="str">
        <v>Sports</v>
      </c>
      <c r="AC255" s="1">
        <v>2617.19</v>
      </c>
      <c r="AD255" s="1" t="str">
        <v>Angela Mooney</v>
      </c>
      <c r="AE255" s="1">
        <v>25516</v>
      </c>
      <c r="AF255" s="1">
        <v>44110</v>
      </c>
      <c r="AG255" s="1">
        <v>16.489999999999998</v>
      </c>
      <c r="AH255" s="1">
        <v>431.57463100000001</v>
      </c>
      <c r="AI255" s="1">
        <v>2185.6153690000001</v>
      </c>
    </row>
    <row r="256" spans="1:35" x14ac:dyDescent="0.35">
      <c r="A256" s="1">
        <v>1254</v>
      </c>
      <c r="B256" s="2">
        <v>45777</v>
      </c>
      <c r="C256" s="1" t="s">
        <v>21</v>
      </c>
      <c r="D256" s="1" t="s">
        <v>58</v>
      </c>
      <c r="E256" s="1" t="s">
        <v>31</v>
      </c>
      <c r="F256" s="1">
        <v>1796.08</v>
      </c>
      <c r="G256" s="1" t="s">
        <v>176</v>
      </c>
      <c r="H256" s="2">
        <v>33282</v>
      </c>
      <c r="I256" s="2">
        <v>45788</v>
      </c>
      <c r="J256" s="1">
        <v>3.3</v>
      </c>
      <c r="K256" s="1">
        <f t="shared" si="12"/>
        <v>59.27064</v>
      </c>
      <c r="L256" s="1">
        <f t="shared" si="13"/>
        <v>1736.80936</v>
      </c>
      <c r="U256">
        <v>3905.1320779999996</v>
      </c>
      <c r="X256" s="1">
        <v>1347</v>
      </c>
      <c r="Y256" s="2">
        <v>45525</v>
      </c>
      <c r="Z256" s="1" t="str">
        <v>East</v>
      </c>
      <c r="AA256" s="1" t="str">
        <v>Camera</v>
      </c>
      <c r="AB256" s="1" t="str">
        <v>Electronics</v>
      </c>
      <c r="AC256" s="1">
        <v>4991.8599999999997</v>
      </c>
      <c r="AD256" s="1" t="str">
        <v>Jessica Cruz</v>
      </c>
      <c r="AE256" s="1">
        <v>36216</v>
      </c>
      <c r="AF256" s="1">
        <v>45527</v>
      </c>
      <c r="AG256" s="1">
        <v>21.77</v>
      </c>
      <c r="AH256" s="1">
        <v>1086.727922</v>
      </c>
      <c r="AI256" s="1">
        <v>3905.1320779999996</v>
      </c>
    </row>
    <row r="257" spans="1:35" x14ac:dyDescent="0.35">
      <c r="A257" s="1">
        <v>1255</v>
      </c>
      <c r="B257" s="2">
        <v>44791</v>
      </c>
      <c r="C257" s="1" t="s">
        <v>35</v>
      </c>
      <c r="D257" s="1" t="s">
        <v>69</v>
      </c>
      <c r="E257" s="1" t="s">
        <v>31</v>
      </c>
      <c r="F257" s="1">
        <v>1032.53</v>
      </c>
      <c r="G257" s="1" t="s">
        <v>157</v>
      </c>
      <c r="H257" s="2">
        <v>37189</v>
      </c>
      <c r="I257" s="2">
        <v>44793</v>
      </c>
      <c r="J257" s="1">
        <v>47.26</v>
      </c>
      <c r="K257" s="1">
        <f t="shared" si="12"/>
        <v>487.97367799999995</v>
      </c>
      <c r="L257" s="1">
        <f t="shared" si="13"/>
        <v>544.55632200000002</v>
      </c>
      <c r="U257">
        <v>1587.9928870000001</v>
      </c>
      <c r="X257" s="1">
        <v>1348</v>
      </c>
      <c r="Y257" s="2">
        <v>45264</v>
      </c>
      <c r="Z257" s="1" t="str">
        <v>West</v>
      </c>
      <c r="AA257" s="1" t="str">
        <v>Jacket</v>
      </c>
      <c r="AB257" s="1" t="str">
        <v>Clothing</v>
      </c>
      <c r="AC257" s="1">
        <v>2795.27</v>
      </c>
      <c r="AD257" s="1" t="str">
        <v>Timothy Castaneda</v>
      </c>
      <c r="AE257" s="1">
        <v>31880</v>
      </c>
      <c r="AF257" s="1">
        <v>45278</v>
      </c>
      <c r="AG257" s="1">
        <v>43.19</v>
      </c>
      <c r="AH257" s="1">
        <v>1207.2771129999999</v>
      </c>
      <c r="AI257" s="1">
        <v>1587.9928870000001</v>
      </c>
    </row>
    <row r="258" spans="1:35" x14ac:dyDescent="0.35">
      <c r="A258" s="1">
        <v>1256</v>
      </c>
      <c r="B258" s="2">
        <v>44829</v>
      </c>
      <c r="C258" s="1" t="s">
        <v>10</v>
      </c>
      <c r="D258" s="1" t="s">
        <v>22</v>
      </c>
      <c r="E258" s="1" t="s">
        <v>19</v>
      </c>
      <c r="F258" s="1">
        <v>1161.73</v>
      </c>
      <c r="G258" s="1" t="s">
        <v>220</v>
      </c>
      <c r="H258" s="2">
        <v>30755</v>
      </c>
      <c r="I258" s="2">
        <v>44838</v>
      </c>
      <c r="J258" s="1">
        <v>8.2799999999999994</v>
      </c>
      <c r="K258" s="1">
        <f t="shared" si="12"/>
        <v>96.191243999999998</v>
      </c>
      <c r="L258" s="1">
        <f t="shared" si="13"/>
        <v>1065.5387559999999</v>
      </c>
      <c r="U258">
        <v>1620.2546690000001</v>
      </c>
      <c r="X258" s="1">
        <v>1350</v>
      </c>
      <c r="Y258" s="2">
        <v>45834</v>
      </c>
      <c r="Z258" s="1" t="str">
        <v>North</v>
      </c>
      <c r="AA258" s="1" t="str">
        <v>Shoes</v>
      </c>
      <c r="AB258" s="1" t="str">
        <v>Sports</v>
      </c>
      <c r="AC258" s="1">
        <v>1668.13</v>
      </c>
      <c r="AD258" s="1" t="str">
        <v>Kim Brown</v>
      </c>
      <c r="AE258" s="1">
        <v>24368</v>
      </c>
      <c r="AF258" s="1">
        <v>45845</v>
      </c>
      <c r="AG258" s="1">
        <v>2.87</v>
      </c>
      <c r="AH258" s="1">
        <v>47.875331000000003</v>
      </c>
      <c r="AI258" s="1">
        <v>1620.2546690000001</v>
      </c>
    </row>
    <row r="259" spans="1:35" x14ac:dyDescent="0.35">
      <c r="A259" s="1">
        <v>1257</v>
      </c>
      <c r="B259" s="2">
        <v>45205</v>
      </c>
      <c r="C259" s="1" t="s">
        <v>35</v>
      </c>
      <c r="D259" s="1" t="s">
        <v>24</v>
      </c>
      <c r="E259" s="1" t="s">
        <v>19</v>
      </c>
      <c r="F259" s="1">
        <v>544.44000000000005</v>
      </c>
      <c r="G259" s="1" t="s">
        <v>221</v>
      </c>
      <c r="H259" s="2">
        <v>35658</v>
      </c>
      <c r="I259" s="2">
        <v>45214</v>
      </c>
      <c r="J259" s="1">
        <v>38.49</v>
      </c>
      <c r="K259" s="1">
        <f t="shared" ref="K259:K322" si="14">F259*J259%</f>
        <v>209.55495600000003</v>
      </c>
      <c r="L259" s="1">
        <f t="shared" ref="L259:L322" si="15">F259-K259</f>
        <v>334.88504399999999</v>
      </c>
      <c r="U259">
        <v>3167.8848599999997</v>
      </c>
      <c r="X259" s="1">
        <v>1351</v>
      </c>
      <c r="Y259" s="2">
        <v>45729</v>
      </c>
      <c r="Z259" s="1" t="str">
        <v>North</v>
      </c>
      <c r="AA259" s="1" t="str">
        <v>Oil</v>
      </c>
      <c r="AB259" s="1" t="str">
        <v>Groceries</v>
      </c>
      <c r="AC259" s="1">
        <v>4136.7</v>
      </c>
      <c r="AD259" s="1" t="str">
        <v>Brian Lee</v>
      </c>
      <c r="AE259" s="1">
        <v>23735</v>
      </c>
      <c r="AF259" s="1">
        <v>45732</v>
      </c>
      <c r="AG259" s="1">
        <v>23.42</v>
      </c>
      <c r="AH259" s="1">
        <v>968.81514000000004</v>
      </c>
      <c r="AI259" s="1">
        <v>3167.8848599999997</v>
      </c>
    </row>
    <row r="260" spans="1:35" x14ac:dyDescent="0.35">
      <c r="A260" s="1">
        <v>1258</v>
      </c>
      <c r="B260" s="2">
        <v>44533</v>
      </c>
      <c r="C260" s="1" t="s">
        <v>26</v>
      </c>
      <c r="D260" s="1" t="s">
        <v>49</v>
      </c>
      <c r="E260" s="1" t="s">
        <v>12</v>
      </c>
      <c r="F260" s="1">
        <v>4156.28</v>
      </c>
      <c r="G260" s="1" t="s">
        <v>110</v>
      </c>
      <c r="H260" s="2">
        <v>32064</v>
      </c>
      <c r="I260" s="2">
        <v>44535</v>
      </c>
      <c r="J260" s="1">
        <v>11.58</v>
      </c>
      <c r="K260" s="1">
        <f t="shared" si="14"/>
        <v>481.29722399999997</v>
      </c>
      <c r="L260" s="1">
        <f t="shared" si="15"/>
        <v>3674.9827759999998</v>
      </c>
      <c r="U260">
        <v>2329.7492190000003</v>
      </c>
      <c r="X260" s="1">
        <v>1352</v>
      </c>
      <c r="Y260" s="2">
        <v>45140</v>
      </c>
      <c r="Z260" s="1" t="str">
        <v>West</v>
      </c>
      <c r="AA260" s="1" t="str">
        <v>Cap</v>
      </c>
      <c r="AB260" s="1" t="str">
        <v>Clothing</v>
      </c>
      <c r="AC260" s="1">
        <v>4005.07</v>
      </c>
      <c r="AD260" s="1" t="str">
        <v>Jason Gomez</v>
      </c>
      <c r="AE260" s="1">
        <v>32685</v>
      </c>
      <c r="AF260" s="1">
        <v>45143</v>
      </c>
      <c r="AG260" s="1">
        <v>41.83</v>
      </c>
      <c r="AH260" s="1">
        <v>1675.3207810000001</v>
      </c>
      <c r="AI260" s="1">
        <v>2329.7492190000003</v>
      </c>
    </row>
    <row r="261" spans="1:35" x14ac:dyDescent="0.35">
      <c r="A261" s="1">
        <v>1259</v>
      </c>
      <c r="B261" s="2">
        <v>44840</v>
      </c>
      <c r="C261" s="1" t="s">
        <v>21</v>
      </c>
      <c r="D261" s="1" t="s">
        <v>11</v>
      </c>
      <c r="E261" s="1" t="s">
        <v>12</v>
      </c>
      <c r="F261" s="1">
        <v>1970.21</v>
      </c>
      <c r="G261" s="1" t="s">
        <v>222</v>
      </c>
      <c r="H261" s="2">
        <v>28619</v>
      </c>
      <c r="I261" s="2">
        <v>44850</v>
      </c>
      <c r="J261" s="1">
        <v>11.03</v>
      </c>
      <c r="K261" s="1">
        <f t="shared" si="14"/>
        <v>217.31416300000001</v>
      </c>
      <c r="L261" s="1">
        <f t="shared" si="15"/>
        <v>1752.895837</v>
      </c>
      <c r="U261">
        <v>3275.0084879999999</v>
      </c>
      <c r="X261" s="1">
        <v>1354</v>
      </c>
      <c r="Y261" s="2">
        <v>44391</v>
      </c>
      <c r="Z261" s="1" t="str">
        <v>North</v>
      </c>
      <c r="AA261" s="1" t="str">
        <v>Jacket</v>
      </c>
      <c r="AB261" s="1" t="str">
        <v>Clothing</v>
      </c>
      <c r="AC261" s="1">
        <v>4025.33</v>
      </c>
      <c r="AD261" s="1" t="str">
        <v>Joshua Joseph</v>
      </c>
      <c r="AE261" s="1">
        <v>29386</v>
      </c>
      <c r="AF261" s="1">
        <v>44403</v>
      </c>
      <c r="AG261" s="1">
        <v>18.64</v>
      </c>
      <c r="AH261" s="1">
        <v>750.32151199999998</v>
      </c>
      <c r="AI261" s="1">
        <v>3275.0084879999999</v>
      </c>
    </row>
    <row r="262" spans="1:35" x14ac:dyDescent="0.35">
      <c r="A262" s="1">
        <v>1260</v>
      </c>
      <c r="B262" s="2">
        <v>44890</v>
      </c>
      <c r="C262" s="1" t="s">
        <v>35</v>
      </c>
      <c r="D262" s="1" t="s">
        <v>73</v>
      </c>
      <c r="E262" s="1" t="s">
        <v>28</v>
      </c>
      <c r="F262" s="1">
        <v>4251.99</v>
      </c>
      <c r="G262" s="1" t="s">
        <v>186</v>
      </c>
      <c r="H262" s="2">
        <v>39193</v>
      </c>
      <c r="I262" s="2">
        <v>44903</v>
      </c>
      <c r="J262" s="1">
        <v>34.770000000000003</v>
      </c>
      <c r="K262" s="1">
        <f t="shared" si="14"/>
        <v>1478.416923</v>
      </c>
      <c r="L262" s="1">
        <f t="shared" si="15"/>
        <v>2773.573077</v>
      </c>
      <c r="U262">
        <v>1087.4213099999999</v>
      </c>
      <c r="X262" s="1">
        <v>1355</v>
      </c>
      <c r="Y262" s="2">
        <v>44701</v>
      </c>
      <c r="Z262" s="1" t="str">
        <v>East</v>
      </c>
      <c r="AA262" s="1" t="str">
        <v>Football</v>
      </c>
      <c r="AB262" s="1" t="str">
        <v>Sports</v>
      </c>
      <c r="AC262" s="1">
        <v>1665.27</v>
      </c>
      <c r="AD262" s="1" t="str">
        <v>Colin Garcia</v>
      </c>
      <c r="AE262" s="1">
        <v>37783</v>
      </c>
      <c r="AF262" s="1">
        <v>44713</v>
      </c>
      <c r="AG262" s="1">
        <v>34.700000000000003</v>
      </c>
      <c r="AH262" s="1">
        <v>577.84869000000003</v>
      </c>
      <c r="AI262" s="1">
        <v>1087.4213099999999</v>
      </c>
    </row>
    <row r="263" spans="1:35" x14ac:dyDescent="0.35">
      <c r="A263" s="1">
        <v>1261</v>
      </c>
      <c r="B263" s="2">
        <v>44437</v>
      </c>
      <c r="C263" s="1" t="s">
        <v>21</v>
      </c>
      <c r="D263" s="1" t="s">
        <v>61</v>
      </c>
      <c r="E263" s="1" t="s">
        <v>19</v>
      </c>
      <c r="F263" s="1">
        <v>2814.81</v>
      </c>
      <c r="G263" s="1" t="s">
        <v>119</v>
      </c>
      <c r="H263" s="2">
        <v>34954</v>
      </c>
      <c r="I263" s="2">
        <v>44444</v>
      </c>
      <c r="J263" s="1">
        <v>36.85</v>
      </c>
      <c r="K263" s="1">
        <f t="shared" si="14"/>
        <v>1037.2574849999999</v>
      </c>
      <c r="L263" s="1">
        <f t="shared" si="15"/>
        <v>1777.5525150000001</v>
      </c>
      <c r="U263">
        <v>3119.5809880000002</v>
      </c>
      <c r="X263" s="1">
        <v>1356</v>
      </c>
      <c r="Y263" s="2">
        <v>44231</v>
      </c>
      <c r="Z263" s="1" t="str">
        <v>North</v>
      </c>
      <c r="AA263" s="1" t="str">
        <v>Milk</v>
      </c>
      <c r="AB263" s="1" t="str">
        <v>Groceries</v>
      </c>
      <c r="AC263" s="1">
        <v>3294.52</v>
      </c>
      <c r="AD263" s="1" t="str">
        <v>Justin Martinez</v>
      </c>
      <c r="AE263" s="1">
        <v>28555</v>
      </c>
      <c r="AF263" s="1">
        <v>44243</v>
      </c>
      <c r="AG263" s="1">
        <v>5.31</v>
      </c>
      <c r="AH263" s="1">
        <v>174.93901199999999</v>
      </c>
      <c r="AI263" s="1">
        <v>3119.5809880000002</v>
      </c>
    </row>
    <row r="264" spans="1:35" x14ac:dyDescent="0.35">
      <c r="A264" s="1">
        <v>1262</v>
      </c>
      <c r="B264" s="2">
        <v>45103</v>
      </c>
      <c r="C264" s="1" t="s">
        <v>10</v>
      </c>
      <c r="D264" s="1" t="s">
        <v>73</v>
      </c>
      <c r="E264" s="1" t="s">
        <v>28</v>
      </c>
      <c r="F264" s="1">
        <v>2491.4899999999998</v>
      </c>
      <c r="G264" s="1" t="s">
        <v>221</v>
      </c>
      <c r="H264" s="2">
        <v>35658</v>
      </c>
      <c r="I264" s="2">
        <v>45113</v>
      </c>
      <c r="J264" s="1">
        <v>21.1</v>
      </c>
      <c r="K264" s="1">
        <f t="shared" si="14"/>
        <v>525.70438999999999</v>
      </c>
      <c r="L264" s="1">
        <f t="shared" si="15"/>
        <v>1965.7856099999999</v>
      </c>
      <c r="U264">
        <v>2328.3757599999999</v>
      </c>
      <c r="X264" s="1">
        <v>1357</v>
      </c>
      <c r="Y264" s="2">
        <v>44525</v>
      </c>
      <c r="Z264" s="1" t="str">
        <v>West</v>
      </c>
      <c r="AA264" s="1" t="str">
        <v>Milk</v>
      </c>
      <c r="AB264" s="1" t="str">
        <v>Groceries</v>
      </c>
      <c r="AC264" s="1">
        <v>3300.32</v>
      </c>
      <c r="AD264" s="1" t="str">
        <v>Nathaniel Gonzalez</v>
      </c>
      <c r="AE264" s="1">
        <v>31082</v>
      </c>
      <c r="AF264" s="1">
        <v>44534</v>
      </c>
      <c r="AG264" s="1">
        <v>29.45</v>
      </c>
      <c r="AH264" s="1">
        <v>971.94424000000004</v>
      </c>
      <c r="AI264" s="1">
        <v>2328.3757599999999</v>
      </c>
    </row>
    <row r="265" spans="1:35" x14ac:dyDescent="0.35">
      <c r="A265" s="1">
        <v>1263</v>
      </c>
      <c r="B265" s="2">
        <v>44413</v>
      </c>
      <c r="C265" s="1" t="s">
        <v>14</v>
      </c>
      <c r="D265" s="1" t="s">
        <v>18</v>
      </c>
      <c r="E265" s="1" t="s">
        <v>19</v>
      </c>
      <c r="F265" s="1">
        <v>3097.86</v>
      </c>
      <c r="G265" s="1" t="s">
        <v>145</v>
      </c>
      <c r="H265" s="2">
        <v>23470</v>
      </c>
      <c r="I265" s="2">
        <v>44419</v>
      </c>
      <c r="J265" s="1">
        <v>41.73</v>
      </c>
      <c r="K265" s="1">
        <f t="shared" si="14"/>
        <v>1292.7369779999999</v>
      </c>
      <c r="L265" s="1">
        <f t="shared" si="15"/>
        <v>1805.1230220000002</v>
      </c>
      <c r="U265">
        <v>2116.9027800000003</v>
      </c>
      <c r="X265" s="1">
        <v>1359</v>
      </c>
      <c r="Y265" s="2">
        <v>45276</v>
      </c>
      <c r="Z265" s="1" t="str">
        <v>Central</v>
      </c>
      <c r="AA265" s="1" t="str">
        <v>Cap</v>
      </c>
      <c r="AB265" s="1" t="str">
        <v>Clothing</v>
      </c>
      <c r="AC265" s="1">
        <v>3637.29</v>
      </c>
      <c r="AD265" s="1" t="str">
        <v>Karen Johnson</v>
      </c>
      <c r="AE265" s="1">
        <v>33892</v>
      </c>
      <c r="AF265" s="1">
        <v>45282</v>
      </c>
      <c r="AG265" s="1">
        <v>41.8</v>
      </c>
      <c r="AH265" s="1">
        <v>1520.3872199999998</v>
      </c>
      <c r="AI265" s="1">
        <v>2116.9027800000003</v>
      </c>
    </row>
    <row r="266" spans="1:35" x14ac:dyDescent="0.35">
      <c r="A266" s="1">
        <v>1264</v>
      </c>
      <c r="B266" s="2">
        <v>45805</v>
      </c>
      <c r="C266" s="1" t="s">
        <v>10</v>
      </c>
      <c r="D266" s="1" t="s">
        <v>38</v>
      </c>
      <c r="E266" s="1" t="s">
        <v>28</v>
      </c>
      <c r="F266" s="1">
        <v>762.49</v>
      </c>
      <c r="G266" s="1" t="s">
        <v>32</v>
      </c>
      <c r="H266" s="2">
        <v>27166</v>
      </c>
      <c r="I266" s="2">
        <v>45807</v>
      </c>
      <c r="J266" s="1">
        <v>16.559999999999999</v>
      </c>
      <c r="K266" s="1">
        <f t="shared" si="14"/>
        <v>126.268344</v>
      </c>
      <c r="L266" s="1">
        <f t="shared" si="15"/>
        <v>636.22165600000005</v>
      </c>
      <c r="U266">
        <v>2963.2699279999997</v>
      </c>
      <c r="X266" s="1">
        <v>1360</v>
      </c>
      <c r="Y266" s="2">
        <v>44443</v>
      </c>
      <c r="Z266" s="1" t="str">
        <v>South</v>
      </c>
      <c r="AA266" s="1" t="str">
        <v>Headphones</v>
      </c>
      <c r="AB266" s="1" t="str">
        <v>Electronics</v>
      </c>
      <c r="AC266" s="1">
        <v>3902.12</v>
      </c>
      <c r="AD266" s="1" t="str">
        <v>Michelle Davis</v>
      </c>
      <c r="AE266" s="1">
        <v>34367</v>
      </c>
      <c r="AF266" s="1">
        <v>44455</v>
      </c>
      <c r="AG266" s="1">
        <v>24.06</v>
      </c>
      <c r="AH266" s="1">
        <v>938.85007199999995</v>
      </c>
      <c r="AI266" s="1">
        <v>2963.2699279999997</v>
      </c>
    </row>
    <row r="267" spans="1:35" x14ac:dyDescent="0.35">
      <c r="A267" s="1">
        <v>1265</v>
      </c>
      <c r="B267" s="2">
        <v>45103</v>
      </c>
      <c r="C267" s="1" t="s">
        <v>35</v>
      </c>
      <c r="D267" s="1" t="s">
        <v>61</v>
      </c>
      <c r="E267" s="1" t="s">
        <v>19</v>
      </c>
      <c r="F267" s="1">
        <v>3658.32</v>
      </c>
      <c r="G267" s="1" t="s">
        <v>63</v>
      </c>
      <c r="H267" s="2">
        <v>25430</v>
      </c>
      <c r="I267" s="2">
        <v>45116</v>
      </c>
      <c r="J267" s="1">
        <v>27.9</v>
      </c>
      <c r="K267" s="1">
        <f t="shared" si="14"/>
        <v>1020.6712799999999</v>
      </c>
      <c r="L267" s="1">
        <f t="shared" si="15"/>
        <v>2637.6487200000001</v>
      </c>
      <c r="U267">
        <v>2793.7057519999998</v>
      </c>
      <c r="X267" s="1">
        <v>1362</v>
      </c>
      <c r="Y267" s="2">
        <v>44105</v>
      </c>
      <c r="Z267" s="1" t="str">
        <v>Central</v>
      </c>
      <c r="AA267" s="1" t="str">
        <v>Smartphone</v>
      </c>
      <c r="AB267" s="1" t="str">
        <v>Electronics</v>
      </c>
      <c r="AC267" s="1">
        <v>3442.22</v>
      </c>
      <c r="AD267" s="1" t="str">
        <v>Kerry Hines</v>
      </c>
      <c r="AE267" s="1">
        <v>34011</v>
      </c>
      <c r="AF267" s="1">
        <v>44107</v>
      </c>
      <c r="AG267" s="1">
        <v>18.84</v>
      </c>
      <c r="AH267" s="1">
        <v>648.51424799999995</v>
      </c>
      <c r="AI267" s="1">
        <v>2793.7057519999998</v>
      </c>
    </row>
    <row r="268" spans="1:35" x14ac:dyDescent="0.35">
      <c r="A268" s="1">
        <v>1266</v>
      </c>
      <c r="B268" s="2">
        <v>45878</v>
      </c>
      <c r="C268" s="1" t="s">
        <v>35</v>
      </c>
      <c r="D268" s="1" t="s">
        <v>33</v>
      </c>
      <c r="E268" s="1" t="s">
        <v>16</v>
      </c>
      <c r="F268" s="1">
        <v>4570.67</v>
      </c>
      <c r="G268" s="1" t="s">
        <v>223</v>
      </c>
      <c r="H268" s="2">
        <v>35407</v>
      </c>
      <c r="I268" s="2">
        <v>45880</v>
      </c>
      <c r="J268" s="1">
        <v>40.4</v>
      </c>
      <c r="K268" s="1">
        <f t="shared" si="14"/>
        <v>1846.5506799999998</v>
      </c>
      <c r="L268" s="1">
        <f t="shared" si="15"/>
        <v>2724.1193200000002</v>
      </c>
      <c r="U268">
        <v>3799.523608</v>
      </c>
      <c r="X268" s="1">
        <v>1365</v>
      </c>
      <c r="Y268" s="2">
        <v>44557</v>
      </c>
      <c r="Z268" s="1" t="str">
        <v>North</v>
      </c>
      <c r="AA268" s="1" t="str">
        <v>Jeans</v>
      </c>
      <c r="AB268" s="1" t="str">
        <v>Clothing</v>
      </c>
      <c r="AC268" s="1">
        <v>3989.42</v>
      </c>
      <c r="AD268" s="1" t="str">
        <v>Harry Holmes</v>
      </c>
      <c r="AE268" s="1">
        <v>25712</v>
      </c>
      <c r="AF268" s="1">
        <v>44563</v>
      </c>
      <c r="AG268" s="1">
        <v>4.76</v>
      </c>
      <c r="AH268" s="1">
        <v>189.89639199999999</v>
      </c>
      <c r="AI268" s="1">
        <v>3799.523608</v>
      </c>
    </row>
    <row r="269" spans="1:35" x14ac:dyDescent="0.35">
      <c r="A269" s="1">
        <v>1267</v>
      </c>
      <c r="B269" s="2">
        <v>44454</v>
      </c>
      <c r="C269" s="1" t="s">
        <v>26</v>
      </c>
      <c r="D269" s="1" t="s">
        <v>36</v>
      </c>
      <c r="E269" s="1" t="s">
        <v>28</v>
      </c>
      <c r="F269" s="1">
        <v>175.11</v>
      </c>
      <c r="G269" s="1" t="s">
        <v>224</v>
      </c>
      <c r="H269" s="2">
        <v>35405</v>
      </c>
      <c r="I269" s="2">
        <v>44461</v>
      </c>
      <c r="J269" s="1">
        <v>23.84</v>
      </c>
      <c r="K269" s="1">
        <f t="shared" si="14"/>
        <v>41.746224000000005</v>
      </c>
      <c r="L269" s="1">
        <f t="shared" si="15"/>
        <v>133.363776</v>
      </c>
      <c r="U269">
        <v>3312.658512</v>
      </c>
      <c r="X269" s="1">
        <v>1366</v>
      </c>
      <c r="Y269" s="2">
        <v>44384</v>
      </c>
      <c r="Z269" s="1" t="str">
        <v>West</v>
      </c>
      <c r="AA269" s="1" t="str">
        <v>Sofa</v>
      </c>
      <c r="AB269" s="1" t="str">
        <v>Furniture</v>
      </c>
      <c r="AC269" s="1">
        <v>3857.76</v>
      </c>
      <c r="AD269" s="1" t="str">
        <v>Debbie Jensen</v>
      </c>
      <c r="AE269" s="1">
        <v>29103</v>
      </c>
      <c r="AF269" s="1">
        <v>44392</v>
      </c>
      <c r="AG269" s="1">
        <v>14.13</v>
      </c>
      <c r="AH269" s="1">
        <v>545.10148800000002</v>
      </c>
      <c r="AI269" s="1">
        <v>3312.658512</v>
      </c>
    </row>
    <row r="270" spans="1:35" x14ac:dyDescent="0.35">
      <c r="A270" s="1">
        <v>1268</v>
      </c>
      <c r="B270" s="2">
        <v>44776</v>
      </c>
      <c r="C270" s="1" t="s">
        <v>10</v>
      </c>
      <c r="D270" s="1" t="s">
        <v>69</v>
      </c>
      <c r="E270" s="1" t="s">
        <v>12</v>
      </c>
      <c r="F270" s="1">
        <v>1206.06</v>
      </c>
      <c r="G270" s="1" t="s">
        <v>32</v>
      </c>
      <c r="H270" s="2">
        <v>27166</v>
      </c>
      <c r="I270" s="2">
        <v>44782</v>
      </c>
      <c r="J270" s="1">
        <v>10.39</v>
      </c>
      <c r="K270" s="1">
        <f t="shared" si="14"/>
        <v>125.309634</v>
      </c>
      <c r="L270" s="1">
        <f t="shared" si="15"/>
        <v>1080.750366</v>
      </c>
      <c r="U270">
        <v>1909.4828620000001</v>
      </c>
      <c r="X270" s="1">
        <v>1369</v>
      </c>
      <c r="Y270" s="2">
        <v>45674</v>
      </c>
      <c r="Z270" s="1" t="str">
        <v>West</v>
      </c>
      <c r="AA270" s="1" t="str">
        <v>Chair</v>
      </c>
      <c r="AB270" s="1" t="str">
        <v>Furniture</v>
      </c>
      <c r="AC270" s="1">
        <v>3121.09</v>
      </c>
      <c r="AD270" s="1" t="str">
        <v>Dorothy Thomas</v>
      </c>
      <c r="AE270" s="1">
        <v>30364</v>
      </c>
      <c r="AF270" s="1">
        <v>45687</v>
      </c>
      <c r="AG270" s="1">
        <v>38.82</v>
      </c>
      <c r="AH270" s="1">
        <v>1211.6071380000001</v>
      </c>
      <c r="AI270" s="1">
        <v>1909.4828620000001</v>
      </c>
    </row>
    <row r="271" spans="1:35" x14ac:dyDescent="0.35">
      <c r="A271" s="1">
        <v>1269</v>
      </c>
      <c r="B271" s="2">
        <v>44135</v>
      </c>
      <c r="C271" s="1" t="s">
        <v>26</v>
      </c>
      <c r="D271" s="1" t="s">
        <v>65</v>
      </c>
      <c r="E271" s="1" t="s">
        <v>19</v>
      </c>
      <c r="F271" s="1">
        <v>800.68</v>
      </c>
      <c r="G271" s="1" t="s">
        <v>129</v>
      </c>
      <c r="H271" s="2">
        <v>26668</v>
      </c>
      <c r="I271" s="2">
        <v>44142</v>
      </c>
      <c r="J271" s="1">
        <v>13.26</v>
      </c>
      <c r="K271" s="1">
        <f t="shared" si="14"/>
        <v>106.17016799999999</v>
      </c>
      <c r="L271" s="1">
        <f t="shared" si="15"/>
        <v>694.50983199999996</v>
      </c>
      <c r="U271">
        <v>1848.3560419999999</v>
      </c>
      <c r="X271" s="1">
        <v>1370</v>
      </c>
      <c r="Y271" s="2">
        <v>45702</v>
      </c>
      <c r="Z271" s="1" t="str">
        <v>West</v>
      </c>
      <c r="AA271" s="1" t="str">
        <v>Cricket Bat</v>
      </c>
      <c r="AB271" s="1" t="str">
        <v>Sports</v>
      </c>
      <c r="AC271" s="1">
        <v>2623.27</v>
      </c>
      <c r="AD271" s="1" t="str">
        <v>Erik Garcia</v>
      </c>
      <c r="AE271" s="1">
        <v>24802</v>
      </c>
      <c r="AF271" s="1">
        <v>45707</v>
      </c>
      <c r="AG271" s="1">
        <v>29.54</v>
      </c>
      <c r="AH271" s="1">
        <v>774.91395799999998</v>
      </c>
      <c r="AI271" s="1">
        <v>1848.3560419999999</v>
      </c>
    </row>
    <row r="272" spans="1:35" x14ac:dyDescent="0.35">
      <c r="A272" s="1">
        <v>1270</v>
      </c>
      <c r="B272" s="2">
        <v>44757</v>
      </c>
      <c r="C272" s="1" t="s">
        <v>35</v>
      </c>
      <c r="D272" s="1" t="s">
        <v>36</v>
      </c>
      <c r="E272" s="1" t="s">
        <v>28</v>
      </c>
      <c r="F272" s="1">
        <v>1878.78</v>
      </c>
      <c r="G272" s="1" t="s">
        <v>46</v>
      </c>
      <c r="H272" s="2">
        <v>24670</v>
      </c>
      <c r="I272" s="2">
        <v>44766</v>
      </c>
      <c r="J272" s="1">
        <v>1.81</v>
      </c>
      <c r="K272" s="1">
        <f t="shared" si="14"/>
        <v>34.005918000000001</v>
      </c>
      <c r="L272" s="1">
        <f t="shared" si="15"/>
        <v>1844.7740819999999</v>
      </c>
      <c r="U272">
        <v>1721.5767699999999</v>
      </c>
      <c r="X272" s="1">
        <v>1371</v>
      </c>
      <c r="Y272" s="2">
        <v>45028</v>
      </c>
      <c r="Z272" s="1" t="str">
        <v>East</v>
      </c>
      <c r="AA272" s="1" t="str">
        <v>Jacket</v>
      </c>
      <c r="AB272" s="1" t="str">
        <v>Clothing</v>
      </c>
      <c r="AC272" s="1">
        <v>3304.37</v>
      </c>
      <c r="AD272" s="1" t="str">
        <v>Steven Santiago</v>
      </c>
      <c r="AE272" s="1">
        <v>38478</v>
      </c>
      <c r="AF272" s="1">
        <v>45034</v>
      </c>
      <c r="AG272" s="1">
        <v>47.9</v>
      </c>
      <c r="AH272" s="1">
        <v>1582.79323</v>
      </c>
      <c r="AI272" s="1">
        <v>1721.5767699999999</v>
      </c>
    </row>
    <row r="273" spans="1:35" x14ac:dyDescent="0.35">
      <c r="A273" s="1">
        <v>1271</v>
      </c>
      <c r="B273" s="2">
        <v>45831</v>
      </c>
      <c r="C273" s="1" t="s">
        <v>14</v>
      </c>
      <c r="D273" s="1" t="s">
        <v>30</v>
      </c>
      <c r="E273" s="1" t="s">
        <v>31</v>
      </c>
      <c r="F273" s="1">
        <v>854.3</v>
      </c>
      <c r="G273" s="1" t="s">
        <v>225</v>
      </c>
      <c r="H273" s="2">
        <v>27641</v>
      </c>
      <c r="I273" s="2">
        <v>45844</v>
      </c>
      <c r="J273" s="1">
        <v>34.979999999999997</v>
      </c>
      <c r="K273" s="1">
        <f t="shared" si="14"/>
        <v>298.83413999999993</v>
      </c>
      <c r="L273" s="1">
        <f t="shared" si="15"/>
        <v>555.46586000000002</v>
      </c>
      <c r="U273">
        <v>2960.4720559999996</v>
      </c>
      <c r="X273" s="1">
        <v>1372</v>
      </c>
      <c r="Y273" s="2">
        <v>44691</v>
      </c>
      <c r="Z273" s="1" t="str">
        <v>East</v>
      </c>
      <c r="AA273" s="1" t="str">
        <v>Oil</v>
      </c>
      <c r="AB273" s="1" t="str">
        <v>Groceries</v>
      </c>
      <c r="AC273" s="1">
        <v>4505.3599999999997</v>
      </c>
      <c r="AD273" s="1" t="str">
        <v>William Key</v>
      </c>
      <c r="AE273" s="1">
        <v>34209</v>
      </c>
      <c r="AF273" s="1">
        <v>44700</v>
      </c>
      <c r="AG273" s="1">
        <v>34.29</v>
      </c>
      <c r="AH273" s="1">
        <v>1544.8879439999998</v>
      </c>
      <c r="AI273" s="1">
        <v>2960.4720559999996</v>
      </c>
    </row>
    <row r="274" spans="1:35" x14ac:dyDescent="0.35">
      <c r="A274" s="1">
        <v>1272</v>
      </c>
      <c r="B274" s="2">
        <v>45875</v>
      </c>
      <c r="C274" s="1" t="s">
        <v>14</v>
      </c>
      <c r="D274" s="1" t="s">
        <v>47</v>
      </c>
      <c r="E274" s="1" t="s">
        <v>12</v>
      </c>
      <c r="F274" s="1">
        <v>3347.21</v>
      </c>
      <c r="G274" s="1" t="s">
        <v>67</v>
      </c>
      <c r="H274" s="2">
        <v>34016</v>
      </c>
      <c r="I274" s="2">
        <v>45880</v>
      </c>
      <c r="J274" s="1">
        <v>41.7</v>
      </c>
      <c r="K274" s="1">
        <f t="shared" si="14"/>
        <v>1395.7865700000002</v>
      </c>
      <c r="L274" s="1">
        <f t="shared" si="15"/>
        <v>1951.4234299999998</v>
      </c>
      <c r="U274">
        <v>3346.42182</v>
      </c>
      <c r="X274" s="1">
        <v>1373</v>
      </c>
      <c r="Y274" s="2">
        <v>45007</v>
      </c>
      <c r="Z274" s="1" t="str">
        <v>East</v>
      </c>
      <c r="AA274" s="1" t="str">
        <v>Laptop</v>
      </c>
      <c r="AB274" s="1" t="str">
        <v>Electronics</v>
      </c>
      <c r="AC274" s="1">
        <v>3528.12</v>
      </c>
      <c r="AD274" s="1" t="str">
        <v>Kimberly Carey</v>
      </c>
      <c r="AE274" s="1">
        <v>24961</v>
      </c>
      <c r="AF274" s="1">
        <v>45008</v>
      </c>
      <c r="AG274" s="1">
        <v>5.15</v>
      </c>
      <c r="AH274" s="1">
        <v>181.69818000000001</v>
      </c>
      <c r="AI274" s="1">
        <v>3346.42182</v>
      </c>
    </row>
    <row r="275" spans="1:35" x14ac:dyDescent="0.35">
      <c r="A275" s="1">
        <v>1273</v>
      </c>
      <c r="B275" s="2">
        <v>45857</v>
      </c>
      <c r="C275" s="1" t="s">
        <v>26</v>
      </c>
      <c r="D275" s="1" t="s">
        <v>53</v>
      </c>
      <c r="E275" s="1" t="s">
        <v>28</v>
      </c>
      <c r="F275" s="1">
        <v>2890.65</v>
      </c>
      <c r="G275" s="1" t="s">
        <v>226</v>
      </c>
      <c r="H275" s="2">
        <v>33332</v>
      </c>
      <c r="I275" s="2">
        <v>45868</v>
      </c>
      <c r="J275" s="1">
        <v>27.79</v>
      </c>
      <c r="K275" s="1">
        <f t="shared" si="14"/>
        <v>803.31163500000002</v>
      </c>
      <c r="L275" s="1">
        <f t="shared" si="15"/>
        <v>2087.3383650000001</v>
      </c>
      <c r="U275">
        <v>2927.6369100000002</v>
      </c>
      <c r="X275" s="1">
        <v>1374</v>
      </c>
      <c r="Y275" s="2">
        <v>45791</v>
      </c>
      <c r="Z275" s="1" t="str">
        <v>Central</v>
      </c>
      <c r="AA275" s="1" t="str">
        <v>Jacket</v>
      </c>
      <c r="AB275" s="1" t="str">
        <v>Clothing</v>
      </c>
      <c r="AC275" s="1">
        <v>3418.14</v>
      </c>
      <c r="AD275" s="1" t="str">
        <v>Brian Tucker</v>
      </c>
      <c r="AE275" s="1">
        <v>27131</v>
      </c>
      <c r="AF275" s="1">
        <v>45795</v>
      </c>
      <c r="AG275" s="1">
        <v>14.35</v>
      </c>
      <c r="AH275" s="1">
        <v>490.50308999999993</v>
      </c>
      <c r="AI275" s="1">
        <v>2927.6369100000002</v>
      </c>
    </row>
    <row r="276" spans="1:35" x14ac:dyDescent="0.35">
      <c r="A276" s="1">
        <v>1274</v>
      </c>
      <c r="B276" s="2">
        <v>45696</v>
      </c>
      <c r="C276" s="1" t="s">
        <v>26</v>
      </c>
      <c r="D276" s="1" t="s">
        <v>49</v>
      </c>
      <c r="E276" s="1" t="s">
        <v>12</v>
      </c>
      <c r="F276" s="1">
        <v>3258.98</v>
      </c>
      <c r="G276" s="1" t="s">
        <v>227</v>
      </c>
      <c r="H276" s="2">
        <v>34932</v>
      </c>
      <c r="I276" s="2">
        <v>45701</v>
      </c>
      <c r="J276" s="1">
        <v>15.98</v>
      </c>
      <c r="K276" s="1">
        <f t="shared" si="14"/>
        <v>520.78500399999996</v>
      </c>
      <c r="L276" s="1">
        <f t="shared" si="15"/>
        <v>2738.1949960000002</v>
      </c>
      <c r="U276">
        <v>3078.8985480000001</v>
      </c>
      <c r="X276" s="1">
        <v>1375</v>
      </c>
      <c r="Y276" s="2">
        <v>44394</v>
      </c>
      <c r="Z276" s="1" t="str">
        <v>Central</v>
      </c>
      <c r="AA276" s="1" t="str">
        <v>Wheat</v>
      </c>
      <c r="AB276" s="1" t="str">
        <v>Groceries</v>
      </c>
      <c r="AC276" s="1">
        <v>4990.92</v>
      </c>
      <c r="AD276" s="1" t="str">
        <v>Pamela Randall</v>
      </c>
      <c r="AE276" s="1">
        <v>30356</v>
      </c>
      <c r="AF276" s="1">
        <v>44395</v>
      </c>
      <c r="AG276" s="1">
        <v>38.31</v>
      </c>
      <c r="AH276" s="1">
        <v>1912.021452</v>
      </c>
      <c r="AI276" s="1">
        <v>3078.8985480000001</v>
      </c>
    </row>
    <row r="277" spans="1:35" x14ac:dyDescent="0.35">
      <c r="A277" s="1">
        <v>1275</v>
      </c>
      <c r="B277" s="2">
        <v>45724</v>
      </c>
      <c r="C277" s="1" t="s">
        <v>10</v>
      </c>
      <c r="D277" s="1" t="s">
        <v>49</v>
      </c>
      <c r="E277" s="1" t="s">
        <v>12</v>
      </c>
      <c r="F277" s="1">
        <v>2674.72</v>
      </c>
      <c r="G277" s="1" t="s">
        <v>90</v>
      </c>
      <c r="H277" s="2">
        <v>29348</v>
      </c>
      <c r="I277" s="2">
        <v>45730</v>
      </c>
      <c r="J277" s="1">
        <v>41</v>
      </c>
      <c r="K277" s="1">
        <f t="shared" si="14"/>
        <v>1096.6351999999999</v>
      </c>
      <c r="L277" s="1">
        <f t="shared" si="15"/>
        <v>1578.0847999999999</v>
      </c>
      <c r="U277">
        <v>1890.8643519999998</v>
      </c>
      <c r="X277" s="1">
        <v>1378</v>
      </c>
      <c r="Y277" s="2">
        <v>44166</v>
      </c>
      <c r="Z277" s="1" t="str">
        <v>East</v>
      </c>
      <c r="AA277" s="1" t="str">
        <v>Tennis Racket</v>
      </c>
      <c r="AB277" s="1" t="str">
        <v>Sports</v>
      </c>
      <c r="AC277" s="1">
        <v>2713.64</v>
      </c>
      <c r="AD277" s="1" t="str">
        <v>Matthew Moore</v>
      </c>
      <c r="AE277" s="1">
        <v>29366</v>
      </c>
      <c r="AF277" s="1">
        <v>44179</v>
      </c>
      <c r="AG277" s="1">
        <v>30.32</v>
      </c>
      <c r="AH277" s="1">
        <v>822.77564800000005</v>
      </c>
      <c r="AI277" s="1">
        <v>1890.8643519999998</v>
      </c>
    </row>
    <row r="278" spans="1:35" x14ac:dyDescent="0.35">
      <c r="A278" s="1">
        <v>1276</v>
      </c>
      <c r="B278" s="2">
        <v>45664</v>
      </c>
      <c r="C278" s="1" t="s">
        <v>35</v>
      </c>
      <c r="D278" s="1" t="s">
        <v>47</v>
      </c>
      <c r="E278" s="1" t="s">
        <v>12</v>
      </c>
      <c r="F278" s="1">
        <v>2605.23</v>
      </c>
      <c r="G278" s="1" t="s">
        <v>228</v>
      </c>
      <c r="H278" s="2">
        <v>25811</v>
      </c>
      <c r="I278" s="2">
        <v>45671</v>
      </c>
      <c r="J278" s="1">
        <v>38.31</v>
      </c>
      <c r="K278" s="1">
        <f t="shared" si="14"/>
        <v>998.06361300000003</v>
      </c>
      <c r="L278" s="1">
        <f t="shared" si="15"/>
        <v>1607.166387</v>
      </c>
      <c r="U278">
        <v>3164.2915780000003</v>
      </c>
      <c r="X278" s="1">
        <v>1379</v>
      </c>
      <c r="Y278" s="2">
        <v>44358</v>
      </c>
      <c r="Z278" s="1" t="str">
        <v>East</v>
      </c>
      <c r="AA278" s="1" t="str">
        <v>Shoes</v>
      </c>
      <c r="AB278" s="1" t="str">
        <v>Clothing</v>
      </c>
      <c r="AC278" s="1">
        <v>3215.09</v>
      </c>
      <c r="AD278" s="1" t="str">
        <v>Casey Williams</v>
      </c>
      <c r="AE278" s="1">
        <v>22646</v>
      </c>
      <c r="AF278" s="1">
        <v>44368</v>
      </c>
      <c r="AG278" s="1">
        <v>1.58</v>
      </c>
      <c r="AH278" s="1">
        <v>50.798422000000009</v>
      </c>
      <c r="AI278" s="1">
        <v>3164.2915780000003</v>
      </c>
    </row>
    <row r="279" spans="1:35" x14ac:dyDescent="0.35">
      <c r="A279" s="1">
        <v>1277</v>
      </c>
      <c r="B279" s="2">
        <v>44414</v>
      </c>
      <c r="C279" s="1" t="s">
        <v>10</v>
      </c>
      <c r="D279" s="1" t="s">
        <v>38</v>
      </c>
      <c r="E279" s="1" t="s">
        <v>28</v>
      </c>
      <c r="F279" s="1">
        <v>1138.02</v>
      </c>
      <c r="G279" s="1" t="s">
        <v>212</v>
      </c>
      <c r="H279" s="2">
        <v>23674</v>
      </c>
      <c r="I279" s="2">
        <v>44426</v>
      </c>
      <c r="J279" s="1">
        <v>44.7</v>
      </c>
      <c r="K279" s="1">
        <f t="shared" si="14"/>
        <v>508.69493999999997</v>
      </c>
      <c r="L279" s="1">
        <f t="shared" si="15"/>
        <v>629.32506000000001</v>
      </c>
      <c r="U279">
        <v>1790.4839680000002</v>
      </c>
      <c r="X279" s="1">
        <v>1380</v>
      </c>
      <c r="Y279" s="2">
        <v>44767</v>
      </c>
      <c r="Z279" s="1" t="str">
        <v>East</v>
      </c>
      <c r="AA279" s="1" t="str">
        <v>Smartphone</v>
      </c>
      <c r="AB279" s="1" t="str">
        <v>Electronics</v>
      </c>
      <c r="AC279" s="1">
        <v>2690.03</v>
      </c>
      <c r="AD279" s="1" t="str">
        <v>Amber Shaw</v>
      </c>
      <c r="AE279" s="1">
        <v>25341</v>
      </c>
      <c r="AF279" s="1">
        <v>44776</v>
      </c>
      <c r="AG279" s="1">
        <v>33.44</v>
      </c>
      <c r="AH279" s="1">
        <v>899.54603199999997</v>
      </c>
      <c r="AI279" s="1">
        <v>1790.4839680000002</v>
      </c>
    </row>
    <row r="280" spans="1:35" x14ac:dyDescent="0.35">
      <c r="A280" s="1">
        <v>1278</v>
      </c>
      <c r="B280" s="2">
        <v>45112</v>
      </c>
      <c r="C280" s="1" t="s">
        <v>14</v>
      </c>
      <c r="D280" s="1" t="s">
        <v>15</v>
      </c>
      <c r="E280" s="1" t="s">
        <v>16</v>
      </c>
      <c r="F280" s="1">
        <v>1792.81</v>
      </c>
      <c r="G280" s="1" t="s">
        <v>229</v>
      </c>
      <c r="H280" s="2">
        <v>37783</v>
      </c>
      <c r="I280" s="2">
        <v>45114</v>
      </c>
      <c r="J280" s="1">
        <v>0.96</v>
      </c>
      <c r="K280" s="1">
        <f t="shared" si="14"/>
        <v>17.210975999999999</v>
      </c>
      <c r="L280" s="1">
        <f t="shared" si="15"/>
        <v>1775.5990239999999</v>
      </c>
      <c r="U280">
        <v>1228.8623600000001</v>
      </c>
      <c r="X280" s="1">
        <v>1386</v>
      </c>
      <c r="Y280" s="2">
        <v>44786</v>
      </c>
      <c r="Z280" s="1" t="str">
        <v>South</v>
      </c>
      <c r="AA280" s="1" t="str">
        <v>Laptop</v>
      </c>
      <c r="AB280" s="1" t="str">
        <v>Electronics</v>
      </c>
      <c r="AC280" s="1">
        <v>1559.47</v>
      </c>
      <c r="AD280" s="1" t="str">
        <v>Wesley Olson</v>
      </c>
      <c r="AE280" s="1">
        <v>27166</v>
      </c>
      <c r="AF280" s="1">
        <v>44787</v>
      </c>
      <c r="AG280" s="1">
        <v>21.2</v>
      </c>
      <c r="AH280" s="1">
        <v>330.60764</v>
      </c>
      <c r="AI280" s="1">
        <v>1228.8623600000001</v>
      </c>
    </row>
    <row r="281" spans="1:35" x14ac:dyDescent="0.35">
      <c r="A281" s="1">
        <v>1279</v>
      </c>
      <c r="B281" s="2">
        <v>45807</v>
      </c>
      <c r="C281" s="1" t="s">
        <v>35</v>
      </c>
      <c r="D281" s="1" t="s">
        <v>24</v>
      </c>
      <c r="E281" s="1" t="s">
        <v>19</v>
      </c>
      <c r="F281" s="1">
        <v>281.86</v>
      </c>
      <c r="G281" s="1" t="s">
        <v>100</v>
      </c>
      <c r="H281" s="2">
        <v>22100</v>
      </c>
      <c r="I281" s="2">
        <v>45815</v>
      </c>
      <c r="J281" s="1">
        <v>40.89</v>
      </c>
      <c r="K281" s="1">
        <f t="shared" si="14"/>
        <v>115.252554</v>
      </c>
      <c r="L281" s="1">
        <f t="shared" si="15"/>
        <v>166.60744600000001</v>
      </c>
      <c r="U281">
        <v>1911.0586619999999</v>
      </c>
      <c r="X281" s="1">
        <v>1387</v>
      </c>
      <c r="Y281" s="2">
        <v>45862</v>
      </c>
      <c r="Z281" s="1" t="str">
        <v>Central</v>
      </c>
      <c r="AA281" s="1" t="str">
        <v>Headphones</v>
      </c>
      <c r="AB281" s="1" t="str">
        <v>Electronics</v>
      </c>
      <c r="AC281" s="1">
        <v>3501.39</v>
      </c>
      <c r="AD281" s="1" t="str">
        <v>Samuel Humphrey</v>
      </c>
      <c r="AE281" s="1">
        <v>30887</v>
      </c>
      <c r="AF281" s="1">
        <v>45867</v>
      </c>
      <c r="AG281" s="1">
        <v>45.42</v>
      </c>
      <c r="AH281" s="1">
        <v>1590.331338</v>
      </c>
      <c r="AI281" s="1">
        <v>1911.0586619999999</v>
      </c>
    </row>
    <row r="282" spans="1:35" x14ac:dyDescent="0.35">
      <c r="A282" s="1">
        <v>1280</v>
      </c>
      <c r="B282" s="2">
        <v>44353</v>
      </c>
      <c r="C282" s="1" t="s">
        <v>21</v>
      </c>
      <c r="D282" s="1" t="s">
        <v>53</v>
      </c>
      <c r="E282" s="1" t="s">
        <v>28</v>
      </c>
      <c r="F282" s="1">
        <v>926.55</v>
      </c>
      <c r="G282" s="1" t="s">
        <v>192</v>
      </c>
      <c r="H282" s="2">
        <v>33626</v>
      </c>
      <c r="I282" s="2">
        <v>44359</v>
      </c>
      <c r="J282" s="1">
        <v>6.59</v>
      </c>
      <c r="K282" s="1">
        <f t="shared" si="14"/>
        <v>61.059644999999996</v>
      </c>
      <c r="L282" s="1">
        <f t="shared" si="15"/>
        <v>865.49035499999991</v>
      </c>
      <c r="U282">
        <v>2862.7918770000001</v>
      </c>
      <c r="X282" s="1">
        <v>1388</v>
      </c>
      <c r="Y282" s="2">
        <v>45395</v>
      </c>
      <c r="Z282" s="1" t="str">
        <v>South</v>
      </c>
      <c r="AA282" s="1" t="str">
        <v>Bed</v>
      </c>
      <c r="AB282" s="1" t="str">
        <v>Furniture</v>
      </c>
      <c r="AC282" s="1">
        <v>3118.17</v>
      </c>
      <c r="AD282" s="1" t="str">
        <v>Edward Gonzalez</v>
      </c>
      <c r="AE282" s="1">
        <v>38750</v>
      </c>
      <c r="AF282" s="1">
        <v>45404</v>
      </c>
      <c r="AG282" s="1">
        <v>8.19</v>
      </c>
      <c r="AH282" s="1">
        <v>255.37812300000002</v>
      </c>
      <c r="AI282" s="1">
        <v>2862.7918770000001</v>
      </c>
    </row>
    <row r="283" spans="1:35" x14ac:dyDescent="0.35">
      <c r="A283" s="1">
        <v>1281</v>
      </c>
      <c r="B283" s="2">
        <v>44602</v>
      </c>
      <c r="C283" s="1" t="s">
        <v>35</v>
      </c>
      <c r="D283" s="1" t="s">
        <v>18</v>
      </c>
      <c r="E283" s="1" t="s">
        <v>19</v>
      </c>
      <c r="F283" s="1">
        <v>1739.97</v>
      </c>
      <c r="G283" s="1" t="s">
        <v>132</v>
      </c>
      <c r="H283" s="2">
        <v>34364</v>
      </c>
      <c r="I283" s="2">
        <v>44608</v>
      </c>
      <c r="J283" s="1">
        <v>37.43</v>
      </c>
      <c r="K283" s="1">
        <f t="shared" si="14"/>
        <v>651.27077100000008</v>
      </c>
      <c r="L283" s="1">
        <f t="shared" si="15"/>
        <v>1088.6992289999998</v>
      </c>
      <c r="U283">
        <v>2448.2699280000002</v>
      </c>
      <c r="X283" s="1">
        <v>1389</v>
      </c>
      <c r="Y283" s="2">
        <v>45137</v>
      </c>
      <c r="Z283" s="1" t="str">
        <v>West</v>
      </c>
      <c r="AA283" s="1" t="str">
        <v>Table</v>
      </c>
      <c r="AB283" s="1" t="str">
        <v>Furniture</v>
      </c>
      <c r="AC283" s="1">
        <v>2753.34</v>
      </c>
      <c r="AD283" s="1" t="str">
        <v>Kim Brown</v>
      </c>
      <c r="AE283" s="1">
        <v>24368</v>
      </c>
      <c r="AF283" s="1">
        <v>45151</v>
      </c>
      <c r="AG283" s="1">
        <v>11.08</v>
      </c>
      <c r="AH283" s="1">
        <v>305.07007199999998</v>
      </c>
      <c r="AI283" s="1">
        <v>2448.2699280000002</v>
      </c>
    </row>
    <row r="284" spans="1:35" x14ac:dyDescent="0.35">
      <c r="A284" s="1">
        <v>1282</v>
      </c>
      <c r="B284" s="2">
        <v>45045</v>
      </c>
      <c r="C284" s="1" t="s">
        <v>35</v>
      </c>
      <c r="D284" s="1" t="s">
        <v>65</v>
      </c>
      <c r="E284" s="1" t="s">
        <v>19</v>
      </c>
      <c r="F284" s="1">
        <v>1567.53</v>
      </c>
      <c r="G284" s="1" t="s">
        <v>148</v>
      </c>
      <c r="H284" s="2">
        <v>22007</v>
      </c>
      <c r="I284" s="2">
        <v>45049</v>
      </c>
      <c r="J284" s="1">
        <v>49</v>
      </c>
      <c r="K284" s="1">
        <f t="shared" si="14"/>
        <v>768.08969999999999</v>
      </c>
      <c r="L284" s="1">
        <f t="shared" si="15"/>
        <v>799.44029999999998</v>
      </c>
      <c r="U284">
        <v>2921.1169680000003</v>
      </c>
      <c r="X284" s="1">
        <v>1390</v>
      </c>
      <c r="Y284" s="2">
        <v>44750</v>
      </c>
      <c r="Z284" s="1" t="str">
        <v>North</v>
      </c>
      <c r="AA284" s="1" t="str">
        <v>Wheat</v>
      </c>
      <c r="AB284" s="1" t="str">
        <v>Groceries</v>
      </c>
      <c r="AC284" s="1">
        <v>3871.08</v>
      </c>
      <c r="AD284" s="1" t="str">
        <v>Beth Landry</v>
      </c>
      <c r="AE284" s="1">
        <v>34954</v>
      </c>
      <c r="AF284" s="1">
        <v>44755</v>
      </c>
      <c r="AG284" s="1">
        <v>24.54</v>
      </c>
      <c r="AH284" s="1">
        <v>949.96303199999988</v>
      </c>
      <c r="AI284" s="1">
        <v>2921.1169680000003</v>
      </c>
    </row>
    <row r="285" spans="1:35" x14ac:dyDescent="0.35">
      <c r="A285" s="1">
        <v>1283</v>
      </c>
      <c r="B285" s="2">
        <v>45017</v>
      </c>
      <c r="C285" s="1" t="s">
        <v>26</v>
      </c>
      <c r="D285" s="1" t="s">
        <v>33</v>
      </c>
      <c r="E285" s="1" t="s">
        <v>16</v>
      </c>
      <c r="F285" s="1">
        <v>1815.01</v>
      </c>
      <c r="G285" s="1" t="s">
        <v>142</v>
      </c>
      <c r="H285" s="2">
        <v>29541</v>
      </c>
      <c r="I285" s="2">
        <v>45031</v>
      </c>
      <c r="J285" s="1">
        <v>30.87</v>
      </c>
      <c r="K285" s="1">
        <f t="shared" si="14"/>
        <v>560.293587</v>
      </c>
      <c r="L285" s="1">
        <f t="shared" si="15"/>
        <v>1254.7164130000001</v>
      </c>
      <c r="U285">
        <v>2069.4576630000001</v>
      </c>
      <c r="X285" s="1">
        <v>1391</v>
      </c>
      <c r="Y285" s="2">
        <v>45826</v>
      </c>
      <c r="Z285" s="1" t="str">
        <v>South</v>
      </c>
      <c r="AA285" s="1" t="str">
        <v>Camera</v>
      </c>
      <c r="AB285" s="1" t="str">
        <v>Electronics</v>
      </c>
      <c r="AC285" s="1">
        <v>2487.0300000000002</v>
      </c>
      <c r="AD285" s="1" t="str">
        <v>Sherry Henry</v>
      </c>
      <c r="AE285" s="1">
        <v>38696</v>
      </c>
      <c r="AF285" s="1">
        <v>45830</v>
      </c>
      <c r="AG285" s="1">
        <v>16.79</v>
      </c>
      <c r="AH285" s="1">
        <v>417.572337</v>
      </c>
      <c r="AI285" s="1">
        <v>2069.4576630000001</v>
      </c>
    </row>
    <row r="286" spans="1:35" x14ac:dyDescent="0.35">
      <c r="A286" s="1">
        <v>1284</v>
      </c>
      <c r="B286" s="2">
        <v>45082</v>
      </c>
      <c r="C286" s="1" t="s">
        <v>10</v>
      </c>
      <c r="D286" s="1" t="s">
        <v>102</v>
      </c>
      <c r="E286" s="1" t="s">
        <v>12</v>
      </c>
      <c r="F286" s="1">
        <v>3756.55</v>
      </c>
      <c r="G286" s="1" t="s">
        <v>120</v>
      </c>
      <c r="H286" s="2">
        <v>30820</v>
      </c>
      <c r="I286" s="2">
        <v>45088</v>
      </c>
      <c r="J286" s="1">
        <v>23.22</v>
      </c>
      <c r="K286" s="1">
        <f t="shared" si="14"/>
        <v>872.27090999999996</v>
      </c>
      <c r="L286" s="1">
        <f t="shared" si="15"/>
        <v>2884.27909</v>
      </c>
      <c r="U286">
        <v>4182.2065999999995</v>
      </c>
      <c r="X286" s="1">
        <v>1393</v>
      </c>
      <c r="Y286" s="2">
        <v>45564</v>
      </c>
      <c r="Z286" s="1" t="str">
        <v>North</v>
      </c>
      <c r="AA286" s="1" t="str">
        <v>Jeans</v>
      </c>
      <c r="AB286" s="1" t="str">
        <v>Clothing</v>
      </c>
      <c r="AC286" s="1">
        <v>4793.3599999999997</v>
      </c>
      <c r="AD286" s="1" t="str">
        <v>Adrian Howe</v>
      </c>
      <c r="AE286" s="1">
        <v>37236</v>
      </c>
      <c r="AF286" s="1">
        <v>45573</v>
      </c>
      <c r="AG286" s="1">
        <v>12.75</v>
      </c>
      <c r="AH286" s="1">
        <v>611.15339999999992</v>
      </c>
      <c r="AI286" s="1">
        <v>4182.2065999999995</v>
      </c>
    </row>
    <row r="287" spans="1:35" x14ac:dyDescent="0.35">
      <c r="A287" s="1">
        <v>1285</v>
      </c>
      <c r="B287" s="2">
        <v>45807</v>
      </c>
      <c r="C287" s="1" t="s">
        <v>26</v>
      </c>
      <c r="D287" s="1" t="s">
        <v>22</v>
      </c>
      <c r="E287" s="1" t="s">
        <v>19</v>
      </c>
      <c r="F287" s="1">
        <v>1008.01</v>
      </c>
      <c r="G287" s="1" t="s">
        <v>230</v>
      </c>
      <c r="H287" s="2">
        <v>35642</v>
      </c>
      <c r="I287" s="2">
        <v>45812</v>
      </c>
      <c r="J287" s="1">
        <v>47.76</v>
      </c>
      <c r="K287" s="1">
        <f t="shared" si="14"/>
        <v>481.42557599999998</v>
      </c>
      <c r="L287" s="1">
        <f t="shared" si="15"/>
        <v>526.58442400000001</v>
      </c>
      <c r="U287">
        <v>1168.6630680000001</v>
      </c>
      <c r="X287" s="1">
        <v>1395</v>
      </c>
      <c r="Y287" s="2">
        <v>45651</v>
      </c>
      <c r="Z287" s="1" t="str">
        <v>East</v>
      </c>
      <c r="AA287" s="1" t="str">
        <v>Shoes</v>
      </c>
      <c r="AB287" s="1" t="str">
        <v>Clothing</v>
      </c>
      <c r="AC287" s="1">
        <v>2324.31</v>
      </c>
      <c r="AD287" s="1" t="str">
        <v>Marcia Anderson</v>
      </c>
      <c r="AE287" s="1">
        <v>34537</v>
      </c>
      <c r="AF287" s="1">
        <v>45660</v>
      </c>
      <c r="AG287" s="1">
        <v>49.72</v>
      </c>
      <c r="AH287" s="1">
        <v>1155.6469319999999</v>
      </c>
      <c r="AI287" s="1">
        <v>1168.6630680000001</v>
      </c>
    </row>
    <row r="288" spans="1:35" x14ac:dyDescent="0.35">
      <c r="A288" s="1">
        <v>1286</v>
      </c>
      <c r="B288" s="2">
        <v>45456</v>
      </c>
      <c r="C288" s="1" t="s">
        <v>35</v>
      </c>
      <c r="D288" s="1" t="s">
        <v>69</v>
      </c>
      <c r="E288" s="1" t="s">
        <v>31</v>
      </c>
      <c r="F288" s="1">
        <v>2518.66</v>
      </c>
      <c r="G288" s="1" t="s">
        <v>231</v>
      </c>
      <c r="H288" s="2">
        <v>32047</v>
      </c>
      <c r="I288" s="2">
        <v>45468</v>
      </c>
      <c r="J288" s="1">
        <v>37.5</v>
      </c>
      <c r="K288" s="1">
        <f t="shared" si="14"/>
        <v>944.49749999999995</v>
      </c>
      <c r="L288" s="1">
        <f t="shared" si="15"/>
        <v>1574.1624999999999</v>
      </c>
      <c r="U288">
        <v>2186.9441649999999</v>
      </c>
      <c r="X288" s="1">
        <v>1397</v>
      </c>
      <c r="Y288" s="2">
        <v>45467</v>
      </c>
      <c r="Z288" s="1" t="str">
        <v>South</v>
      </c>
      <c r="AA288" s="1" t="str">
        <v>Oil</v>
      </c>
      <c r="AB288" s="1" t="str">
        <v>Groceries</v>
      </c>
      <c r="AC288" s="1">
        <v>2922.55</v>
      </c>
      <c r="AD288" s="1" t="str">
        <v>Anthony Kim</v>
      </c>
      <c r="AE288" s="1">
        <v>34205</v>
      </c>
      <c r="AF288" s="1">
        <v>45481</v>
      </c>
      <c r="AG288" s="1">
        <v>25.17</v>
      </c>
      <c r="AH288" s="1">
        <v>735.60583500000018</v>
      </c>
      <c r="AI288" s="1">
        <v>2186.9441649999999</v>
      </c>
    </row>
    <row r="289" spans="1:35" x14ac:dyDescent="0.35">
      <c r="A289" s="1">
        <v>1287</v>
      </c>
      <c r="B289" s="2">
        <v>44150</v>
      </c>
      <c r="C289" s="1" t="s">
        <v>35</v>
      </c>
      <c r="D289" s="1" t="s">
        <v>15</v>
      </c>
      <c r="E289" s="1" t="s">
        <v>16</v>
      </c>
      <c r="F289" s="1">
        <v>791.54</v>
      </c>
      <c r="G289" s="1" t="s">
        <v>232</v>
      </c>
      <c r="H289" s="2">
        <v>37913</v>
      </c>
      <c r="I289" s="2">
        <v>44160</v>
      </c>
      <c r="J289" s="1">
        <v>1.71</v>
      </c>
      <c r="K289" s="1">
        <f t="shared" si="14"/>
        <v>13.535334000000001</v>
      </c>
      <c r="L289" s="1">
        <f t="shared" si="15"/>
        <v>778.00466599999993</v>
      </c>
      <c r="U289">
        <v>1991.566325</v>
      </c>
      <c r="X289" s="1">
        <v>1398</v>
      </c>
      <c r="Y289" s="2">
        <v>44212</v>
      </c>
      <c r="Z289" s="1" t="str">
        <v>Central</v>
      </c>
      <c r="AA289" s="1" t="str">
        <v>Eggs</v>
      </c>
      <c r="AB289" s="1" t="str">
        <v>Groceries</v>
      </c>
      <c r="AC289" s="1">
        <v>3671.09</v>
      </c>
      <c r="AD289" s="1" t="str">
        <v>Frank Davis</v>
      </c>
      <c r="AE289" s="1">
        <v>38171</v>
      </c>
      <c r="AF289" s="1">
        <v>44225</v>
      </c>
      <c r="AG289" s="1">
        <v>45.75</v>
      </c>
      <c r="AH289" s="1">
        <v>1679.5236750000001</v>
      </c>
      <c r="AI289" s="1">
        <v>1991.566325</v>
      </c>
    </row>
    <row r="290" spans="1:35" x14ac:dyDescent="0.35">
      <c r="A290" s="1">
        <v>1288</v>
      </c>
      <c r="B290" s="2">
        <v>44486</v>
      </c>
      <c r="C290" s="1" t="s">
        <v>10</v>
      </c>
      <c r="D290" s="1" t="s">
        <v>27</v>
      </c>
      <c r="E290" s="1" t="s">
        <v>28</v>
      </c>
      <c r="F290" s="1">
        <v>2583.3000000000002</v>
      </c>
      <c r="G290" s="1" t="s">
        <v>213</v>
      </c>
      <c r="H290" s="2">
        <v>34345</v>
      </c>
      <c r="I290" s="2">
        <v>44493</v>
      </c>
      <c r="J290" s="1">
        <v>25.43</v>
      </c>
      <c r="K290" s="1">
        <f t="shared" si="14"/>
        <v>656.93318999999997</v>
      </c>
      <c r="L290" s="1">
        <f t="shared" si="15"/>
        <v>1926.3668100000002</v>
      </c>
      <c r="U290">
        <v>1528.3979760000002</v>
      </c>
      <c r="X290" s="1">
        <v>1399</v>
      </c>
      <c r="Y290" s="2">
        <v>44519</v>
      </c>
      <c r="Z290" s="1" t="str">
        <v>South</v>
      </c>
      <c r="AA290" s="1" t="str">
        <v>Table</v>
      </c>
      <c r="AB290" s="1" t="str">
        <v>Furniture</v>
      </c>
      <c r="AC290" s="1">
        <v>2050.44</v>
      </c>
      <c r="AD290" s="1" t="str">
        <v>Deanna Stephenson</v>
      </c>
      <c r="AE290" s="1">
        <v>31685</v>
      </c>
      <c r="AF290" s="1">
        <v>44524</v>
      </c>
      <c r="AG290" s="1">
        <v>25.46</v>
      </c>
      <c r="AH290" s="1">
        <v>522.04202399999997</v>
      </c>
      <c r="AI290" s="1">
        <v>1528.3979760000002</v>
      </c>
    </row>
    <row r="291" spans="1:35" x14ac:dyDescent="0.35">
      <c r="A291" s="1">
        <v>1289</v>
      </c>
      <c r="B291" s="2">
        <v>44768</v>
      </c>
      <c r="C291" s="1" t="s">
        <v>21</v>
      </c>
      <c r="D291" s="1" t="s">
        <v>53</v>
      </c>
      <c r="E291" s="1" t="s">
        <v>28</v>
      </c>
      <c r="F291" s="1">
        <v>746.65</v>
      </c>
      <c r="G291" s="1" t="s">
        <v>129</v>
      </c>
      <c r="H291" s="2">
        <v>25933</v>
      </c>
      <c r="I291" s="2">
        <v>44773</v>
      </c>
      <c r="J291" s="1">
        <v>22.2</v>
      </c>
      <c r="K291" s="1">
        <f t="shared" si="14"/>
        <v>165.75630000000001</v>
      </c>
      <c r="L291" s="1">
        <f t="shared" si="15"/>
        <v>580.89369999999997</v>
      </c>
      <c r="U291">
        <v>1704.049974</v>
      </c>
      <c r="X291" s="1">
        <v>1400</v>
      </c>
      <c r="Y291" s="2">
        <v>44865</v>
      </c>
      <c r="Z291" s="1" t="str">
        <v>West</v>
      </c>
      <c r="AA291" s="1" t="str">
        <v>Eggs</v>
      </c>
      <c r="AB291" s="1" t="str">
        <v>Groceries</v>
      </c>
      <c r="AC291" s="1">
        <v>3393.17</v>
      </c>
      <c r="AD291" s="1" t="str">
        <v>Scott Tucker</v>
      </c>
      <c r="AE291" s="1">
        <v>37946</v>
      </c>
      <c r="AF291" s="1">
        <v>44873</v>
      </c>
      <c r="AG291" s="1">
        <v>49.78</v>
      </c>
      <c r="AH291" s="1">
        <v>1689.1200260000001</v>
      </c>
      <c r="AI291" s="1">
        <v>1704.049974</v>
      </c>
    </row>
    <row r="292" spans="1:35" x14ac:dyDescent="0.35">
      <c r="A292" s="1">
        <v>1290</v>
      </c>
      <c r="B292" s="2">
        <v>44419</v>
      </c>
      <c r="C292" s="1" t="s">
        <v>35</v>
      </c>
      <c r="D292" s="1" t="s">
        <v>58</v>
      </c>
      <c r="E292" s="1" t="s">
        <v>31</v>
      </c>
      <c r="F292" s="1">
        <v>3547.69</v>
      </c>
      <c r="G292" s="1" t="s">
        <v>90</v>
      </c>
      <c r="H292" s="2">
        <v>29348</v>
      </c>
      <c r="I292" s="2">
        <v>44423</v>
      </c>
      <c r="J292" s="1">
        <v>29.29</v>
      </c>
      <c r="K292" s="1">
        <f t="shared" si="14"/>
        <v>1039.1184009999999</v>
      </c>
      <c r="L292" s="1">
        <f t="shared" si="15"/>
        <v>2508.5715989999999</v>
      </c>
      <c r="U292">
        <v>3510.4757399999999</v>
      </c>
      <c r="X292" s="1">
        <v>1401</v>
      </c>
      <c r="Y292" s="2">
        <v>44345</v>
      </c>
      <c r="Z292" s="1" t="str">
        <v>West</v>
      </c>
      <c r="AA292" s="1" t="str">
        <v>Sofa</v>
      </c>
      <c r="AB292" s="1" t="str">
        <v>Furniture</v>
      </c>
      <c r="AC292" s="1">
        <v>3686.7</v>
      </c>
      <c r="AD292" s="1" t="str">
        <v>Jennifer Martinez</v>
      </c>
      <c r="AE292" s="1">
        <v>24579</v>
      </c>
      <c r="AF292" s="1">
        <v>44355</v>
      </c>
      <c r="AG292" s="1">
        <v>4.78</v>
      </c>
      <c r="AH292" s="1">
        <v>176.22425999999999</v>
      </c>
      <c r="AI292" s="1">
        <v>3510.4757399999999</v>
      </c>
    </row>
    <row r="293" spans="1:35" x14ac:dyDescent="0.35">
      <c r="A293" s="1">
        <v>1291</v>
      </c>
      <c r="B293" s="2">
        <v>44229</v>
      </c>
      <c r="C293" s="1" t="s">
        <v>14</v>
      </c>
      <c r="D293" s="1" t="s">
        <v>47</v>
      </c>
      <c r="E293" s="1" t="s">
        <v>12</v>
      </c>
      <c r="F293" s="1">
        <v>3240.37</v>
      </c>
      <c r="G293" s="1" t="s">
        <v>233</v>
      </c>
      <c r="H293" s="2">
        <v>38826</v>
      </c>
      <c r="I293" s="2">
        <v>44235</v>
      </c>
      <c r="J293" s="1">
        <v>27.44</v>
      </c>
      <c r="K293" s="1">
        <f t="shared" si="14"/>
        <v>889.15752800000007</v>
      </c>
      <c r="L293" s="1">
        <f t="shared" si="15"/>
        <v>2351.2124719999997</v>
      </c>
      <c r="U293">
        <v>1044.446592</v>
      </c>
      <c r="X293" s="1">
        <v>1402</v>
      </c>
      <c r="Y293" s="2">
        <v>45145</v>
      </c>
      <c r="Z293" s="1" t="str">
        <v>West</v>
      </c>
      <c r="AA293" s="1" t="str">
        <v>Cricket Bat</v>
      </c>
      <c r="AB293" s="1" t="str">
        <v>Sports</v>
      </c>
      <c r="AC293" s="1">
        <v>1537.76</v>
      </c>
      <c r="AD293" s="1" t="str">
        <v>Harold Williams</v>
      </c>
      <c r="AE293" s="1">
        <v>37894</v>
      </c>
      <c r="AF293" s="1">
        <v>45147</v>
      </c>
      <c r="AG293" s="1">
        <v>32.08</v>
      </c>
      <c r="AH293" s="1">
        <v>493.31340799999998</v>
      </c>
      <c r="AI293" s="1">
        <v>1044.446592</v>
      </c>
    </row>
    <row r="294" spans="1:35" x14ac:dyDescent="0.35">
      <c r="A294" s="1">
        <v>1292</v>
      </c>
      <c r="B294" s="2">
        <v>45799</v>
      </c>
      <c r="C294" s="1" t="s">
        <v>10</v>
      </c>
      <c r="D294" s="1" t="s">
        <v>69</v>
      </c>
      <c r="E294" s="1" t="s">
        <v>12</v>
      </c>
      <c r="F294" s="1">
        <v>1365.32</v>
      </c>
      <c r="G294" s="1" t="s">
        <v>217</v>
      </c>
      <c r="H294" s="2">
        <v>36951</v>
      </c>
      <c r="I294" s="2">
        <v>45803</v>
      </c>
      <c r="J294" s="1">
        <v>19.55</v>
      </c>
      <c r="K294" s="1">
        <f t="shared" si="14"/>
        <v>266.92005999999998</v>
      </c>
      <c r="L294" s="1">
        <f t="shared" si="15"/>
        <v>1098.39994</v>
      </c>
      <c r="U294">
        <v>1654.9056159999998</v>
      </c>
      <c r="X294" s="1">
        <v>1403</v>
      </c>
      <c r="Y294" s="2">
        <v>44270</v>
      </c>
      <c r="Z294" s="1" t="str">
        <v>East</v>
      </c>
      <c r="AA294" s="1" t="str">
        <v>Wardrobe</v>
      </c>
      <c r="AB294" s="1" t="str">
        <v>Furniture</v>
      </c>
      <c r="AC294" s="1">
        <v>2977.52</v>
      </c>
      <c r="AD294" s="1" t="str">
        <v>Justin Martinez</v>
      </c>
      <c r="AE294" s="1">
        <v>28555</v>
      </c>
      <c r="AF294" s="1">
        <v>44284</v>
      </c>
      <c r="AG294" s="1">
        <v>44.42</v>
      </c>
      <c r="AH294" s="1">
        <v>1322.6143840000002</v>
      </c>
      <c r="AI294" s="1">
        <v>1654.9056159999998</v>
      </c>
    </row>
    <row r="295" spans="1:35" x14ac:dyDescent="0.35">
      <c r="A295" s="1">
        <v>1293</v>
      </c>
      <c r="B295" s="2">
        <v>45221</v>
      </c>
      <c r="C295" s="1" t="s">
        <v>14</v>
      </c>
      <c r="D295" s="1" t="s">
        <v>49</v>
      </c>
      <c r="E295" s="1" t="s">
        <v>12</v>
      </c>
      <c r="F295" s="1">
        <v>1475.57</v>
      </c>
      <c r="G295" s="1" t="s">
        <v>178</v>
      </c>
      <c r="H295" s="2">
        <v>23890</v>
      </c>
      <c r="I295" s="2">
        <v>45229</v>
      </c>
      <c r="J295" s="1">
        <v>32.5</v>
      </c>
      <c r="K295" s="1">
        <f t="shared" si="14"/>
        <v>479.56025</v>
      </c>
      <c r="L295" s="1">
        <f t="shared" si="15"/>
        <v>996.00974999999994</v>
      </c>
      <c r="U295">
        <v>2861.8001279999999</v>
      </c>
      <c r="X295" s="1">
        <v>1404</v>
      </c>
      <c r="Y295" s="2">
        <v>44971</v>
      </c>
      <c r="Z295" s="1" t="str">
        <v>West</v>
      </c>
      <c r="AA295" s="1" t="str">
        <v>Basketball</v>
      </c>
      <c r="AB295" s="1" t="str">
        <v>Sports</v>
      </c>
      <c r="AC295" s="1">
        <v>4251.04</v>
      </c>
      <c r="AD295" s="1" t="str">
        <v>Sierra Elliott</v>
      </c>
      <c r="AE295" s="1">
        <v>29720</v>
      </c>
      <c r="AF295" s="1">
        <v>44977</v>
      </c>
      <c r="AG295" s="1">
        <v>32.68</v>
      </c>
      <c r="AH295" s="1">
        <v>1389.2398719999999</v>
      </c>
      <c r="AI295" s="1">
        <v>2861.8001279999999</v>
      </c>
    </row>
    <row r="296" spans="1:35" x14ac:dyDescent="0.35">
      <c r="A296" s="1">
        <v>1294</v>
      </c>
      <c r="B296" s="2">
        <v>45335</v>
      </c>
      <c r="C296" s="1" t="s">
        <v>14</v>
      </c>
      <c r="D296" s="1" t="s">
        <v>30</v>
      </c>
      <c r="E296" s="1" t="s">
        <v>31</v>
      </c>
      <c r="F296" s="1">
        <v>714.22</v>
      </c>
      <c r="G296" s="1" t="s">
        <v>234</v>
      </c>
      <c r="H296" s="2">
        <v>24368</v>
      </c>
      <c r="I296" s="2">
        <v>45340</v>
      </c>
      <c r="J296" s="1">
        <v>40.56</v>
      </c>
      <c r="K296" s="1">
        <f t="shared" si="14"/>
        <v>289.68763200000001</v>
      </c>
      <c r="L296" s="1">
        <f t="shared" si="15"/>
        <v>424.53236800000002</v>
      </c>
      <c r="U296">
        <v>1070.1072520000002</v>
      </c>
      <c r="X296" s="1">
        <v>1405</v>
      </c>
      <c r="Y296" s="2">
        <v>45710</v>
      </c>
      <c r="Z296" s="1" t="str">
        <v>South</v>
      </c>
      <c r="AA296" s="1" t="str">
        <v>Jacket</v>
      </c>
      <c r="AB296" s="1" t="str">
        <v>Clothing</v>
      </c>
      <c r="AC296" s="1">
        <v>2107.34</v>
      </c>
      <c r="AD296" s="1" t="str">
        <v>Matthew Moore</v>
      </c>
      <c r="AE296" s="1">
        <v>29366</v>
      </c>
      <c r="AF296" s="1">
        <v>45720</v>
      </c>
      <c r="AG296" s="1">
        <v>49.22</v>
      </c>
      <c r="AH296" s="1">
        <v>1037.2327479999999</v>
      </c>
      <c r="AI296" s="1">
        <v>1070.1072520000002</v>
      </c>
    </row>
    <row r="297" spans="1:35" x14ac:dyDescent="0.35">
      <c r="A297" s="1">
        <v>1295</v>
      </c>
      <c r="B297" s="2">
        <v>45791</v>
      </c>
      <c r="C297" s="1" t="s">
        <v>35</v>
      </c>
      <c r="D297" s="1" t="s">
        <v>11</v>
      </c>
      <c r="E297" s="1" t="s">
        <v>12</v>
      </c>
      <c r="F297" s="1">
        <v>2154.89</v>
      </c>
      <c r="G297" s="1" t="s">
        <v>50</v>
      </c>
      <c r="H297" s="2">
        <v>22594</v>
      </c>
      <c r="I297" s="2">
        <v>45792</v>
      </c>
      <c r="J297" s="1">
        <v>25</v>
      </c>
      <c r="K297" s="1">
        <f t="shared" si="14"/>
        <v>538.72249999999997</v>
      </c>
      <c r="L297" s="1">
        <f t="shared" si="15"/>
        <v>1616.1675</v>
      </c>
      <c r="U297">
        <v>4506.1866340000006</v>
      </c>
      <c r="X297" s="1">
        <v>1407</v>
      </c>
      <c r="Y297" s="2">
        <v>45775</v>
      </c>
      <c r="Z297" s="1" t="str">
        <v>West</v>
      </c>
      <c r="AA297" s="1" t="str">
        <v>Wheat</v>
      </c>
      <c r="AB297" s="1" t="str">
        <v>Groceries</v>
      </c>
      <c r="AC297" s="1">
        <v>4875.7700000000004</v>
      </c>
      <c r="AD297" s="1" t="str">
        <v>Melissa Douglas</v>
      </c>
      <c r="AE297" s="1">
        <v>33386</v>
      </c>
      <c r="AF297" s="1">
        <v>45786</v>
      </c>
      <c r="AG297" s="1">
        <v>7.58</v>
      </c>
      <c r="AH297" s="1">
        <v>369.58336600000007</v>
      </c>
      <c r="AI297" s="1">
        <v>4506.1866340000006</v>
      </c>
    </row>
    <row r="298" spans="1:35" x14ac:dyDescent="0.35">
      <c r="A298" s="1">
        <v>1296</v>
      </c>
      <c r="B298" s="2">
        <v>45625</v>
      </c>
      <c r="C298" s="1" t="s">
        <v>21</v>
      </c>
      <c r="D298" s="1" t="s">
        <v>44</v>
      </c>
      <c r="E298" s="1" t="s">
        <v>16</v>
      </c>
      <c r="F298" s="1">
        <v>4002.12</v>
      </c>
      <c r="G298" s="1" t="s">
        <v>178</v>
      </c>
      <c r="H298" s="2">
        <v>23890</v>
      </c>
      <c r="I298" s="2">
        <v>45633</v>
      </c>
      <c r="J298" s="1">
        <v>46.69</v>
      </c>
      <c r="K298" s="1">
        <f t="shared" si="14"/>
        <v>1868.5898279999999</v>
      </c>
      <c r="L298" s="1">
        <f t="shared" si="15"/>
        <v>2133.5301719999998</v>
      </c>
      <c r="U298">
        <v>1256.1758399999999</v>
      </c>
      <c r="X298" s="1">
        <v>1409</v>
      </c>
      <c r="Y298" s="2">
        <v>45235</v>
      </c>
      <c r="Z298" s="1" t="str">
        <v>South</v>
      </c>
      <c r="AA298" s="1" t="str">
        <v>Laptop</v>
      </c>
      <c r="AB298" s="1" t="str">
        <v>Electronics</v>
      </c>
      <c r="AC298" s="1">
        <v>2000.28</v>
      </c>
      <c r="AD298" s="1" t="str">
        <v>Marissa Johnson</v>
      </c>
      <c r="AE298" s="1">
        <v>38628</v>
      </c>
      <c r="AF298" s="1">
        <v>45237</v>
      </c>
      <c r="AG298" s="1">
        <v>37.200000000000003</v>
      </c>
      <c r="AH298" s="1">
        <v>744.10416000000009</v>
      </c>
      <c r="AI298" s="1">
        <v>1256.1758399999999</v>
      </c>
    </row>
    <row r="299" spans="1:35" x14ac:dyDescent="0.35">
      <c r="A299" s="1">
        <v>1297</v>
      </c>
      <c r="B299" s="2">
        <v>44703</v>
      </c>
      <c r="C299" s="1" t="s">
        <v>26</v>
      </c>
      <c r="D299" s="1" t="s">
        <v>22</v>
      </c>
      <c r="E299" s="1" t="s">
        <v>19</v>
      </c>
      <c r="F299" s="1">
        <v>3838.33</v>
      </c>
      <c r="G299" s="1" t="s">
        <v>210</v>
      </c>
      <c r="H299" s="2">
        <v>27550</v>
      </c>
      <c r="I299" s="2">
        <v>44713</v>
      </c>
      <c r="J299" s="1">
        <v>24.79</v>
      </c>
      <c r="K299" s="1">
        <f t="shared" si="14"/>
        <v>951.52200699999992</v>
      </c>
      <c r="L299" s="1">
        <f t="shared" si="15"/>
        <v>2886.8079929999999</v>
      </c>
      <c r="U299">
        <v>2257.2024030000002</v>
      </c>
      <c r="X299" s="1">
        <v>1410</v>
      </c>
      <c r="Y299" s="2">
        <v>44170</v>
      </c>
      <c r="Z299" s="1" t="str">
        <v>East</v>
      </c>
      <c r="AA299" s="1" t="str">
        <v>Cricket Bat</v>
      </c>
      <c r="AB299" s="1" t="str">
        <v>Sports</v>
      </c>
      <c r="AC299" s="1">
        <v>3107.81</v>
      </c>
      <c r="AD299" s="1" t="str">
        <v>Lisa Bray MD</v>
      </c>
      <c r="AE299" s="1">
        <v>33413</v>
      </c>
      <c r="AF299" s="1">
        <v>44184</v>
      </c>
      <c r="AG299" s="1">
        <v>27.37</v>
      </c>
      <c r="AH299" s="1">
        <v>850.60759699999994</v>
      </c>
      <c r="AI299" s="1">
        <v>2257.2024030000002</v>
      </c>
    </row>
    <row r="300" spans="1:35" x14ac:dyDescent="0.35">
      <c r="A300" s="1">
        <v>1298</v>
      </c>
      <c r="B300" s="2">
        <v>45461</v>
      </c>
      <c r="C300" s="1" t="s">
        <v>35</v>
      </c>
      <c r="D300" s="1" t="s">
        <v>33</v>
      </c>
      <c r="E300" s="1" t="s">
        <v>16</v>
      </c>
      <c r="F300" s="1">
        <v>828.96</v>
      </c>
      <c r="G300" s="1" t="s">
        <v>235</v>
      </c>
      <c r="H300" s="2">
        <v>36760</v>
      </c>
      <c r="I300" s="2">
        <v>45462</v>
      </c>
      <c r="J300" s="1">
        <v>40.68</v>
      </c>
      <c r="K300" s="1">
        <f t="shared" si="14"/>
        <v>337.22092800000001</v>
      </c>
      <c r="L300" s="1">
        <f t="shared" si="15"/>
        <v>491.73907200000002</v>
      </c>
      <c r="U300">
        <v>3391.5343769999999</v>
      </c>
      <c r="X300" s="1">
        <v>1411</v>
      </c>
      <c r="Y300" s="2">
        <v>45077</v>
      </c>
      <c r="Z300" s="1" t="str">
        <v>South</v>
      </c>
      <c r="AA300" s="1" t="str">
        <v>Shoes</v>
      </c>
      <c r="AB300" s="1" t="str">
        <v>Sports</v>
      </c>
      <c r="AC300" s="1">
        <v>3792.39</v>
      </c>
      <c r="AD300" s="1" t="str">
        <v>Tyler Frye</v>
      </c>
      <c r="AE300" s="1">
        <v>22210</v>
      </c>
      <c r="AF300" s="1">
        <v>45080</v>
      </c>
      <c r="AG300" s="1">
        <v>10.57</v>
      </c>
      <c r="AH300" s="1">
        <v>400.85562299999998</v>
      </c>
      <c r="AI300" s="1">
        <v>3391.5343769999999</v>
      </c>
    </row>
    <row r="301" spans="1:35" x14ac:dyDescent="0.35">
      <c r="A301" s="1">
        <v>1299</v>
      </c>
      <c r="B301" s="2">
        <v>44819</v>
      </c>
      <c r="C301" s="1" t="s">
        <v>10</v>
      </c>
      <c r="D301" s="1" t="s">
        <v>38</v>
      </c>
      <c r="E301" s="1" t="s">
        <v>28</v>
      </c>
      <c r="F301" s="1">
        <v>2757.73</v>
      </c>
      <c r="G301" s="1" t="s">
        <v>152</v>
      </c>
      <c r="H301" s="2">
        <v>24792</v>
      </c>
      <c r="I301" s="2">
        <v>44829</v>
      </c>
      <c r="J301" s="1">
        <v>21.95</v>
      </c>
      <c r="K301" s="1">
        <f t="shared" si="14"/>
        <v>605.32173499999999</v>
      </c>
      <c r="L301" s="1">
        <f t="shared" si="15"/>
        <v>2152.408265</v>
      </c>
      <c r="U301">
        <v>4013.1307070000003</v>
      </c>
      <c r="X301" s="1">
        <v>1412</v>
      </c>
      <c r="Y301" s="2">
        <v>45075</v>
      </c>
      <c r="Z301" s="1" t="str">
        <v>South</v>
      </c>
      <c r="AA301" s="1" t="str">
        <v>Eggs</v>
      </c>
      <c r="AB301" s="1" t="str">
        <v>Groceries</v>
      </c>
      <c r="AC301" s="1">
        <v>4759.97</v>
      </c>
      <c r="AD301" s="1" t="str">
        <v>Donald Harris</v>
      </c>
      <c r="AE301" s="1">
        <v>23920</v>
      </c>
      <c r="AF301" s="1">
        <v>45084</v>
      </c>
      <c r="AG301" s="1">
        <v>15.69</v>
      </c>
      <c r="AH301" s="1">
        <v>746.839293</v>
      </c>
      <c r="AI301" s="1">
        <v>4013.1307070000003</v>
      </c>
    </row>
    <row r="302" spans="1:35" x14ac:dyDescent="0.35">
      <c r="A302" s="1">
        <v>1300</v>
      </c>
      <c r="B302" s="2">
        <v>45780</v>
      </c>
      <c r="C302" s="1" t="s">
        <v>35</v>
      </c>
      <c r="D302" s="1" t="s">
        <v>36</v>
      </c>
      <c r="E302" s="1" t="s">
        <v>28</v>
      </c>
      <c r="F302" s="1">
        <v>4519.3100000000004</v>
      </c>
      <c r="G302" s="1" t="s">
        <v>154</v>
      </c>
      <c r="H302" s="2">
        <v>32146</v>
      </c>
      <c r="I302" s="2">
        <v>45791</v>
      </c>
      <c r="J302" s="1">
        <v>34.9</v>
      </c>
      <c r="K302" s="1">
        <f t="shared" si="14"/>
        <v>1577.23919</v>
      </c>
      <c r="L302" s="1">
        <f t="shared" si="15"/>
        <v>2942.0708100000002</v>
      </c>
      <c r="U302">
        <v>2240.334492</v>
      </c>
      <c r="X302" s="1">
        <v>1414</v>
      </c>
      <c r="Y302" s="2">
        <v>44253</v>
      </c>
      <c r="Z302" s="1" t="str">
        <v>North</v>
      </c>
      <c r="AA302" s="1" t="str">
        <v>Bed</v>
      </c>
      <c r="AB302" s="1" t="str">
        <v>Furniture</v>
      </c>
      <c r="AC302" s="1">
        <v>2570.37</v>
      </c>
      <c r="AD302" s="1" t="str">
        <v>Kevin Coleman</v>
      </c>
      <c r="AE302" s="1">
        <v>36590</v>
      </c>
      <c r="AF302" s="1">
        <v>44256</v>
      </c>
      <c r="AG302" s="1">
        <v>12.84</v>
      </c>
      <c r="AH302" s="1">
        <v>330.03550799999994</v>
      </c>
      <c r="AI302" s="1">
        <v>2240.334492</v>
      </c>
    </row>
    <row r="303" spans="1:35" x14ac:dyDescent="0.35">
      <c r="A303" s="1">
        <v>1301</v>
      </c>
      <c r="B303" s="2">
        <v>45060</v>
      </c>
      <c r="C303" s="1" t="s">
        <v>14</v>
      </c>
      <c r="D303" s="1" t="s">
        <v>33</v>
      </c>
      <c r="E303" s="1" t="s">
        <v>16</v>
      </c>
      <c r="F303" s="1">
        <v>2137.69</v>
      </c>
      <c r="G303" s="1" t="s">
        <v>236</v>
      </c>
      <c r="H303" s="2">
        <v>36099</v>
      </c>
      <c r="I303" s="2">
        <v>45074</v>
      </c>
      <c r="J303" s="1">
        <v>25.33</v>
      </c>
      <c r="K303" s="1">
        <f t="shared" si="14"/>
        <v>541.47687699999994</v>
      </c>
      <c r="L303" s="1">
        <f t="shared" si="15"/>
        <v>1596.213123</v>
      </c>
      <c r="U303">
        <v>2294.0884999999998</v>
      </c>
      <c r="X303" s="1">
        <v>1415</v>
      </c>
      <c r="Y303" s="2">
        <v>44729</v>
      </c>
      <c r="Z303" s="1" t="str">
        <v>West</v>
      </c>
      <c r="AA303" s="1" t="str">
        <v>Basketball</v>
      </c>
      <c r="AB303" s="1" t="str">
        <v>Sports</v>
      </c>
      <c r="AC303" s="1">
        <v>2414.83</v>
      </c>
      <c r="AD303" s="1" t="str">
        <v>Kyle Thomas</v>
      </c>
      <c r="AE303" s="1">
        <v>29541</v>
      </c>
      <c r="AF303" s="1">
        <v>44736</v>
      </c>
      <c r="AG303" s="1">
        <v>5</v>
      </c>
      <c r="AH303" s="1">
        <v>120.7415</v>
      </c>
      <c r="AI303" s="1">
        <v>2294.0884999999998</v>
      </c>
    </row>
    <row r="304" spans="1:35" x14ac:dyDescent="0.35">
      <c r="A304" s="1">
        <v>1302</v>
      </c>
      <c r="B304" s="2">
        <v>44344</v>
      </c>
      <c r="C304" s="1" t="s">
        <v>10</v>
      </c>
      <c r="D304" s="1" t="s">
        <v>73</v>
      </c>
      <c r="E304" s="1" t="s">
        <v>28</v>
      </c>
      <c r="F304" s="1">
        <v>3401.09</v>
      </c>
      <c r="G304" s="1" t="s">
        <v>113</v>
      </c>
      <c r="H304" s="2">
        <v>25579</v>
      </c>
      <c r="I304" s="2">
        <v>44348</v>
      </c>
      <c r="J304" s="1">
        <v>29.35</v>
      </c>
      <c r="K304" s="1">
        <f t="shared" si="14"/>
        <v>998.21991500000013</v>
      </c>
      <c r="L304" s="1">
        <f t="shared" si="15"/>
        <v>2402.870085</v>
      </c>
      <c r="U304">
        <v>1068.012579</v>
      </c>
      <c r="X304" s="1">
        <v>1416</v>
      </c>
      <c r="Y304" s="2">
        <v>44685</v>
      </c>
      <c r="Z304" s="1" t="str">
        <v>West</v>
      </c>
      <c r="AA304" s="1" t="str">
        <v>Oil</v>
      </c>
      <c r="AB304" s="1" t="str">
        <v>Groceries</v>
      </c>
      <c r="AC304" s="1">
        <v>1422.31</v>
      </c>
      <c r="AD304" s="1" t="str">
        <v>Billy Chavez</v>
      </c>
      <c r="AE304" s="1">
        <v>31224</v>
      </c>
      <c r="AF304" s="1">
        <v>44694</v>
      </c>
      <c r="AG304" s="1">
        <v>24.91</v>
      </c>
      <c r="AH304" s="1">
        <v>354.29742099999999</v>
      </c>
      <c r="AI304" s="1">
        <v>1068.012579</v>
      </c>
    </row>
    <row r="305" spans="1:35" x14ac:dyDescent="0.35">
      <c r="A305" s="1">
        <v>1303</v>
      </c>
      <c r="B305" s="2">
        <v>44677</v>
      </c>
      <c r="C305" s="1" t="s">
        <v>26</v>
      </c>
      <c r="D305" s="1" t="s">
        <v>61</v>
      </c>
      <c r="E305" s="1" t="s">
        <v>19</v>
      </c>
      <c r="F305" s="1">
        <v>3673.8</v>
      </c>
      <c r="G305" s="1" t="s">
        <v>25</v>
      </c>
      <c r="H305" s="2">
        <v>33386</v>
      </c>
      <c r="I305" s="2">
        <v>44688</v>
      </c>
      <c r="J305" s="1">
        <v>22.63</v>
      </c>
      <c r="K305" s="1">
        <f t="shared" si="14"/>
        <v>831.38094000000001</v>
      </c>
      <c r="L305" s="1">
        <f t="shared" si="15"/>
        <v>2842.4190600000002</v>
      </c>
      <c r="U305">
        <v>3525.4541130000002</v>
      </c>
      <c r="X305" s="1">
        <v>1417</v>
      </c>
      <c r="Y305" s="2">
        <v>45723</v>
      </c>
      <c r="Z305" s="1" t="str">
        <v>East</v>
      </c>
      <c r="AA305" s="1" t="str">
        <v>T-Shirt</v>
      </c>
      <c r="AB305" s="1" t="str">
        <v>Clothing</v>
      </c>
      <c r="AC305" s="1">
        <v>4028.63</v>
      </c>
      <c r="AD305" s="1" t="str">
        <v>Deanna Stephenson</v>
      </c>
      <c r="AE305" s="1">
        <v>31685</v>
      </c>
      <c r="AF305" s="1">
        <v>45728</v>
      </c>
      <c r="AG305" s="1">
        <v>12.49</v>
      </c>
      <c r="AH305" s="1">
        <v>503.17588699999999</v>
      </c>
      <c r="AI305" s="1">
        <v>3525.4541130000002</v>
      </c>
    </row>
    <row r="306" spans="1:35" x14ac:dyDescent="0.35">
      <c r="A306" s="1">
        <v>1304</v>
      </c>
      <c r="B306" s="2">
        <v>44833</v>
      </c>
      <c r="C306" s="1" t="s">
        <v>21</v>
      </c>
      <c r="D306" s="1" t="s">
        <v>61</v>
      </c>
      <c r="E306" s="1" t="s">
        <v>19</v>
      </c>
      <c r="F306" s="1">
        <v>3544.31</v>
      </c>
      <c r="G306" s="1" t="s">
        <v>206</v>
      </c>
      <c r="H306" s="2">
        <v>34011</v>
      </c>
      <c r="I306" s="2">
        <v>44844</v>
      </c>
      <c r="J306" s="1">
        <v>26.92</v>
      </c>
      <c r="K306" s="1">
        <f t="shared" si="14"/>
        <v>954.12825199999997</v>
      </c>
      <c r="L306" s="1">
        <f t="shared" si="15"/>
        <v>2590.181748</v>
      </c>
      <c r="U306">
        <v>1542.3637679999997</v>
      </c>
      <c r="X306" s="1">
        <v>1418</v>
      </c>
      <c r="Y306" s="2">
        <v>44703</v>
      </c>
      <c r="Z306" s="1" t="str">
        <v>East</v>
      </c>
      <c r="AA306" s="1" t="str">
        <v>Sofa</v>
      </c>
      <c r="AB306" s="1" t="str">
        <v>Furniture</v>
      </c>
      <c r="AC306" s="1">
        <v>2352.2399999999998</v>
      </c>
      <c r="AD306" s="1" t="str">
        <v>Steven Hardin</v>
      </c>
      <c r="AE306" s="1">
        <v>26155</v>
      </c>
      <c r="AF306" s="1">
        <v>44712</v>
      </c>
      <c r="AG306" s="1">
        <v>34.43</v>
      </c>
      <c r="AH306" s="1">
        <v>809.87623199999996</v>
      </c>
      <c r="AI306" s="1">
        <v>1542.3637679999997</v>
      </c>
    </row>
    <row r="307" spans="1:35" x14ac:dyDescent="0.35">
      <c r="A307" s="1">
        <v>1305</v>
      </c>
      <c r="B307" s="2">
        <v>45432</v>
      </c>
      <c r="C307" s="1" t="s">
        <v>35</v>
      </c>
      <c r="D307" s="1" t="s">
        <v>58</v>
      </c>
      <c r="E307" s="1" t="s">
        <v>31</v>
      </c>
      <c r="F307" s="1">
        <v>4720.71</v>
      </c>
      <c r="G307" s="1" t="s">
        <v>216</v>
      </c>
      <c r="H307" s="2">
        <v>31419</v>
      </c>
      <c r="I307" s="2">
        <v>45440</v>
      </c>
      <c r="J307" s="1">
        <v>45.5</v>
      </c>
      <c r="K307" s="1">
        <f t="shared" si="14"/>
        <v>2147.9230499999999</v>
      </c>
      <c r="L307" s="1">
        <f t="shared" si="15"/>
        <v>2572.7869500000002</v>
      </c>
      <c r="U307">
        <v>2413.5618780000004</v>
      </c>
      <c r="X307" s="1">
        <v>1419</v>
      </c>
      <c r="Y307" s="2">
        <v>44665</v>
      </c>
      <c r="Z307" s="1" t="str">
        <v>West</v>
      </c>
      <c r="AA307" s="1" t="str">
        <v>Cricket Bat</v>
      </c>
      <c r="AB307" s="1" t="str">
        <v>Sports</v>
      </c>
      <c r="AC307" s="1">
        <v>3084.03</v>
      </c>
      <c r="AD307" s="1" t="str">
        <v>Harry Holmes</v>
      </c>
      <c r="AE307" s="1">
        <v>25712</v>
      </c>
      <c r="AF307" s="1">
        <v>44678</v>
      </c>
      <c r="AG307" s="1">
        <v>21.74</v>
      </c>
      <c r="AH307" s="1">
        <v>670.46812199999999</v>
      </c>
      <c r="AI307" s="1">
        <v>2413.5618780000004</v>
      </c>
    </row>
    <row r="308" spans="1:35" x14ac:dyDescent="0.35">
      <c r="A308" s="1">
        <v>1306</v>
      </c>
      <c r="B308" s="2">
        <v>45432</v>
      </c>
      <c r="C308" s="1" t="s">
        <v>26</v>
      </c>
      <c r="D308" s="1" t="s">
        <v>44</v>
      </c>
      <c r="E308" s="1" t="s">
        <v>16</v>
      </c>
      <c r="F308" s="1">
        <v>680.18</v>
      </c>
      <c r="G308" s="1" t="s">
        <v>124</v>
      </c>
      <c r="H308" s="2">
        <v>30786</v>
      </c>
      <c r="I308" s="2">
        <v>45446</v>
      </c>
      <c r="J308" s="1">
        <v>22.04</v>
      </c>
      <c r="K308" s="1">
        <f t="shared" si="14"/>
        <v>149.91167199999998</v>
      </c>
      <c r="L308" s="1">
        <f t="shared" si="15"/>
        <v>530.268328</v>
      </c>
      <c r="U308">
        <v>4025.7740160000003</v>
      </c>
      <c r="X308" s="1">
        <v>1420</v>
      </c>
      <c r="Y308" s="2">
        <v>44202</v>
      </c>
      <c r="Z308" s="1" t="str">
        <v>East</v>
      </c>
      <c r="AA308" s="1" t="str">
        <v>T-Shirt</v>
      </c>
      <c r="AB308" s="1" t="str">
        <v>Clothing</v>
      </c>
      <c r="AC308" s="1">
        <v>4802.88</v>
      </c>
      <c r="AD308" s="1" t="str">
        <v>Justin Robinson</v>
      </c>
      <c r="AE308" s="1">
        <v>35629</v>
      </c>
      <c r="AF308" s="1">
        <v>44212</v>
      </c>
      <c r="AG308" s="1">
        <v>16.18</v>
      </c>
      <c r="AH308" s="1">
        <v>777.10598400000003</v>
      </c>
      <c r="AI308" s="1">
        <v>4025.7740160000003</v>
      </c>
    </row>
    <row r="309" spans="1:35" x14ac:dyDescent="0.35">
      <c r="A309" s="1">
        <v>1307</v>
      </c>
      <c r="B309" s="2">
        <v>45377</v>
      </c>
      <c r="C309" s="1" t="s">
        <v>26</v>
      </c>
      <c r="D309" s="1" t="s">
        <v>24</v>
      </c>
      <c r="E309" s="1" t="s">
        <v>19</v>
      </c>
      <c r="F309" s="1">
        <v>2670.72</v>
      </c>
      <c r="G309" s="1" t="s">
        <v>234</v>
      </c>
      <c r="H309" s="2">
        <v>24368</v>
      </c>
      <c r="I309" s="2">
        <v>45379</v>
      </c>
      <c r="J309" s="1">
        <v>34.68</v>
      </c>
      <c r="K309" s="1">
        <f t="shared" si="14"/>
        <v>926.20569599999988</v>
      </c>
      <c r="L309" s="1">
        <f t="shared" si="15"/>
        <v>1744.5143039999998</v>
      </c>
      <c r="U309">
        <v>3406.5862499999998</v>
      </c>
      <c r="X309" s="1">
        <v>1422</v>
      </c>
      <c r="Y309" s="2">
        <v>45535</v>
      </c>
      <c r="Z309" s="1" t="str">
        <v>Central</v>
      </c>
      <c r="AA309" s="1" t="str">
        <v>Table</v>
      </c>
      <c r="AB309" s="1" t="str">
        <v>Furniture</v>
      </c>
      <c r="AC309" s="1">
        <v>3938.25</v>
      </c>
      <c r="AD309" s="1" t="str">
        <v>Karla Garcia</v>
      </c>
      <c r="AE309" s="1">
        <v>31331</v>
      </c>
      <c r="AF309" s="1">
        <v>45542</v>
      </c>
      <c r="AG309" s="1">
        <v>13.5</v>
      </c>
      <c r="AH309" s="1">
        <v>531.66375000000005</v>
      </c>
      <c r="AI309" s="1">
        <v>3406.5862499999998</v>
      </c>
    </row>
    <row r="310" spans="1:35" x14ac:dyDescent="0.35">
      <c r="A310" s="1">
        <v>1308</v>
      </c>
      <c r="B310" s="2">
        <v>45111</v>
      </c>
      <c r="C310" s="1" t="s">
        <v>21</v>
      </c>
      <c r="D310" s="1" t="s">
        <v>30</v>
      </c>
      <c r="E310" s="1" t="s">
        <v>31</v>
      </c>
      <c r="F310" s="1">
        <v>4912.82</v>
      </c>
      <c r="G310" s="1" t="s">
        <v>158</v>
      </c>
      <c r="H310" s="2">
        <v>34871</v>
      </c>
      <c r="I310" s="2">
        <v>45123</v>
      </c>
      <c r="J310" s="1">
        <v>43.1</v>
      </c>
      <c r="K310" s="1">
        <f t="shared" si="14"/>
        <v>2117.42542</v>
      </c>
      <c r="L310" s="1">
        <f t="shared" si="15"/>
        <v>2795.3945799999997</v>
      </c>
      <c r="U310">
        <v>3253.140566</v>
      </c>
      <c r="X310" s="1">
        <v>1423</v>
      </c>
      <c r="Y310" s="2">
        <v>44794</v>
      </c>
      <c r="Z310" s="1" t="str">
        <v>South</v>
      </c>
      <c r="AA310" s="1" t="str">
        <v>Basketball</v>
      </c>
      <c r="AB310" s="1" t="str">
        <v>Sports</v>
      </c>
      <c r="AC310" s="1">
        <v>3839.42</v>
      </c>
      <c r="AD310" s="1" t="str">
        <v>Brian Carson</v>
      </c>
      <c r="AE310" s="1">
        <v>30232</v>
      </c>
      <c r="AF310" s="1">
        <v>44795</v>
      </c>
      <c r="AG310" s="1">
        <v>15.27</v>
      </c>
      <c r="AH310" s="1">
        <v>586.27943400000004</v>
      </c>
      <c r="AI310" s="1">
        <v>3253.140566</v>
      </c>
    </row>
    <row r="311" spans="1:35" x14ac:dyDescent="0.35">
      <c r="A311" s="1">
        <v>1309</v>
      </c>
      <c r="B311" s="2">
        <v>44701</v>
      </c>
      <c r="C311" s="1" t="s">
        <v>10</v>
      </c>
      <c r="D311" s="1" t="s">
        <v>61</v>
      </c>
      <c r="E311" s="1" t="s">
        <v>19</v>
      </c>
      <c r="F311" s="1">
        <v>2214.5700000000002</v>
      </c>
      <c r="G311" s="1" t="s">
        <v>237</v>
      </c>
      <c r="H311" s="2">
        <v>27455</v>
      </c>
      <c r="I311" s="2">
        <v>44713</v>
      </c>
      <c r="J311" s="1">
        <v>13.3</v>
      </c>
      <c r="K311" s="1">
        <f t="shared" si="14"/>
        <v>294.53781000000004</v>
      </c>
      <c r="L311" s="1">
        <f t="shared" si="15"/>
        <v>1920.0321900000001</v>
      </c>
      <c r="U311">
        <v>1618.86798</v>
      </c>
      <c r="X311" s="1">
        <v>1424</v>
      </c>
      <c r="Y311" s="2">
        <v>45879</v>
      </c>
      <c r="Z311" s="1" t="str">
        <v>West</v>
      </c>
      <c r="AA311" s="1" t="str">
        <v>Headphones</v>
      </c>
      <c r="AB311" s="1" t="str">
        <v>Electronics</v>
      </c>
      <c r="AC311" s="1">
        <v>1786.83</v>
      </c>
      <c r="AD311" s="1" t="str">
        <v>Martha Harris</v>
      </c>
      <c r="AE311" s="1">
        <v>27455</v>
      </c>
      <c r="AF311" s="1">
        <v>45891</v>
      </c>
      <c r="AG311" s="1">
        <v>9.4</v>
      </c>
      <c r="AH311" s="1">
        <v>167.96202</v>
      </c>
      <c r="AI311" s="1">
        <v>1618.86798</v>
      </c>
    </row>
    <row r="312" spans="1:35" x14ac:dyDescent="0.35">
      <c r="A312" s="1">
        <v>1310</v>
      </c>
      <c r="B312" s="2">
        <v>44991</v>
      </c>
      <c r="C312" s="1" t="s">
        <v>21</v>
      </c>
      <c r="D312" s="1" t="s">
        <v>88</v>
      </c>
      <c r="E312" s="1" t="s">
        <v>16</v>
      </c>
      <c r="F312" s="1">
        <v>2682.47</v>
      </c>
      <c r="G312" s="1" t="s">
        <v>233</v>
      </c>
      <c r="H312" s="2">
        <v>38826</v>
      </c>
      <c r="I312" s="2">
        <v>45003</v>
      </c>
      <c r="J312" s="1">
        <v>26.43</v>
      </c>
      <c r="K312" s="1">
        <f t="shared" si="14"/>
        <v>708.97682099999986</v>
      </c>
      <c r="L312" s="1">
        <f t="shared" si="15"/>
        <v>1973.4931790000001</v>
      </c>
      <c r="U312">
        <v>3736.1681799999997</v>
      </c>
      <c r="X312" s="1">
        <v>1426</v>
      </c>
      <c r="Y312" s="2">
        <v>45399</v>
      </c>
      <c r="Z312" s="1" t="str">
        <v>West</v>
      </c>
      <c r="AA312" s="1" t="str">
        <v>Sofa</v>
      </c>
      <c r="AB312" s="1" t="str">
        <v>Furniture</v>
      </c>
      <c r="AC312" s="1">
        <v>4168.8999999999996</v>
      </c>
      <c r="AD312" s="1" t="str">
        <v>Elizabeth Myers</v>
      </c>
      <c r="AE312" s="1">
        <v>38899</v>
      </c>
      <c r="AF312" s="1">
        <v>45402</v>
      </c>
      <c r="AG312" s="1">
        <v>10.38</v>
      </c>
      <c r="AH312" s="1">
        <v>432.73181999999997</v>
      </c>
      <c r="AI312" s="1">
        <v>3736.1681799999997</v>
      </c>
    </row>
    <row r="313" spans="1:35" x14ac:dyDescent="0.35">
      <c r="A313" s="1">
        <v>1311</v>
      </c>
      <c r="B313" s="2">
        <v>45832</v>
      </c>
      <c r="C313" s="1" t="s">
        <v>10</v>
      </c>
      <c r="D313" s="1" t="s">
        <v>36</v>
      </c>
      <c r="E313" s="1" t="s">
        <v>28</v>
      </c>
      <c r="F313" s="1">
        <v>1078.81</v>
      </c>
      <c r="G313" s="1" t="s">
        <v>238</v>
      </c>
      <c r="H313" s="2">
        <v>31880</v>
      </c>
      <c r="I313" s="2">
        <v>45840</v>
      </c>
      <c r="J313" s="1">
        <v>28.29</v>
      </c>
      <c r="K313" s="1">
        <f t="shared" si="14"/>
        <v>305.19534899999996</v>
      </c>
      <c r="L313" s="1">
        <f t="shared" si="15"/>
        <v>773.61465099999998</v>
      </c>
      <c r="U313">
        <v>2805.4720729999999</v>
      </c>
      <c r="X313" s="1">
        <v>1427</v>
      </c>
      <c r="Y313" s="2">
        <v>45010</v>
      </c>
      <c r="Z313" s="1" t="str">
        <v>South</v>
      </c>
      <c r="AA313" s="1" t="str">
        <v>Milk</v>
      </c>
      <c r="AB313" s="1" t="str">
        <v>Groceries</v>
      </c>
      <c r="AC313" s="1">
        <v>4059.43</v>
      </c>
      <c r="AD313" s="1" t="str">
        <v>Douglas Williams</v>
      </c>
      <c r="AE313" s="1">
        <v>38826</v>
      </c>
      <c r="AF313" s="1">
        <v>45014</v>
      </c>
      <c r="AG313" s="1">
        <v>30.89</v>
      </c>
      <c r="AH313" s="1">
        <v>1253.9579269999999</v>
      </c>
      <c r="AI313" s="1">
        <v>2805.4720729999999</v>
      </c>
    </row>
    <row r="314" spans="1:35" x14ac:dyDescent="0.35">
      <c r="A314" s="1">
        <v>1312</v>
      </c>
      <c r="B314" s="2">
        <v>45641</v>
      </c>
      <c r="C314" s="1" t="s">
        <v>21</v>
      </c>
      <c r="D314" s="1" t="s">
        <v>61</v>
      </c>
      <c r="E314" s="1" t="s">
        <v>19</v>
      </c>
      <c r="F314" s="1">
        <v>764.47</v>
      </c>
      <c r="G314" s="1" t="s">
        <v>239</v>
      </c>
      <c r="H314" s="2">
        <v>38442</v>
      </c>
      <c r="I314" s="2">
        <v>45643</v>
      </c>
      <c r="J314" s="1">
        <v>30.02</v>
      </c>
      <c r="K314" s="1">
        <f t="shared" si="14"/>
        <v>229.49389400000001</v>
      </c>
      <c r="L314" s="1">
        <f t="shared" si="15"/>
        <v>534.97610600000007</v>
      </c>
      <c r="U314">
        <v>3846.3079200000002</v>
      </c>
      <c r="X314" s="1">
        <v>1429</v>
      </c>
      <c r="Y314" s="2">
        <v>44536</v>
      </c>
      <c r="Z314" s="1" t="str">
        <v>West</v>
      </c>
      <c r="AA314" s="1" t="str">
        <v>Camera</v>
      </c>
      <c r="AB314" s="1" t="str">
        <v>Electronics</v>
      </c>
      <c r="AC314" s="1">
        <v>4025.44</v>
      </c>
      <c r="AD314" s="1" t="str">
        <v>Amber Collins</v>
      </c>
      <c r="AE314" s="1">
        <v>32604</v>
      </c>
      <c r="AF314" s="1">
        <v>44543</v>
      </c>
      <c r="AG314" s="1">
        <v>4.45</v>
      </c>
      <c r="AH314" s="1">
        <v>179.13208000000003</v>
      </c>
      <c r="AI314" s="1">
        <v>3846.3079200000002</v>
      </c>
    </row>
    <row r="315" spans="1:35" x14ac:dyDescent="0.35">
      <c r="A315" s="1">
        <v>1313</v>
      </c>
      <c r="B315" s="2">
        <v>45745</v>
      </c>
      <c r="C315" s="1" t="s">
        <v>14</v>
      </c>
      <c r="D315" s="1" t="s">
        <v>15</v>
      </c>
      <c r="E315" s="1" t="s">
        <v>16</v>
      </c>
      <c r="F315" s="1">
        <v>725.6</v>
      </c>
      <c r="G315" s="1" t="s">
        <v>240</v>
      </c>
      <c r="H315" s="2">
        <v>38478</v>
      </c>
      <c r="I315" s="2">
        <v>45758</v>
      </c>
      <c r="J315" s="1">
        <v>6.26</v>
      </c>
      <c r="K315" s="1">
        <f t="shared" si="14"/>
        <v>45.422560000000004</v>
      </c>
      <c r="L315" s="1">
        <f t="shared" si="15"/>
        <v>680.17744000000005</v>
      </c>
      <c r="U315">
        <v>1548.0620799999999</v>
      </c>
      <c r="X315" s="1">
        <v>1430</v>
      </c>
      <c r="Y315" s="2">
        <v>44099</v>
      </c>
      <c r="Z315" s="1" t="str">
        <v>East</v>
      </c>
      <c r="AA315" s="1" t="str">
        <v>Jeans</v>
      </c>
      <c r="AB315" s="1" t="str">
        <v>Clothing</v>
      </c>
      <c r="AC315" s="1">
        <v>2610.56</v>
      </c>
      <c r="AD315" s="1" t="str">
        <v>Frank Davis</v>
      </c>
      <c r="AE315" s="1">
        <v>38171</v>
      </c>
      <c r="AF315" s="1">
        <v>44113</v>
      </c>
      <c r="AG315" s="1">
        <v>40.700000000000003</v>
      </c>
      <c r="AH315" s="1">
        <v>1062.49792</v>
      </c>
      <c r="AI315" s="1">
        <v>1548.0620799999999</v>
      </c>
    </row>
    <row r="316" spans="1:35" x14ac:dyDescent="0.35">
      <c r="A316" s="1">
        <v>1314</v>
      </c>
      <c r="B316" s="2">
        <v>44171</v>
      </c>
      <c r="C316" s="1" t="s">
        <v>26</v>
      </c>
      <c r="D316" s="1" t="s">
        <v>30</v>
      </c>
      <c r="E316" s="1" t="s">
        <v>31</v>
      </c>
      <c r="F316" s="1">
        <v>333.41</v>
      </c>
      <c r="G316" s="1" t="s">
        <v>241</v>
      </c>
      <c r="H316" s="2">
        <v>31880</v>
      </c>
      <c r="I316" s="2">
        <v>44182</v>
      </c>
      <c r="J316" s="1">
        <v>46.12</v>
      </c>
      <c r="K316" s="1">
        <f t="shared" si="14"/>
        <v>153.76869200000002</v>
      </c>
      <c r="L316" s="1">
        <f t="shared" si="15"/>
        <v>179.64130800000001</v>
      </c>
      <c r="U316">
        <v>1166.7964400000001</v>
      </c>
      <c r="X316" s="1">
        <v>1431</v>
      </c>
      <c r="Y316" s="2">
        <v>44784</v>
      </c>
      <c r="Z316" s="1" t="str">
        <v>West</v>
      </c>
      <c r="AA316" s="1" t="str">
        <v>Oil</v>
      </c>
      <c r="AB316" s="1" t="str">
        <v>Groceries</v>
      </c>
      <c r="AC316" s="1">
        <v>1991.8</v>
      </c>
      <c r="AD316" s="1" t="str">
        <v>Lisa Garcia</v>
      </c>
      <c r="AE316" s="1">
        <v>31578</v>
      </c>
      <c r="AF316" s="1">
        <v>44787</v>
      </c>
      <c r="AG316" s="1">
        <v>41.42</v>
      </c>
      <c r="AH316" s="1">
        <v>825.00355999999999</v>
      </c>
      <c r="AI316" s="1">
        <v>1166.7964400000001</v>
      </c>
    </row>
    <row r="317" spans="1:35" x14ac:dyDescent="0.35">
      <c r="A317" s="1">
        <v>1315</v>
      </c>
      <c r="B317" s="2">
        <v>44342</v>
      </c>
      <c r="C317" s="1" t="s">
        <v>35</v>
      </c>
      <c r="D317" s="1" t="s">
        <v>49</v>
      </c>
      <c r="E317" s="1" t="s">
        <v>12</v>
      </c>
      <c r="F317" s="1">
        <v>3736.44</v>
      </c>
      <c r="G317" s="1" t="s">
        <v>210</v>
      </c>
      <c r="H317" s="2">
        <v>27550</v>
      </c>
      <c r="I317" s="2">
        <v>44356</v>
      </c>
      <c r="J317" s="1">
        <v>46.46</v>
      </c>
      <c r="K317" s="1">
        <f t="shared" si="14"/>
        <v>1735.950024</v>
      </c>
      <c r="L317" s="1">
        <f t="shared" si="15"/>
        <v>2000.4899760000001</v>
      </c>
      <c r="U317">
        <v>1619.3644899999999</v>
      </c>
      <c r="X317" s="1">
        <v>1432</v>
      </c>
      <c r="Y317" s="2">
        <v>45165</v>
      </c>
      <c r="Z317" s="1" t="str">
        <v>South</v>
      </c>
      <c r="AA317" s="1" t="str">
        <v>Wheat</v>
      </c>
      <c r="AB317" s="1" t="str">
        <v>Groceries</v>
      </c>
      <c r="AC317" s="1">
        <v>2141.4499999999998</v>
      </c>
      <c r="AD317" s="1" t="str">
        <v>Jacqueline Chen</v>
      </c>
      <c r="AE317" s="1">
        <v>25163</v>
      </c>
      <c r="AF317" s="1">
        <v>45172</v>
      </c>
      <c r="AG317" s="1">
        <v>24.38</v>
      </c>
      <c r="AH317" s="1">
        <v>522.08550999999989</v>
      </c>
      <c r="AI317" s="1">
        <v>1619.3644899999999</v>
      </c>
    </row>
    <row r="318" spans="1:35" x14ac:dyDescent="0.35">
      <c r="A318" s="1">
        <v>1316</v>
      </c>
      <c r="B318" s="2">
        <v>44804</v>
      </c>
      <c r="C318" s="1" t="s">
        <v>10</v>
      </c>
      <c r="D318" s="1" t="s">
        <v>88</v>
      </c>
      <c r="E318" s="1" t="s">
        <v>16</v>
      </c>
      <c r="F318" s="1">
        <v>130.38</v>
      </c>
      <c r="G318" s="1" t="s">
        <v>215</v>
      </c>
      <c r="H318" s="2">
        <v>31386</v>
      </c>
      <c r="I318" s="2">
        <v>44814</v>
      </c>
      <c r="J318" s="1">
        <v>23.3</v>
      </c>
      <c r="K318" s="1">
        <f t="shared" si="14"/>
        <v>30.378540000000001</v>
      </c>
      <c r="L318" s="1">
        <f t="shared" si="15"/>
        <v>100.00145999999999</v>
      </c>
      <c r="U318">
        <v>2858.8398300000003</v>
      </c>
      <c r="X318" s="1">
        <v>1433</v>
      </c>
      <c r="Y318" s="2">
        <v>45420</v>
      </c>
      <c r="Z318" s="1" t="str">
        <v>West</v>
      </c>
      <c r="AA318" s="1" t="str">
        <v>Cricket Bat</v>
      </c>
      <c r="AB318" s="1" t="str">
        <v>Sports</v>
      </c>
      <c r="AC318" s="1">
        <v>4125.3100000000004</v>
      </c>
      <c r="AD318" s="1" t="str">
        <v>Darryl Cooper</v>
      </c>
      <c r="AE318" s="1">
        <v>38378</v>
      </c>
      <c r="AF318" s="1">
        <v>45427</v>
      </c>
      <c r="AG318" s="1">
        <v>30.7</v>
      </c>
      <c r="AH318" s="1">
        <v>1266.4701700000001</v>
      </c>
      <c r="AI318" s="1">
        <v>2858.8398300000003</v>
      </c>
    </row>
    <row r="319" spans="1:35" x14ac:dyDescent="0.35">
      <c r="A319" s="1">
        <v>1317</v>
      </c>
      <c r="B319" s="2">
        <v>44407</v>
      </c>
      <c r="C319" s="1" t="s">
        <v>26</v>
      </c>
      <c r="D319" s="1" t="s">
        <v>15</v>
      </c>
      <c r="E319" s="1" t="s">
        <v>16</v>
      </c>
      <c r="F319" s="1">
        <v>4105.88</v>
      </c>
      <c r="G319" s="1" t="s">
        <v>118</v>
      </c>
      <c r="H319" s="2">
        <v>22599</v>
      </c>
      <c r="I319" s="2">
        <v>44414</v>
      </c>
      <c r="J319" s="1">
        <v>36.520000000000003</v>
      </c>
      <c r="K319" s="1">
        <f t="shared" si="14"/>
        <v>1499.4673760000001</v>
      </c>
      <c r="L319" s="1">
        <f t="shared" si="15"/>
        <v>2606.4126240000001</v>
      </c>
      <c r="U319">
        <v>1940.4862149999999</v>
      </c>
      <c r="X319" s="1">
        <v>1434</v>
      </c>
      <c r="Y319" s="2">
        <v>44065</v>
      </c>
      <c r="Z319" s="1" t="str">
        <v>North</v>
      </c>
      <c r="AA319" s="1" t="str">
        <v>Tablet</v>
      </c>
      <c r="AB319" s="1" t="str">
        <v>Electronics</v>
      </c>
      <c r="AC319" s="1">
        <v>3630.47</v>
      </c>
      <c r="AD319" s="1" t="str">
        <v>Colin Garcia</v>
      </c>
      <c r="AE319" s="1">
        <v>37783</v>
      </c>
      <c r="AF319" s="1">
        <v>44074</v>
      </c>
      <c r="AG319" s="1">
        <v>46.55</v>
      </c>
      <c r="AH319" s="1">
        <v>1689.9837849999999</v>
      </c>
      <c r="AI319" s="1">
        <v>1940.4862149999999</v>
      </c>
    </row>
    <row r="320" spans="1:35" x14ac:dyDescent="0.35">
      <c r="A320" s="1">
        <v>1318</v>
      </c>
      <c r="B320" s="2">
        <v>44888</v>
      </c>
      <c r="C320" s="1" t="s">
        <v>10</v>
      </c>
      <c r="D320" s="1" t="s">
        <v>69</v>
      </c>
      <c r="E320" s="1" t="s">
        <v>12</v>
      </c>
      <c r="F320" s="1">
        <v>1085.3800000000001</v>
      </c>
      <c r="G320" s="1" t="s">
        <v>242</v>
      </c>
      <c r="H320" s="2">
        <v>21785</v>
      </c>
      <c r="I320" s="2">
        <v>44891</v>
      </c>
      <c r="J320" s="1">
        <v>47.43</v>
      </c>
      <c r="K320" s="1">
        <f t="shared" si="14"/>
        <v>514.79573400000004</v>
      </c>
      <c r="L320" s="1">
        <f t="shared" si="15"/>
        <v>570.58426600000007</v>
      </c>
      <c r="U320">
        <v>2470.4749440000001</v>
      </c>
      <c r="X320" s="1">
        <v>1435</v>
      </c>
      <c r="Y320" s="2">
        <v>45366</v>
      </c>
      <c r="Z320" s="1" t="str">
        <v>West</v>
      </c>
      <c r="AA320" s="1" t="str">
        <v>Sofa</v>
      </c>
      <c r="AB320" s="1" t="str">
        <v>Furniture</v>
      </c>
      <c r="AC320" s="1">
        <v>3093.12</v>
      </c>
      <c r="AD320" s="1" t="str">
        <v>Margaret Wilson</v>
      </c>
      <c r="AE320" s="1">
        <v>37141</v>
      </c>
      <c r="AF320" s="1">
        <v>45369</v>
      </c>
      <c r="AG320" s="1">
        <v>20.13</v>
      </c>
      <c r="AH320" s="1">
        <v>622.64505599999995</v>
      </c>
      <c r="AI320" s="1">
        <v>2470.4749440000001</v>
      </c>
    </row>
    <row r="321" spans="1:35" x14ac:dyDescent="0.35">
      <c r="A321" s="1">
        <v>1319</v>
      </c>
      <c r="B321" s="2">
        <v>44922</v>
      </c>
      <c r="C321" s="1" t="s">
        <v>26</v>
      </c>
      <c r="D321" s="1" t="s">
        <v>24</v>
      </c>
      <c r="E321" s="1" t="s">
        <v>19</v>
      </c>
      <c r="F321" s="1">
        <v>3444.87</v>
      </c>
      <c r="G321" s="1" t="s">
        <v>243</v>
      </c>
      <c r="H321" s="2">
        <v>29103</v>
      </c>
      <c r="I321" s="2">
        <v>44930</v>
      </c>
      <c r="J321" s="1">
        <v>19.559999999999999</v>
      </c>
      <c r="K321" s="1">
        <f t="shared" si="14"/>
        <v>673.81657199999995</v>
      </c>
      <c r="L321" s="1">
        <f t="shared" si="15"/>
        <v>2771.0534280000002</v>
      </c>
      <c r="U321">
        <v>2040.1242319999999</v>
      </c>
      <c r="X321" s="1">
        <v>1436</v>
      </c>
      <c r="Y321" s="2">
        <v>45341</v>
      </c>
      <c r="Z321" s="1" t="str">
        <v>South</v>
      </c>
      <c r="AA321" s="1" t="str">
        <v>Basketball</v>
      </c>
      <c r="AB321" s="1" t="str">
        <v>Sports</v>
      </c>
      <c r="AC321" s="1">
        <v>2804.68</v>
      </c>
      <c r="AD321" s="1" t="str">
        <v>Robert Jones</v>
      </c>
      <c r="AE321" s="1">
        <v>32047</v>
      </c>
      <c r="AF321" s="1">
        <v>45353</v>
      </c>
      <c r="AG321" s="1">
        <v>27.26</v>
      </c>
      <c r="AH321" s="1">
        <v>764.55576799999994</v>
      </c>
      <c r="AI321" s="1">
        <v>2040.1242319999999</v>
      </c>
    </row>
    <row r="322" spans="1:35" x14ac:dyDescent="0.35">
      <c r="A322" s="1">
        <v>1320</v>
      </c>
      <c r="B322" s="2">
        <v>44290</v>
      </c>
      <c r="C322" s="1" t="s">
        <v>21</v>
      </c>
      <c r="D322" s="1" t="s">
        <v>47</v>
      </c>
      <c r="E322" s="1" t="s">
        <v>12</v>
      </c>
      <c r="F322" s="1">
        <v>2972.21</v>
      </c>
      <c r="G322" s="1" t="s">
        <v>23</v>
      </c>
      <c r="H322" s="2">
        <v>38378</v>
      </c>
      <c r="I322" s="2">
        <v>44304</v>
      </c>
      <c r="J322" s="1">
        <v>22.8</v>
      </c>
      <c r="K322" s="1">
        <f t="shared" si="14"/>
        <v>677.66388000000006</v>
      </c>
      <c r="L322" s="1">
        <f t="shared" si="15"/>
        <v>2294.54612</v>
      </c>
      <c r="U322">
        <v>1241.7142319999998</v>
      </c>
      <c r="X322" s="1">
        <v>1437</v>
      </c>
      <c r="Y322" s="2">
        <v>44115</v>
      </c>
      <c r="Z322" s="1" t="str">
        <v>West</v>
      </c>
      <c r="AA322" s="1" t="str">
        <v>Rice</v>
      </c>
      <c r="AB322" s="1" t="str">
        <v>Groceries</v>
      </c>
      <c r="AC322" s="1">
        <v>2362.4699999999998</v>
      </c>
      <c r="AD322" s="1" t="str">
        <v>Dustin Barnes</v>
      </c>
      <c r="AE322" s="1">
        <v>36571</v>
      </c>
      <c r="AF322" s="1">
        <v>44123</v>
      </c>
      <c r="AG322" s="1">
        <v>47.44</v>
      </c>
      <c r="AH322" s="1">
        <v>1120.755768</v>
      </c>
      <c r="AI322" s="1">
        <v>1241.7142319999998</v>
      </c>
    </row>
    <row r="323" spans="1:35" x14ac:dyDescent="0.35">
      <c r="A323" s="1">
        <v>1321</v>
      </c>
      <c r="B323" s="2">
        <v>44915</v>
      </c>
      <c r="C323" s="1" t="s">
        <v>21</v>
      </c>
      <c r="D323" s="1" t="s">
        <v>53</v>
      </c>
      <c r="E323" s="1" t="s">
        <v>28</v>
      </c>
      <c r="F323" s="1">
        <v>4855.2</v>
      </c>
      <c r="G323" s="1" t="s">
        <v>37</v>
      </c>
      <c r="H323" s="2">
        <v>27534</v>
      </c>
      <c r="I323" s="2">
        <v>44921</v>
      </c>
      <c r="J323" s="1">
        <v>48.03</v>
      </c>
      <c r="K323" s="1">
        <f t="shared" ref="K323:K386" si="16">F323*J323%</f>
        <v>2331.9525599999997</v>
      </c>
      <c r="L323" s="1">
        <f t="shared" ref="L323:L386" si="17">F323-K323</f>
        <v>2523.2474400000001</v>
      </c>
      <c r="U323">
        <v>1640.0719350000002</v>
      </c>
      <c r="X323" s="1">
        <v>1441</v>
      </c>
      <c r="Y323" s="2">
        <v>45796</v>
      </c>
      <c r="Z323" s="1" t="str">
        <v>South</v>
      </c>
      <c r="AA323" s="1" t="str">
        <v>Shoes</v>
      </c>
      <c r="AB323" s="1" t="str">
        <v>Sports</v>
      </c>
      <c r="AC323" s="1">
        <v>2525.13</v>
      </c>
      <c r="AD323" s="1" t="str">
        <v>Patrick Woods</v>
      </c>
      <c r="AE323" s="1">
        <v>34932</v>
      </c>
      <c r="AF323" s="1">
        <v>45798</v>
      </c>
      <c r="AG323" s="1">
        <v>35.049999999999997</v>
      </c>
      <c r="AH323" s="1">
        <v>885.05806499999994</v>
      </c>
      <c r="AI323" s="1">
        <v>1640.0719350000002</v>
      </c>
    </row>
    <row r="324" spans="1:35" x14ac:dyDescent="0.35">
      <c r="A324" s="1">
        <v>1322</v>
      </c>
      <c r="B324" s="2">
        <v>44138</v>
      </c>
      <c r="C324" s="1" t="s">
        <v>35</v>
      </c>
      <c r="D324" s="1" t="s">
        <v>53</v>
      </c>
      <c r="E324" s="1" t="s">
        <v>28</v>
      </c>
      <c r="F324" s="1">
        <v>4450.13</v>
      </c>
      <c r="G324" s="1" t="s">
        <v>198</v>
      </c>
      <c r="H324" s="2">
        <v>31598</v>
      </c>
      <c r="I324" s="2">
        <v>44151</v>
      </c>
      <c r="J324" s="1">
        <v>5.77</v>
      </c>
      <c r="K324" s="1">
        <f t="shared" si="16"/>
        <v>256.77250099999998</v>
      </c>
      <c r="L324" s="1">
        <f t="shared" si="17"/>
        <v>4193.3574989999997</v>
      </c>
      <c r="U324">
        <v>2300.06333</v>
      </c>
      <c r="X324" s="1">
        <v>1442</v>
      </c>
      <c r="Y324" s="2">
        <v>45467</v>
      </c>
      <c r="Z324" s="1" t="str">
        <v>Central</v>
      </c>
      <c r="AA324" s="1" t="str">
        <v>Tablet</v>
      </c>
      <c r="AB324" s="1" t="str">
        <v>Electronics</v>
      </c>
      <c r="AC324" s="1">
        <v>3350.42</v>
      </c>
      <c r="AD324" s="1" t="str">
        <v>Sara Mayo</v>
      </c>
      <c r="AE324" s="1">
        <v>38039</v>
      </c>
      <c r="AF324" s="1">
        <v>45478</v>
      </c>
      <c r="AG324" s="1">
        <v>31.35</v>
      </c>
      <c r="AH324" s="1">
        <v>1050.3566700000001</v>
      </c>
      <c r="AI324" s="1">
        <v>2300.06333</v>
      </c>
    </row>
    <row r="325" spans="1:35" x14ac:dyDescent="0.35">
      <c r="A325" s="1">
        <v>1323</v>
      </c>
      <c r="B325" s="2">
        <v>45155</v>
      </c>
      <c r="C325" s="1" t="s">
        <v>14</v>
      </c>
      <c r="D325" s="1" t="s">
        <v>69</v>
      </c>
      <c r="E325" s="1" t="s">
        <v>31</v>
      </c>
      <c r="F325" s="1">
        <v>4766.46</v>
      </c>
      <c r="G325" s="1" t="s">
        <v>225</v>
      </c>
      <c r="H325" s="2">
        <v>27641</v>
      </c>
      <c r="I325" s="2">
        <v>45160</v>
      </c>
      <c r="J325" s="1">
        <v>45.05</v>
      </c>
      <c r="K325" s="1">
        <f t="shared" si="16"/>
        <v>2147.2902299999996</v>
      </c>
      <c r="L325" s="1">
        <f t="shared" si="17"/>
        <v>2619.1697700000004</v>
      </c>
      <c r="U325">
        <v>2983.940576</v>
      </c>
      <c r="X325" s="1">
        <v>1443</v>
      </c>
      <c r="Y325" s="2">
        <v>44400</v>
      </c>
      <c r="Z325" s="1" t="str">
        <v>Central</v>
      </c>
      <c r="AA325" s="1" t="str">
        <v>Basketball</v>
      </c>
      <c r="AB325" s="1" t="str">
        <v>Sports</v>
      </c>
      <c r="AC325" s="1">
        <v>3643.84</v>
      </c>
      <c r="AD325" s="1" t="str">
        <v>Timothy Castaneda</v>
      </c>
      <c r="AE325" s="1">
        <v>31880</v>
      </c>
      <c r="AF325" s="1">
        <v>44401</v>
      </c>
      <c r="AG325" s="1">
        <v>18.11</v>
      </c>
      <c r="AH325" s="1">
        <v>659.89942399999995</v>
      </c>
      <c r="AI325" s="1">
        <v>2983.940576</v>
      </c>
    </row>
    <row r="326" spans="1:35" x14ac:dyDescent="0.35">
      <c r="A326" s="1">
        <v>1324</v>
      </c>
      <c r="B326" s="2">
        <v>45150</v>
      </c>
      <c r="C326" s="1" t="s">
        <v>21</v>
      </c>
      <c r="D326" s="1" t="s">
        <v>38</v>
      </c>
      <c r="E326" s="1" t="s">
        <v>28</v>
      </c>
      <c r="F326" s="1">
        <v>4884.1400000000003</v>
      </c>
      <c r="G326" s="1" t="s">
        <v>23</v>
      </c>
      <c r="H326" s="2">
        <v>38378</v>
      </c>
      <c r="I326" s="2">
        <v>45152</v>
      </c>
      <c r="J326" s="1">
        <v>28.02</v>
      </c>
      <c r="K326" s="1">
        <f t="shared" si="16"/>
        <v>1368.5360280000002</v>
      </c>
      <c r="L326" s="1">
        <f t="shared" si="17"/>
        <v>3515.6039719999999</v>
      </c>
      <c r="U326">
        <v>1166.7088250000002</v>
      </c>
      <c r="X326" s="1">
        <v>1444</v>
      </c>
      <c r="Y326" s="2">
        <v>45724</v>
      </c>
      <c r="Z326" s="1" t="str">
        <v>West</v>
      </c>
      <c r="AA326" s="1" t="str">
        <v>Sofa</v>
      </c>
      <c r="AB326" s="1" t="str">
        <v>Furniture</v>
      </c>
      <c r="AC326" s="1">
        <v>1247.1500000000001</v>
      </c>
      <c r="AD326" s="1" t="str">
        <v>Brittany Ayala</v>
      </c>
      <c r="AE326" s="1">
        <v>25103</v>
      </c>
      <c r="AF326" s="1">
        <v>45727</v>
      </c>
      <c r="AG326" s="1">
        <v>6.45</v>
      </c>
      <c r="AH326" s="1">
        <v>80.441175000000001</v>
      </c>
      <c r="AI326" s="1">
        <v>1166.7088250000002</v>
      </c>
    </row>
    <row r="327" spans="1:35" x14ac:dyDescent="0.35">
      <c r="A327" s="1">
        <v>1325</v>
      </c>
      <c r="B327" s="2">
        <v>44396</v>
      </c>
      <c r="C327" s="1" t="s">
        <v>10</v>
      </c>
      <c r="D327" s="1" t="s">
        <v>53</v>
      </c>
      <c r="E327" s="1" t="s">
        <v>28</v>
      </c>
      <c r="F327" s="1">
        <v>3607.16</v>
      </c>
      <c r="G327" s="1" t="s">
        <v>244</v>
      </c>
      <c r="H327" s="2">
        <v>30356</v>
      </c>
      <c r="I327" s="2">
        <v>44405</v>
      </c>
      <c r="J327" s="1">
        <v>3.14</v>
      </c>
      <c r="K327" s="1">
        <f t="shared" si="16"/>
        <v>113.264824</v>
      </c>
      <c r="L327" s="1">
        <f t="shared" si="17"/>
        <v>3493.895176</v>
      </c>
      <c r="U327">
        <v>1406.22966</v>
      </c>
      <c r="X327" s="1">
        <v>1445</v>
      </c>
      <c r="Y327" s="2">
        <v>45577</v>
      </c>
      <c r="Z327" s="1" t="str">
        <v>Central</v>
      </c>
      <c r="AA327" s="1" t="str">
        <v>Wheat</v>
      </c>
      <c r="AB327" s="1" t="str">
        <v>Groceries</v>
      </c>
      <c r="AC327" s="1">
        <v>1813.32</v>
      </c>
      <c r="AD327" s="1" t="str">
        <v>Karen Hernandez</v>
      </c>
      <c r="AE327" s="1">
        <v>30976</v>
      </c>
      <c r="AF327" s="1">
        <v>45585</v>
      </c>
      <c r="AG327" s="1">
        <v>22.45</v>
      </c>
      <c r="AH327" s="1">
        <v>407.09033999999997</v>
      </c>
      <c r="AI327" s="1">
        <v>1406.22966</v>
      </c>
    </row>
    <row r="328" spans="1:35" x14ac:dyDescent="0.35">
      <c r="A328" s="1">
        <v>1326</v>
      </c>
      <c r="B328" s="2">
        <v>45277</v>
      </c>
      <c r="C328" s="1" t="s">
        <v>26</v>
      </c>
      <c r="D328" s="1" t="s">
        <v>65</v>
      </c>
      <c r="E328" s="1" t="s">
        <v>19</v>
      </c>
      <c r="F328" s="1">
        <v>3914.34</v>
      </c>
      <c r="G328" s="1" t="s">
        <v>119</v>
      </c>
      <c r="H328" s="2">
        <v>34954</v>
      </c>
      <c r="I328" s="2">
        <v>45289</v>
      </c>
      <c r="J328" s="1">
        <v>8.6999999999999993</v>
      </c>
      <c r="K328" s="1">
        <f t="shared" si="16"/>
        <v>340.54757999999998</v>
      </c>
      <c r="L328" s="1">
        <f t="shared" si="17"/>
        <v>3573.7924200000002</v>
      </c>
      <c r="U328">
        <v>2113.6260179999999</v>
      </c>
      <c r="X328" s="1">
        <v>1446</v>
      </c>
      <c r="Y328" s="2">
        <v>45785</v>
      </c>
      <c r="Z328" s="1" t="str">
        <v>North</v>
      </c>
      <c r="AA328" s="1" t="str">
        <v>Jeans</v>
      </c>
      <c r="AB328" s="1" t="str">
        <v>Clothing</v>
      </c>
      <c r="AC328" s="1">
        <v>3713.98</v>
      </c>
      <c r="AD328" s="1" t="str">
        <v>Edward Gonzalez</v>
      </c>
      <c r="AE328" s="1">
        <v>38750</v>
      </c>
      <c r="AF328" s="1">
        <v>45798</v>
      </c>
      <c r="AG328" s="1">
        <v>43.09</v>
      </c>
      <c r="AH328" s="1">
        <v>1600.3539820000003</v>
      </c>
      <c r="AI328" s="1">
        <v>2113.6260179999999</v>
      </c>
    </row>
    <row r="329" spans="1:35" x14ac:dyDescent="0.35">
      <c r="A329" s="1">
        <v>1327</v>
      </c>
      <c r="B329" s="2">
        <v>45274</v>
      </c>
      <c r="C329" s="1" t="s">
        <v>35</v>
      </c>
      <c r="D329" s="1" t="s">
        <v>38</v>
      </c>
      <c r="E329" s="1" t="s">
        <v>28</v>
      </c>
      <c r="F329" s="1">
        <v>407.98</v>
      </c>
      <c r="G329" s="1" t="s">
        <v>129</v>
      </c>
      <c r="H329" s="2">
        <v>25933</v>
      </c>
      <c r="I329" s="2">
        <v>45279</v>
      </c>
      <c r="J329" s="1">
        <v>31.88</v>
      </c>
      <c r="K329" s="1">
        <f t="shared" si="16"/>
        <v>130.06402399999999</v>
      </c>
      <c r="L329" s="1">
        <f t="shared" si="17"/>
        <v>277.915976</v>
      </c>
      <c r="U329">
        <v>1293.6264550000001</v>
      </c>
      <c r="X329" s="1">
        <v>1448</v>
      </c>
      <c r="Y329" s="2">
        <v>44839</v>
      </c>
      <c r="Z329" s="1" t="str">
        <v>South</v>
      </c>
      <c r="AA329" s="1" t="str">
        <v>Chair</v>
      </c>
      <c r="AB329" s="1" t="str">
        <v>Furniture</v>
      </c>
      <c r="AC329" s="1">
        <v>1693.45</v>
      </c>
      <c r="AD329" s="1" t="str">
        <v>Sara Keller</v>
      </c>
      <c r="AE329" s="1">
        <v>27526</v>
      </c>
      <c r="AF329" s="1">
        <v>44844</v>
      </c>
      <c r="AG329" s="1">
        <v>23.61</v>
      </c>
      <c r="AH329" s="1">
        <v>399.82354500000002</v>
      </c>
      <c r="AI329" s="1">
        <v>1293.6264550000001</v>
      </c>
    </row>
    <row r="330" spans="1:35" x14ac:dyDescent="0.35">
      <c r="A330" s="1">
        <v>1328</v>
      </c>
      <c r="B330" s="2">
        <v>44336</v>
      </c>
      <c r="C330" s="1" t="s">
        <v>26</v>
      </c>
      <c r="D330" s="1" t="s">
        <v>53</v>
      </c>
      <c r="E330" s="1" t="s">
        <v>28</v>
      </c>
      <c r="F330" s="1">
        <v>2855.49</v>
      </c>
      <c r="G330" s="1" t="s">
        <v>52</v>
      </c>
      <c r="H330" s="2">
        <v>30154</v>
      </c>
      <c r="I330" s="2">
        <v>44344</v>
      </c>
      <c r="J330" s="1">
        <v>38.840000000000003</v>
      </c>
      <c r="K330" s="1">
        <f t="shared" si="16"/>
        <v>1109.072316</v>
      </c>
      <c r="L330" s="1">
        <f t="shared" si="17"/>
        <v>1746.4176839999998</v>
      </c>
      <c r="U330">
        <v>1848.40607</v>
      </c>
      <c r="X330" s="1">
        <v>1449</v>
      </c>
      <c r="Y330" s="2">
        <v>44700</v>
      </c>
      <c r="Z330" s="1" t="str">
        <v>South</v>
      </c>
      <c r="AA330" s="1" t="str">
        <v>Milk</v>
      </c>
      <c r="AB330" s="1" t="str">
        <v>Groceries</v>
      </c>
      <c r="AC330" s="1">
        <v>1889.02</v>
      </c>
      <c r="AD330" s="1" t="str">
        <v>Jackie Foster</v>
      </c>
      <c r="AE330" s="1">
        <v>22796</v>
      </c>
      <c r="AF330" s="1">
        <v>44709</v>
      </c>
      <c r="AG330" s="1">
        <v>2.15</v>
      </c>
      <c r="AH330" s="1">
        <v>40.613929999999996</v>
      </c>
      <c r="AI330" s="1">
        <v>1848.40607</v>
      </c>
    </row>
    <row r="331" spans="1:35" x14ac:dyDescent="0.35">
      <c r="A331" s="1">
        <v>1329</v>
      </c>
      <c r="B331" s="2">
        <v>44234</v>
      </c>
      <c r="C331" s="1" t="s">
        <v>14</v>
      </c>
      <c r="D331" s="1" t="s">
        <v>69</v>
      </c>
      <c r="E331" s="1" t="s">
        <v>12</v>
      </c>
      <c r="F331" s="1">
        <v>2244.02</v>
      </c>
      <c r="G331" s="1" t="s">
        <v>105</v>
      </c>
      <c r="H331" s="2">
        <v>35889</v>
      </c>
      <c r="I331" s="2">
        <v>44237</v>
      </c>
      <c r="J331" s="1">
        <v>47.16</v>
      </c>
      <c r="K331" s="1">
        <f t="shared" si="16"/>
        <v>1058.2798319999999</v>
      </c>
      <c r="L331" s="1">
        <f t="shared" si="17"/>
        <v>1185.740168</v>
      </c>
      <c r="U331">
        <v>1908.2656110000003</v>
      </c>
      <c r="X331" s="1">
        <v>1450</v>
      </c>
      <c r="Y331" s="2">
        <v>44831</v>
      </c>
      <c r="Z331" s="1" t="str">
        <v>South</v>
      </c>
      <c r="AA331" s="1" t="str">
        <v>T-Shirt</v>
      </c>
      <c r="AB331" s="1" t="str">
        <v>Clothing</v>
      </c>
      <c r="AC331" s="1">
        <v>2427.5100000000002</v>
      </c>
      <c r="AD331" s="1" t="str">
        <v>Karla Garcia</v>
      </c>
      <c r="AE331" s="1">
        <v>31331</v>
      </c>
      <c r="AF331" s="1">
        <v>44842</v>
      </c>
      <c r="AG331" s="1">
        <v>21.39</v>
      </c>
      <c r="AH331" s="1">
        <v>519.24438900000007</v>
      </c>
      <c r="AI331" s="1">
        <v>1908.2656110000003</v>
      </c>
    </row>
    <row r="332" spans="1:35" x14ac:dyDescent="0.35">
      <c r="A332" s="1">
        <v>1330</v>
      </c>
      <c r="B332" s="2">
        <v>45550</v>
      </c>
      <c r="C332" s="1" t="s">
        <v>26</v>
      </c>
      <c r="D332" s="1" t="s">
        <v>49</v>
      </c>
      <c r="E332" s="1" t="s">
        <v>12</v>
      </c>
      <c r="F332" s="1">
        <v>729.8</v>
      </c>
      <c r="G332" s="1" t="s">
        <v>242</v>
      </c>
      <c r="H332" s="2">
        <v>21785</v>
      </c>
      <c r="I332" s="2">
        <v>45564</v>
      </c>
      <c r="J332" s="1">
        <v>29.73</v>
      </c>
      <c r="K332" s="1">
        <f t="shared" si="16"/>
        <v>216.96953999999999</v>
      </c>
      <c r="L332" s="1">
        <f t="shared" si="17"/>
        <v>512.8304599999999</v>
      </c>
      <c r="U332">
        <v>1517.7154500000001</v>
      </c>
      <c r="X332" s="1">
        <v>1451</v>
      </c>
      <c r="Y332" s="2">
        <v>44962</v>
      </c>
      <c r="Z332" s="1" t="str">
        <v>East</v>
      </c>
      <c r="AA332" s="1" t="str">
        <v>Tablet</v>
      </c>
      <c r="AB332" s="1" t="str">
        <v>Electronics</v>
      </c>
      <c r="AC332" s="1">
        <v>1645.22</v>
      </c>
      <c r="AD332" s="1" t="str">
        <v>Laurie Johnson</v>
      </c>
      <c r="AE332" s="1">
        <v>27832</v>
      </c>
      <c r="AF332" s="1">
        <v>44972</v>
      </c>
      <c r="AG332" s="1">
        <v>7.75</v>
      </c>
      <c r="AH332" s="1">
        <v>127.50454999999999</v>
      </c>
      <c r="AI332" s="1">
        <v>1517.7154500000001</v>
      </c>
    </row>
    <row r="333" spans="1:35" x14ac:dyDescent="0.35">
      <c r="A333" s="1">
        <v>1331</v>
      </c>
      <c r="B333" s="2">
        <v>44685</v>
      </c>
      <c r="C333" s="1" t="s">
        <v>35</v>
      </c>
      <c r="D333" s="1" t="s">
        <v>73</v>
      </c>
      <c r="E333" s="1" t="s">
        <v>28</v>
      </c>
      <c r="F333" s="1">
        <v>942.65</v>
      </c>
      <c r="G333" s="1" t="s">
        <v>217</v>
      </c>
      <c r="H333" s="2">
        <v>36951</v>
      </c>
      <c r="I333" s="2">
        <v>44699</v>
      </c>
      <c r="J333" s="1">
        <v>6.77</v>
      </c>
      <c r="K333" s="1">
        <f t="shared" si="16"/>
        <v>63.817404999999994</v>
      </c>
      <c r="L333" s="1">
        <f t="shared" si="17"/>
        <v>878.83259499999997</v>
      </c>
      <c r="U333">
        <v>1923.0363750000001</v>
      </c>
      <c r="X333" s="1">
        <v>1452</v>
      </c>
      <c r="Y333" s="2">
        <v>45342</v>
      </c>
      <c r="Z333" s="1" t="str">
        <v>East</v>
      </c>
      <c r="AA333" s="1" t="str">
        <v>Laptop</v>
      </c>
      <c r="AB333" s="1" t="str">
        <v>Electronics</v>
      </c>
      <c r="AC333" s="1">
        <v>2271.75</v>
      </c>
      <c r="AD333" s="1" t="str">
        <v>Andrea Mendez</v>
      </c>
      <c r="AE333" s="1">
        <v>36236</v>
      </c>
      <c r="AF333" s="1">
        <v>45348</v>
      </c>
      <c r="AG333" s="1">
        <v>15.35</v>
      </c>
      <c r="AH333" s="1">
        <v>348.71362499999998</v>
      </c>
      <c r="AI333" s="1">
        <v>1923.0363750000001</v>
      </c>
    </row>
    <row r="334" spans="1:35" x14ac:dyDescent="0.35">
      <c r="A334" s="1">
        <v>1332</v>
      </c>
      <c r="B334" s="2">
        <v>44895</v>
      </c>
      <c r="C334" s="1" t="s">
        <v>35</v>
      </c>
      <c r="D334" s="1" t="s">
        <v>44</v>
      </c>
      <c r="E334" s="1" t="s">
        <v>16</v>
      </c>
      <c r="F334" s="1">
        <v>424.02</v>
      </c>
      <c r="G334" s="1" t="s">
        <v>231</v>
      </c>
      <c r="H334" s="2">
        <v>32047</v>
      </c>
      <c r="I334" s="2">
        <v>44899</v>
      </c>
      <c r="J334" s="1">
        <v>9.5</v>
      </c>
      <c r="K334" s="1">
        <f t="shared" si="16"/>
        <v>40.2819</v>
      </c>
      <c r="L334" s="1">
        <f t="shared" si="17"/>
        <v>383.73809999999997</v>
      </c>
      <c r="U334">
        <v>1316.71019</v>
      </c>
      <c r="X334" s="1">
        <v>1453</v>
      </c>
      <c r="Y334" s="2">
        <v>45834</v>
      </c>
      <c r="Z334" s="1" t="str">
        <v>Central</v>
      </c>
      <c r="AA334" s="1" t="str">
        <v>Oil</v>
      </c>
      <c r="AB334" s="1" t="str">
        <v>Groceries</v>
      </c>
      <c r="AC334" s="1">
        <v>2430.6999999999998</v>
      </c>
      <c r="AD334" s="1" t="str">
        <v>Nicole Campbell</v>
      </c>
      <c r="AE334" s="1">
        <v>30822</v>
      </c>
      <c r="AF334" s="1">
        <v>45840</v>
      </c>
      <c r="AG334" s="1">
        <v>45.83</v>
      </c>
      <c r="AH334" s="1">
        <v>1113.9898099999998</v>
      </c>
      <c r="AI334" s="1">
        <v>1316.71019</v>
      </c>
    </row>
    <row r="335" spans="1:35" x14ac:dyDescent="0.35">
      <c r="A335" s="1">
        <v>1333</v>
      </c>
      <c r="B335" s="2">
        <v>44309</v>
      </c>
      <c r="C335" s="1" t="s">
        <v>10</v>
      </c>
      <c r="D335" s="1" t="s">
        <v>18</v>
      </c>
      <c r="E335" s="1" t="s">
        <v>19</v>
      </c>
      <c r="F335" s="1">
        <v>244.84</v>
      </c>
      <c r="G335" s="1" t="s">
        <v>220</v>
      </c>
      <c r="H335" s="2">
        <v>30755</v>
      </c>
      <c r="I335" s="2">
        <v>44316</v>
      </c>
      <c r="J335" s="1">
        <v>1.56</v>
      </c>
      <c r="K335" s="1">
        <f t="shared" si="16"/>
        <v>3.8195040000000002</v>
      </c>
      <c r="L335" s="1">
        <f t="shared" si="17"/>
        <v>241.02049600000001</v>
      </c>
      <c r="U335">
        <v>2648.61564</v>
      </c>
      <c r="X335" s="1">
        <v>1454</v>
      </c>
      <c r="Y335" s="2">
        <v>45380</v>
      </c>
      <c r="Z335" s="1" t="str">
        <v>Central</v>
      </c>
      <c r="AA335" s="1" t="str">
        <v>Tablet</v>
      </c>
      <c r="AB335" s="1" t="str">
        <v>Electronics</v>
      </c>
      <c r="AC335" s="1">
        <v>4543.08</v>
      </c>
      <c r="AD335" s="1" t="str">
        <v>Lisa Clark</v>
      </c>
      <c r="AE335" s="1">
        <v>27879</v>
      </c>
      <c r="AF335" s="1">
        <v>45381</v>
      </c>
      <c r="AG335" s="1">
        <v>41.7</v>
      </c>
      <c r="AH335" s="1">
        <v>1894.4643600000002</v>
      </c>
      <c r="AI335" s="1">
        <v>2648.61564</v>
      </c>
    </row>
    <row r="336" spans="1:35" x14ac:dyDescent="0.35">
      <c r="A336" s="1">
        <v>1334</v>
      </c>
      <c r="B336" s="2">
        <v>45592</v>
      </c>
      <c r="C336" s="1" t="s">
        <v>35</v>
      </c>
      <c r="D336" s="1" t="s">
        <v>47</v>
      </c>
      <c r="E336" s="1" t="s">
        <v>12</v>
      </c>
      <c r="F336" s="1">
        <v>3700.28</v>
      </c>
      <c r="G336" s="1" t="s">
        <v>34</v>
      </c>
      <c r="H336" s="2">
        <v>25232</v>
      </c>
      <c r="I336" s="2">
        <v>45595</v>
      </c>
      <c r="J336" s="1">
        <v>26.68</v>
      </c>
      <c r="K336" s="1">
        <f t="shared" si="16"/>
        <v>987.23470399999997</v>
      </c>
      <c r="L336" s="1">
        <f t="shared" si="17"/>
        <v>2713.0452960000002</v>
      </c>
      <c r="U336">
        <v>3603.7454699999998</v>
      </c>
      <c r="X336" s="1">
        <v>1455</v>
      </c>
      <c r="Y336" s="2">
        <v>45583</v>
      </c>
      <c r="Z336" s="1" t="str">
        <v>Central</v>
      </c>
      <c r="AA336" s="1" t="str">
        <v>Chair</v>
      </c>
      <c r="AB336" s="1" t="str">
        <v>Furniture</v>
      </c>
      <c r="AC336" s="1">
        <v>4094.7</v>
      </c>
      <c r="AD336" s="1" t="str">
        <v>Alyssa Schroeder</v>
      </c>
      <c r="AE336" s="1">
        <v>34557</v>
      </c>
      <c r="AF336" s="1">
        <v>45595</v>
      </c>
      <c r="AG336" s="1">
        <v>11.99</v>
      </c>
      <c r="AH336" s="1">
        <v>490.95452999999998</v>
      </c>
      <c r="AI336" s="1">
        <v>3603.7454699999998</v>
      </c>
    </row>
    <row r="337" spans="1:35" x14ac:dyDescent="0.35">
      <c r="A337" s="1">
        <v>1335</v>
      </c>
      <c r="B337" s="2">
        <v>44847</v>
      </c>
      <c r="C337" s="1" t="s">
        <v>14</v>
      </c>
      <c r="D337" s="1" t="s">
        <v>38</v>
      </c>
      <c r="E337" s="1" t="s">
        <v>28</v>
      </c>
      <c r="F337" s="1">
        <v>1052.02</v>
      </c>
      <c r="G337" s="1" t="s">
        <v>138</v>
      </c>
      <c r="H337" s="2">
        <v>25948</v>
      </c>
      <c r="I337" s="2">
        <v>44853</v>
      </c>
      <c r="J337" s="1">
        <v>14.14</v>
      </c>
      <c r="K337" s="1">
        <f t="shared" si="16"/>
        <v>148.755628</v>
      </c>
      <c r="L337" s="1">
        <f t="shared" si="17"/>
        <v>903.26437199999998</v>
      </c>
      <c r="U337">
        <v>3894.860107</v>
      </c>
      <c r="X337" s="1">
        <v>1457</v>
      </c>
      <c r="Y337" s="2">
        <v>44901</v>
      </c>
      <c r="Z337" s="1" t="str">
        <v>North</v>
      </c>
      <c r="AA337" s="1" t="str">
        <v>Football</v>
      </c>
      <c r="AB337" s="1" t="str">
        <v>Sports</v>
      </c>
      <c r="AC337" s="1">
        <v>4913.41</v>
      </c>
      <c r="AD337" s="1" t="str">
        <v>Samuel Humphrey</v>
      </c>
      <c r="AE337" s="1">
        <v>30887</v>
      </c>
      <c r="AF337" s="1">
        <v>44903</v>
      </c>
      <c r="AG337" s="1">
        <v>20.73</v>
      </c>
      <c r="AH337" s="1">
        <v>1018.549893</v>
      </c>
      <c r="AI337" s="1">
        <v>3894.860107</v>
      </c>
    </row>
    <row r="338" spans="1:35" x14ac:dyDescent="0.35">
      <c r="A338" s="1">
        <v>1336</v>
      </c>
      <c r="B338" s="2">
        <v>44315</v>
      </c>
      <c r="C338" s="1" t="s">
        <v>26</v>
      </c>
      <c r="D338" s="1" t="s">
        <v>36</v>
      </c>
      <c r="E338" s="1" t="s">
        <v>28</v>
      </c>
      <c r="F338" s="1">
        <v>1662.88</v>
      </c>
      <c r="G338" s="1" t="s">
        <v>209</v>
      </c>
      <c r="H338" s="2">
        <v>28522</v>
      </c>
      <c r="I338" s="2">
        <v>44317</v>
      </c>
      <c r="J338" s="1">
        <v>21.09</v>
      </c>
      <c r="K338" s="1">
        <f t="shared" si="16"/>
        <v>350.70139200000006</v>
      </c>
      <c r="L338" s="1">
        <f t="shared" si="17"/>
        <v>1312.1786080000002</v>
      </c>
      <c r="U338">
        <v>4378.9424639999997</v>
      </c>
      <c r="X338" s="1">
        <v>1458</v>
      </c>
      <c r="Y338" s="2">
        <v>45343</v>
      </c>
      <c r="Z338" s="1" t="str">
        <v>North</v>
      </c>
      <c r="AA338" s="1" t="str">
        <v>Jacket</v>
      </c>
      <c r="AB338" s="1" t="str">
        <v>Clothing</v>
      </c>
      <c r="AC338" s="1">
        <v>4584.32</v>
      </c>
      <c r="AD338" s="1" t="str">
        <v>Garrett Delgado</v>
      </c>
      <c r="AE338" s="1">
        <v>38510</v>
      </c>
      <c r="AF338" s="1">
        <v>45349</v>
      </c>
      <c r="AG338" s="1">
        <v>4.4800000000000004</v>
      </c>
      <c r="AH338" s="1">
        <v>205.37753600000002</v>
      </c>
      <c r="AI338" s="1">
        <v>4378.9424639999997</v>
      </c>
    </row>
    <row r="339" spans="1:35" x14ac:dyDescent="0.35">
      <c r="A339" s="1">
        <v>1337</v>
      </c>
      <c r="B339" s="2">
        <v>44275</v>
      </c>
      <c r="C339" s="1" t="s">
        <v>21</v>
      </c>
      <c r="D339" s="1" t="s">
        <v>49</v>
      </c>
      <c r="E339" s="1" t="s">
        <v>12</v>
      </c>
      <c r="F339" s="1">
        <v>1024.96</v>
      </c>
      <c r="G339" s="1" t="s">
        <v>105</v>
      </c>
      <c r="H339" s="2">
        <v>35889</v>
      </c>
      <c r="I339" s="2">
        <v>44288</v>
      </c>
      <c r="J339" s="1">
        <v>49.68</v>
      </c>
      <c r="K339" s="1">
        <f t="shared" si="16"/>
        <v>509.20012800000006</v>
      </c>
      <c r="L339" s="1">
        <f t="shared" si="17"/>
        <v>515.75987199999997</v>
      </c>
      <c r="U339">
        <v>1333.7057599999998</v>
      </c>
      <c r="X339" s="1">
        <v>1460</v>
      </c>
      <c r="Y339" s="2">
        <v>45646</v>
      </c>
      <c r="Z339" s="1" t="str">
        <v>South</v>
      </c>
      <c r="AA339" s="1" t="str">
        <v>Basketball</v>
      </c>
      <c r="AB339" s="1" t="str">
        <v>Sports</v>
      </c>
      <c r="AC339" s="1">
        <v>1781.6</v>
      </c>
      <c r="AD339" s="1" t="str">
        <v>Timothy Mueller</v>
      </c>
      <c r="AE339" s="1">
        <v>22315</v>
      </c>
      <c r="AF339" s="1">
        <v>45652</v>
      </c>
      <c r="AG339" s="1">
        <v>25.14</v>
      </c>
      <c r="AH339" s="1">
        <v>447.89424000000002</v>
      </c>
      <c r="AI339" s="1">
        <v>1333.7057599999998</v>
      </c>
    </row>
    <row r="340" spans="1:35" x14ac:dyDescent="0.35">
      <c r="A340" s="1">
        <v>1338</v>
      </c>
      <c r="B340" s="2">
        <v>45729</v>
      </c>
      <c r="C340" s="1" t="s">
        <v>10</v>
      </c>
      <c r="D340" s="1" t="s">
        <v>22</v>
      </c>
      <c r="E340" s="1" t="s">
        <v>19</v>
      </c>
      <c r="F340" s="1">
        <v>2900.29</v>
      </c>
      <c r="G340" s="1" t="s">
        <v>234</v>
      </c>
      <c r="H340" s="2">
        <v>24368</v>
      </c>
      <c r="I340" s="2">
        <v>45739</v>
      </c>
      <c r="J340" s="1">
        <v>39.72</v>
      </c>
      <c r="K340" s="1">
        <f t="shared" si="16"/>
        <v>1151.9951879999999</v>
      </c>
      <c r="L340" s="1">
        <f t="shared" si="17"/>
        <v>1748.2948120000001</v>
      </c>
      <c r="U340">
        <v>1704.2135439999997</v>
      </c>
      <c r="X340" s="1">
        <v>1461</v>
      </c>
      <c r="Y340" s="2">
        <v>44214</v>
      </c>
      <c r="Z340" s="1" t="str">
        <v>South</v>
      </c>
      <c r="AA340" s="1" t="str">
        <v>Oil</v>
      </c>
      <c r="AB340" s="1" t="str">
        <v>Groceries</v>
      </c>
      <c r="AC340" s="1">
        <v>2176.2399999999998</v>
      </c>
      <c r="AD340" s="1" t="str">
        <v>Melanie Shaffer</v>
      </c>
      <c r="AE340" s="1">
        <v>37858</v>
      </c>
      <c r="AF340" s="1">
        <v>44215</v>
      </c>
      <c r="AG340" s="1">
        <v>21.69</v>
      </c>
      <c r="AH340" s="1">
        <v>472.026456</v>
      </c>
      <c r="AI340" s="1">
        <v>1704.2135439999997</v>
      </c>
    </row>
    <row r="341" spans="1:35" x14ac:dyDescent="0.35">
      <c r="A341" s="1">
        <v>1339</v>
      </c>
      <c r="B341" s="2">
        <v>45567</v>
      </c>
      <c r="C341" s="1" t="s">
        <v>10</v>
      </c>
      <c r="D341" s="1" t="s">
        <v>73</v>
      </c>
      <c r="E341" s="1" t="s">
        <v>28</v>
      </c>
      <c r="F341" s="1">
        <v>3000.01</v>
      </c>
      <c r="G341" s="1" t="s">
        <v>244</v>
      </c>
      <c r="H341" s="2">
        <v>30356</v>
      </c>
      <c r="I341" s="2">
        <v>45578</v>
      </c>
      <c r="J341" s="1">
        <v>41.02</v>
      </c>
      <c r="K341" s="1">
        <f t="shared" si="16"/>
        <v>1230.604102</v>
      </c>
      <c r="L341" s="1">
        <f t="shared" si="17"/>
        <v>1769.4058980000002</v>
      </c>
      <c r="U341">
        <v>1648.0371600000001</v>
      </c>
      <c r="X341" s="1">
        <v>1462</v>
      </c>
      <c r="Y341" s="2">
        <v>45270</v>
      </c>
      <c r="Z341" s="1" t="str">
        <v>South</v>
      </c>
      <c r="AA341" s="1" t="str">
        <v>Rice</v>
      </c>
      <c r="AB341" s="1" t="str">
        <v>Groceries</v>
      </c>
      <c r="AC341" s="1">
        <v>2972.65</v>
      </c>
      <c r="AD341" s="1" t="str">
        <v>Mrs. Rebecca Young</v>
      </c>
      <c r="AE341" s="1">
        <v>30820</v>
      </c>
      <c r="AF341" s="1">
        <v>45283</v>
      </c>
      <c r="AG341" s="1">
        <v>44.56</v>
      </c>
      <c r="AH341" s="1">
        <v>1324.61284</v>
      </c>
      <c r="AI341" s="1">
        <v>1648.0371600000001</v>
      </c>
    </row>
    <row r="342" spans="1:35" x14ac:dyDescent="0.35">
      <c r="A342" s="1">
        <v>1340</v>
      </c>
      <c r="B342" s="2">
        <v>44612</v>
      </c>
      <c r="C342" s="1" t="s">
        <v>14</v>
      </c>
      <c r="D342" s="1" t="s">
        <v>33</v>
      </c>
      <c r="E342" s="1" t="s">
        <v>16</v>
      </c>
      <c r="F342" s="1">
        <v>3840.17</v>
      </c>
      <c r="G342" s="1" t="s">
        <v>245</v>
      </c>
      <c r="H342" s="2">
        <v>32205</v>
      </c>
      <c r="I342" s="2">
        <v>44622</v>
      </c>
      <c r="J342" s="1">
        <v>29.9</v>
      </c>
      <c r="K342" s="1">
        <f t="shared" si="16"/>
        <v>1148.21083</v>
      </c>
      <c r="L342" s="1">
        <f t="shared" si="17"/>
        <v>2691.9591700000001</v>
      </c>
      <c r="U342">
        <v>3694.6277479999999</v>
      </c>
      <c r="X342" s="1">
        <v>1463</v>
      </c>
      <c r="Y342" s="2">
        <v>45786</v>
      </c>
      <c r="Z342" s="1" t="str">
        <v>Central</v>
      </c>
      <c r="AA342" s="1" t="str">
        <v>Shoes</v>
      </c>
      <c r="AB342" s="1" t="str">
        <v>Clothing</v>
      </c>
      <c r="AC342" s="1">
        <v>4085.17</v>
      </c>
      <c r="AD342" s="1" t="str">
        <v>Barbara Thomas</v>
      </c>
      <c r="AE342" s="1">
        <v>35224</v>
      </c>
      <c r="AF342" s="1">
        <v>45797</v>
      </c>
      <c r="AG342" s="1">
        <v>9.56</v>
      </c>
      <c r="AH342" s="1">
        <v>390.54225200000002</v>
      </c>
      <c r="AI342" s="1">
        <v>3694.6277479999999</v>
      </c>
    </row>
    <row r="343" spans="1:35" x14ac:dyDescent="0.35">
      <c r="A343" s="1">
        <v>1341</v>
      </c>
      <c r="B343" s="2">
        <v>45522</v>
      </c>
      <c r="C343" s="1" t="s">
        <v>26</v>
      </c>
      <c r="D343" s="1" t="s">
        <v>38</v>
      </c>
      <c r="E343" s="1" t="s">
        <v>28</v>
      </c>
      <c r="F343" s="1">
        <v>1977.54</v>
      </c>
      <c r="G343" s="1" t="s">
        <v>111</v>
      </c>
      <c r="H343" s="2">
        <v>34704</v>
      </c>
      <c r="I343" s="2">
        <v>45535</v>
      </c>
      <c r="J343" s="1">
        <v>36.68</v>
      </c>
      <c r="K343" s="1">
        <f t="shared" si="16"/>
        <v>725.361672</v>
      </c>
      <c r="L343" s="1">
        <f t="shared" si="17"/>
        <v>1252.178328</v>
      </c>
      <c r="U343">
        <v>2114.5974849999998</v>
      </c>
      <c r="X343" s="1">
        <v>1465</v>
      </c>
      <c r="Y343" s="2">
        <v>44609</v>
      </c>
      <c r="Z343" s="1" t="str">
        <v>South</v>
      </c>
      <c r="AA343" s="1" t="str">
        <v>Cricket Bat</v>
      </c>
      <c r="AB343" s="1" t="str">
        <v>Sports</v>
      </c>
      <c r="AC343" s="1">
        <v>2924.35</v>
      </c>
      <c r="AD343" s="1" t="str">
        <v>Randy Burke</v>
      </c>
      <c r="AE343" s="1">
        <v>38693</v>
      </c>
      <c r="AF343" s="1">
        <v>44610</v>
      </c>
      <c r="AG343" s="1">
        <v>27.69</v>
      </c>
      <c r="AH343" s="1">
        <v>809.75251500000013</v>
      </c>
      <c r="AI343" s="1">
        <v>2114.5974849999998</v>
      </c>
    </row>
    <row r="344" spans="1:35" x14ac:dyDescent="0.35">
      <c r="A344" s="1">
        <v>1342</v>
      </c>
      <c r="B344" s="2">
        <v>45804</v>
      </c>
      <c r="C344" s="1" t="s">
        <v>35</v>
      </c>
      <c r="D344" s="1" t="s">
        <v>58</v>
      </c>
      <c r="E344" s="1" t="s">
        <v>31</v>
      </c>
      <c r="F344" s="1">
        <v>1543.72</v>
      </c>
      <c r="G344" s="1" t="s">
        <v>246</v>
      </c>
      <c r="H344" s="2">
        <v>25815</v>
      </c>
      <c r="I344" s="2">
        <v>45812</v>
      </c>
      <c r="J344" s="1">
        <v>38.58</v>
      </c>
      <c r="K344" s="1">
        <f t="shared" si="16"/>
        <v>595.56717600000002</v>
      </c>
      <c r="L344" s="1">
        <f t="shared" si="17"/>
        <v>948.15282400000001</v>
      </c>
      <c r="U344">
        <v>2688.686612</v>
      </c>
      <c r="X344" s="1">
        <v>1467</v>
      </c>
      <c r="Y344" s="2">
        <v>44414</v>
      </c>
      <c r="Z344" s="1" t="str">
        <v>East</v>
      </c>
      <c r="AA344" s="1" t="str">
        <v>Jacket</v>
      </c>
      <c r="AB344" s="1" t="str">
        <v>Clothing</v>
      </c>
      <c r="AC344" s="1">
        <v>3973.82</v>
      </c>
      <c r="AD344" s="1" t="str">
        <v>Vincent Wiggins</v>
      </c>
      <c r="AE344" s="1">
        <v>26671</v>
      </c>
      <c r="AF344" s="1">
        <v>44423</v>
      </c>
      <c r="AG344" s="1">
        <v>32.340000000000003</v>
      </c>
      <c r="AH344" s="1">
        <v>1285.1333880000002</v>
      </c>
      <c r="AI344" s="1">
        <v>2688.686612</v>
      </c>
    </row>
    <row r="345" spans="1:35" x14ac:dyDescent="0.35">
      <c r="A345" s="1">
        <v>1343</v>
      </c>
      <c r="B345" s="2">
        <v>44168</v>
      </c>
      <c r="C345" s="1" t="s">
        <v>14</v>
      </c>
      <c r="D345" s="1" t="s">
        <v>65</v>
      </c>
      <c r="E345" s="1" t="s">
        <v>19</v>
      </c>
      <c r="F345" s="1">
        <v>252.14</v>
      </c>
      <c r="G345" s="1" t="s">
        <v>199</v>
      </c>
      <c r="H345" s="2">
        <v>25341</v>
      </c>
      <c r="I345" s="2">
        <v>44173</v>
      </c>
      <c r="J345" s="1">
        <v>27.23</v>
      </c>
      <c r="K345" s="1">
        <f t="shared" si="16"/>
        <v>68.657721999999993</v>
      </c>
      <c r="L345" s="1">
        <f t="shared" si="17"/>
        <v>183.48227800000001</v>
      </c>
      <c r="U345">
        <v>1772.0327850000001</v>
      </c>
      <c r="X345" s="1">
        <v>1468</v>
      </c>
      <c r="Y345" s="2">
        <v>45292</v>
      </c>
      <c r="Z345" s="1" t="str">
        <v>West</v>
      </c>
      <c r="AA345" s="1" t="str">
        <v>Smartphone</v>
      </c>
      <c r="AB345" s="1" t="str">
        <v>Electronics</v>
      </c>
      <c r="AC345" s="1">
        <v>3282.15</v>
      </c>
      <c r="AD345" s="1" t="str">
        <v>Zachary Franklin</v>
      </c>
      <c r="AE345" s="1">
        <v>25166</v>
      </c>
      <c r="AF345" s="1">
        <v>45294</v>
      </c>
      <c r="AG345" s="1">
        <v>46.01</v>
      </c>
      <c r="AH345" s="1">
        <v>1510.117215</v>
      </c>
      <c r="AI345" s="1">
        <v>1772.0327850000001</v>
      </c>
    </row>
    <row r="346" spans="1:35" x14ac:dyDescent="0.35">
      <c r="A346" s="1">
        <v>1344</v>
      </c>
      <c r="B346" s="2">
        <v>44979</v>
      </c>
      <c r="C346" s="1" t="s">
        <v>26</v>
      </c>
      <c r="D346" s="1" t="s">
        <v>73</v>
      </c>
      <c r="E346" s="1" t="s">
        <v>28</v>
      </c>
      <c r="F346" s="1">
        <v>628.79</v>
      </c>
      <c r="G346" s="1" t="s">
        <v>75</v>
      </c>
      <c r="H346" s="2">
        <v>25853</v>
      </c>
      <c r="I346" s="2">
        <v>44985</v>
      </c>
      <c r="J346" s="1">
        <v>0.26</v>
      </c>
      <c r="K346" s="1">
        <f t="shared" si="16"/>
        <v>1.6348539999999998</v>
      </c>
      <c r="L346" s="1">
        <f t="shared" si="17"/>
        <v>627.15514599999995</v>
      </c>
      <c r="U346">
        <v>1019.3715</v>
      </c>
      <c r="X346" s="1">
        <v>1470</v>
      </c>
      <c r="Y346" s="2">
        <v>45209</v>
      </c>
      <c r="Z346" s="1" t="str">
        <v>North</v>
      </c>
      <c r="AA346" s="1" t="str">
        <v>Wardrobe</v>
      </c>
      <c r="AB346" s="1" t="str">
        <v>Furniture</v>
      </c>
      <c r="AC346" s="1">
        <v>1541</v>
      </c>
      <c r="AD346" s="1" t="str">
        <v>Zachary Anthony</v>
      </c>
      <c r="AE346" s="1">
        <v>34704</v>
      </c>
      <c r="AF346" s="1">
        <v>45222</v>
      </c>
      <c r="AG346" s="1">
        <v>33.85</v>
      </c>
      <c r="AH346" s="1">
        <v>521.62850000000003</v>
      </c>
      <c r="AI346" s="1">
        <v>1019.3715</v>
      </c>
    </row>
    <row r="347" spans="1:35" x14ac:dyDescent="0.35">
      <c r="A347" s="1">
        <v>1345</v>
      </c>
      <c r="B347" s="2">
        <v>44608</v>
      </c>
      <c r="C347" s="1" t="s">
        <v>21</v>
      </c>
      <c r="D347" s="1" t="s">
        <v>102</v>
      </c>
      <c r="E347" s="1" t="s">
        <v>12</v>
      </c>
      <c r="F347" s="1">
        <v>3013.18</v>
      </c>
      <c r="G347" s="1" t="s">
        <v>170</v>
      </c>
      <c r="H347" s="2">
        <v>34205</v>
      </c>
      <c r="I347" s="2">
        <v>44616</v>
      </c>
      <c r="J347" s="1">
        <v>30.1</v>
      </c>
      <c r="K347" s="1">
        <f t="shared" si="16"/>
        <v>906.96717999999987</v>
      </c>
      <c r="L347" s="1">
        <f t="shared" si="17"/>
        <v>2106.2128199999997</v>
      </c>
      <c r="U347">
        <v>1589.786656</v>
      </c>
      <c r="X347" s="1">
        <v>1471</v>
      </c>
      <c r="Y347" s="2">
        <v>45744</v>
      </c>
      <c r="Z347" s="1" t="str">
        <v>West</v>
      </c>
      <c r="AA347" s="1" t="str">
        <v>Headphones</v>
      </c>
      <c r="AB347" s="1" t="str">
        <v>Electronics</v>
      </c>
      <c r="AC347" s="1">
        <v>2582.08</v>
      </c>
      <c r="AD347" s="1" t="str">
        <v>Melissa Hubbard</v>
      </c>
      <c r="AE347" s="1">
        <v>31231</v>
      </c>
      <c r="AF347" s="1">
        <v>45752</v>
      </c>
      <c r="AG347" s="1">
        <v>38.43</v>
      </c>
      <c r="AH347" s="1">
        <v>992.29334399999993</v>
      </c>
      <c r="AI347" s="1">
        <v>1589.786656</v>
      </c>
    </row>
    <row r="348" spans="1:35" x14ac:dyDescent="0.35">
      <c r="A348" s="1">
        <v>1346</v>
      </c>
      <c r="B348" s="2">
        <v>44107</v>
      </c>
      <c r="C348" s="1" t="s">
        <v>26</v>
      </c>
      <c r="D348" s="1" t="s">
        <v>47</v>
      </c>
      <c r="E348" s="1" t="s">
        <v>12</v>
      </c>
      <c r="F348" s="1">
        <v>2617.19</v>
      </c>
      <c r="G348" s="1" t="s">
        <v>94</v>
      </c>
      <c r="H348" s="2">
        <v>25516</v>
      </c>
      <c r="I348" s="2">
        <v>44110</v>
      </c>
      <c r="J348" s="1">
        <v>16.489999999999998</v>
      </c>
      <c r="K348" s="1">
        <f t="shared" si="16"/>
        <v>431.57463100000001</v>
      </c>
      <c r="L348" s="1">
        <f t="shared" si="17"/>
        <v>2185.6153690000001</v>
      </c>
      <c r="U348">
        <v>4279.8660030000001</v>
      </c>
      <c r="X348" s="1">
        <v>1472</v>
      </c>
      <c r="Y348" s="2">
        <v>45397</v>
      </c>
      <c r="Z348" s="1" t="str">
        <v>Central</v>
      </c>
      <c r="AA348" s="1" t="str">
        <v>Basketball</v>
      </c>
      <c r="AB348" s="1" t="str">
        <v>Sports</v>
      </c>
      <c r="AC348" s="1">
        <v>4856.3100000000004</v>
      </c>
      <c r="AD348" s="1" t="str">
        <v>Holly Wolfe</v>
      </c>
      <c r="AE348" s="1">
        <v>38934</v>
      </c>
      <c r="AF348" s="1">
        <v>45405</v>
      </c>
      <c r="AG348" s="1">
        <v>11.87</v>
      </c>
      <c r="AH348" s="1">
        <v>576.44399699999997</v>
      </c>
      <c r="AI348" s="1">
        <v>4279.8660030000001</v>
      </c>
    </row>
    <row r="349" spans="1:35" x14ac:dyDescent="0.35">
      <c r="A349" s="1">
        <v>1347</v>
      </c>
      <c r="B349" s="2">
        <v>45525</v>
      </c>
      <c r="C349" s="1" t="s">
        <v>26</v>
      </c>
      <c r="D349" s="1" t="s">
        <v>24</v>
      </c>
      <c r="E349" s="1" t="s">
        <v>19</v>
      </c>
      <c r="F349" s="1">
        <v>4991.8599999999997</v>
      </c>
      <c r="G349" s="1" t="s">
        <v>153</v>
      </c>
      <c r="H349" s="2">
        <v>36216</v>
      </c>
      <c r="I349" s="2">
        <v>45527</v>
      </c>
      <c r="J349" s="1">
        <v>21.77</v>
      </c>
      <c r="K349" s="1">
        <f t="shared" si="16"/>
        <v>1086.727922</v>
      </c>
      <c r="L349" s="1">
        <f t="shared" si="17"/>
        <v>3905.1320779999996</v>
      </c>
      <c r="U349">
        <v>2318.4405999999999</v>
      </c>
      <c r="X349" s="1">
        <v>1473</v>
      </c>
      <c r="Y349" s="2">
        <v>44625</v>
      </c>
      <c r="Z349" s="1" t="str">
        <v>East</v>
      </c>
      <c r="AA349" s="1" t="str">
        <v>Tennis Racket</v>
      </c>
      <c r="AB349" s="1" t="str">
        <v>Sports</v>
      </c>
      <c r="AC349" s="1">
        <v>3734</v>
      </c>
      <c r="AD349" s="1" t="str">
        <v>Holly Wolfe</v>
      </c>
      <c r="AE349" s="1">
        <v>38934</v>
      </c>
      <c r="AF349" s="1">
        <v>44634</v>
      </c>
      <c r="AG349" s="1">
        <v>37.909999999999997</v>
      </c>
      <c r="AH349" s="1">
        <v>1415.5593999999999</v>
      </c>
      <c r="AI349" s="1">
        <v>2318.4405999999999</v>
      </c>
    </row>
    <row r="350" spans="1:35" x14ac:dyDescent="0.35">
      <c r="A350" s="1">
        <v>1348</v>
      </c>
      <c r="B350" s="2">
        <v>45264</v>
      </c>
      <c r="C350" s="1" t="s">
        <v>10</v>
      </c>
      <c r="D350" s="1" t="s">
        <v>55</v>
      </c>
      <c r="E350" s="1" t="s">
        <v>31</v>
      </c>
      <c r="F350" s="1">
        <v>2795.27</v>
      </c>
      <c r="G350" s="1" t="s">
        <v>238</v>
      </c>
      <c r="H350" s="2">
        <v>31880</v>
      </c>
      <c r="I350" s="2">
        <v>45278</v>
      </c>
      <c r="J350" s="1">
        <v>43.19</v>
      </c>
      <c r="K350" s="1">
        <f t="shared" si="16"/>
        <v>1207.2771129999999</v>
      </c>
      <c r="L350" s="1">
        <f t="shared" si="17"/>
        <v>1587.9928870000001</v>
      </c>
      <c r="U350">
        <v>2181.0940479999999</v>
      </c>
      <c r="X350" s="1">
        <v>1475</v>
      </c>
      <c r="Y350" s="2">
        <v>45168</v>
      </c>
      <c r="Z350" s="1" t="str">
        <v>North</v>
      </c>
      <c r="AA350" s="1" t="str">
        <v>Oil</v>
      </c>
      <c r="AB350" s="1" t="str">
        <v>Groceries</v>
      </c>
      <c r="AC350" s="1">
        <v>4233.49</v>
      </c>
      <c r="AD350" s="1" t="str">
        <v>Benjamin Travis</v>
      </c>
      <c r="AE350" s="1">
        <v>33354</v>
      </c>
      <c r="AF350" s="1">
        <v>45172</v>
      </c>
      <c r="AG350" s="1">
        <v>48.48</v>
      </c>
      <c r="AH350" s="1">
        <v>2052.3959519999999</v>
      </c>
      <c r="AI350" s="1">
        <v>2181.0940479999999</v>
      </c>
    </row>
    <row r="351" spans="1:35" x14ac:dyDescent="0.35">
      <c r="A351" s="1">
        <v>1349</v>
      </c>
      <c r="B351" s="2">
        <v>44754</v>
      </c>
      <c r="C351" s="1" t="s">
        <v>21</v>
      </c>
      <c r="D351" s="1" t="s">
        <v>49</v>
      </c>
      <c r="E351" s="1" t="s">
        <v>12</v>
      </c>
      <c r="F351" s="1">
        <v>488.93</v>
      </c>
      <c r="G351" s="1" t="s">
        <v>56</v>
      </c>
      <c r="H351" s="2">
        <v>25712</v>
      </c>
      <c r="I351" s="2">
        <v>44764</v>
      </c>
      <c r="J351" s="1">
        <v>42.37</v>
      </c>
      <c r="K351" s="1">
        <f t="shared" si="16"/>
        <v>207.15964099999999</v>
      </c>
      <c r="L351" s="1">
        <f t="shared" si="17"/>
        <v>281.77035899999998</v>
      </c>
      <c r="U351">
        <v>4045.66653</v>
      </c>
      <c r="X351" s="1">
        <v>1477</v>
      </c>
      <c r="Y351" s="2">
        <v>44919</v>
      </c>
      <c r="Z351" s="1" t="str">
        <v>Central</v>
      </c>
      <c r="AA351" s="1" t="str">
        <v>Headphones</v>
      </c>
      <c r="AB351" s="1" t="str">
        <v>Electronics</v>
      </c>
      <c r="AC351" s="1">
        <v>4592.13</v>
      </c>
      <c r="AD351" s="1" t="str">
        <v>Colin White</v>
      </c>
      <c r="AE351" s="1">
        <v>34345</v>
      </c>
      <c r="AF351" s="1">
        <v>44925</v>
      </c>
      <c r="AG351" s="1">
        <v>11.9</v>
      </c>
      <c r="AH351" s="1">
        <v>546.46347000000003</v>
      </c>
      <c r="AI351" s="1">
        <v>4045.66653</v>
      </c>
    </row>
    <row r="352" spans="1:35" x14ac:dyDescent="0.35">
      <c r="A352" s="1">
        <v>1350</v>
      </c>
      <c r="B352" s="2">
        <v>45834</v>
      </c>
      <c r="C352" s="1" t="s">
        <v>14</v>
      </c>
      <c r="D352" s="1" t="s">
        <v>69</v>
      </c>
      <c r="E352" s="1" t="s">
        <v>12</v>
      </c>
      <c r="F352" s="1">
        <v>1668.13</v>
      </c>
      <c r="G352" s="1" t="s">
        <v>234</v>
      </c>
      <c r="H352" s="2">
        <v>24368</v>
      </c>
      <c r="I352" s="2">
        <v>45845</v>
      </c>
      <c r="J352" s="1">
        <v>2.87</v>
      </c>
      <c r="K352" s="1">
        <f t="shared" si="16"/>
        <v>47.875331000000003</v>
      </c>
      <c r="L352" s="1">
        <f t="shared" si="17"/>
        <v>1620.2546690000001</v>
      </c>
      <c r="U352">
        <v>1668.2813340000002</v>
      </c>
      <c r="X352" s="1">
        <v>1478</v>
      </c>
      <c r="Y352" s="2">
        <v>44951</v>
      </c>
      <c r="Z352" s="1" t="str">
        <v>Central</v>
      </c>
      <c r="AA352" s="1" t="str">
        <v>Oil</v>
      </c>
      <c r="AB352" s="1" t="str">
        <v>Groceries</v>
      </c>
      <c r="AC352" s="1">
        <v>3161.42</v>
      </c>
      <c r="AD352" s="1" t="str">
        <v>William Robles</v>
      </c>
      <c r="AE352" s="1">
        <v>30786</v>
      </c>
      <c r="AF352" s="1">
        <v>44952</v>
      </c>
      <c r="AG352" s="1">
        <v>47.23</v>
      </c>
      <c r="AH352" s="1">
        <v>1493.1386659999998</v>
      </c>
      <c r="AI352" s="1">
        <v>1668.2813340000002</v>
      </c>
    </row>
    <row r="353" spans="1:35" x14ac:dyDescent="0.35">
      <c r="A353" s="1">
        <v>1351</v>
      </c>
      <c r="B353" s="2">
        <v>45729</v>
      </c>
      <c r="C353" s="1" t="s">
        <v>14</v>
      </c>
      <c r="D353" s="1" t="s">
        <v>33</v>
      </c>
      <c r="E353" s="1" t="s">
        <v>16</v>
      </c>
      <c r="F353" s="1">
        <v>4136.7</v>
      </c>
      <c r="G353" s="1" t="s">
        <v>247</v>
      </c>
      <c r="H353" s="2">
        <v>23735</v>
      </c>
      <c r="I353" s="2">
        <v>45732</v>
      </c>
      <c r="J353" s="1">
        <v>23.42</v>
      </c>
      <c r="K353" s="1">
        <f t="shared" si="16"/>
        <v>968.81514000000004</v>
      </c>
      <c r="L353" s="1">
        <f t="shared" si="17"/>
        <v>3167.8848599999997</v>
      </c>
      <c r="U353">
        <v>2287.416033</v>
      </c>
      <c r="X353" s="1">
        <v>1480</v>
      </c>
      <c r="Y353" s="2">
        <v>45117</v>
      </c>
      <c r="Z353" s="1" t="str">
        <v>North</v>
      </c>
      <c r="AA353" s="1" t="str">
        <v>Cricket Bat</v>
      </c>
      <c r="AB353" s="1" t="str">
        <v>Sports</v>
      </c>
      <c r="AC353" s="1">
        <v>4459.7700000000004</v>
      </c>
      <c r="AD353" s="1" t="str">
        <v>Cynthia Brown</v>
      </c>
      <c r="AE353" s="1">
        <v>35407</v>
      </c>
      <c r="AF353" s="1">
        <v>45127</v>
      </c>
      <c r="AG353" s="1">
        <v>48.71</v>
      </c>
      <c r="AH353" s="1">
        <v>2172.3539670000005</v>
      </c>
      <c r="AI353" s="1">
        <v>2287.416033</v>
      </c>
    </row>
    <row r="354" spans="1:35" x14ac:dyDescent="0.35">
      <c r="A354" s="1">
        <v>1352</v>
      </c>
      <c r="B354" s="2">
        <v>45140</v>
      </c>
      <c r="C354" s="1" t="s">
        <v>10</v>
      </c>
      <c r="D354" s="1" t="s">
        <v>58</v>
      </c>
      <c r="E354" s="1" t="s">
        <v>31</v>
      </c>
      <c r="F354" s="1">
        <v>4005.07</v>
      </c>
      <c r="G354" s="1" t="s">
        <v>248</v>
      </c>
      <c r="H354" s="2">
        <v>32685</v>
      </c>
      <c r="I354" s="2">
        <v>45143</v>
      </c>
      <c r="J354" s="1">
        <v>41.83</v>
      </c>
      <c r="K354" s="1">
        <f t="shared" si="16"/>
        <v>1675.3207810000001</v>
      </c>
      <c r="L354" s="1">
        <f t="shared" si="17"/>
        <v>2329.7492190000003</v>
      </c>
      <c r="U354">
        <v>2992.4522010000001</v>
      </c>
      <c r="X354" s="1">
        <v>1481</v>
      </c>
      <c r="Y354" s="2">
        <v>45763</v>
      </c>
      <c r="Z354" s="1" t="str">
        <v>North</v>
      </c>
      <c r="AA354" s="1" t="str">
        <v>Milk</v>
      </c>
      <c r="AB354" s="1" t="str">
        <v>Groceries</v>
      </c>
      <c r="AC354" s="1">
        <v>4811.79</v>
      </c>
      <c r="AD354" s="1" t="str">
        <v>Angela Mooney</v>
      </c>
      <c r="AE354" s="1">
        <v>25516</v>
      </c>
      <c r="AF354" s="1">
        <v>45774</v>
      </c>
      <c r="AG354" s="1">
        <v>37.81</v>
      </c>
      <c r="AH354" s="1">
        <v>1819.3377990000001</v>
      </c>
      <c r="AI354" s="1">
        <v>2992.4522010000001</v>
      </c>
    </row>
    <row r="355" spans="1:35" x14ac:dyDescent="0.35">
      <c r="A355" s="1">
        <v>1353</v>
      </c>
      <c r="B355" s="2">
        <v>44589</v>
      </c>
      <c r="C355" s="1" t="s">
        <v>21</v>
      </c>
      <c r="D355" s="1" t="s">
        <v>30</v>
      </c>
      <c r="E355" s="1" t="s">
        <v>31</v>
      </c>
      <c r="F355" s="1">
        <v>350.39</v>
      </c>
      <c r="G355" s="1" t="s">
        <v>37</v>
      </c>
      <c r="H355" s="2">
        <v>27534</v>
      </c>
      <c r="I355" s="2">
        <v>44591</v>
      </c>
      <c r="J355" s="1">
        <v>33.08</v>
      </c>
      <c r="K355" s="1">
        <f t="shared" si="16"/>
        <v>115.90901199999999</v>
      </c>
      <c r="L355" s="1">
        <f t="shared" si="17"/>
        <v>234.480988</v>
      </c>
      <c r="U355">
        <v>3790.6248000000005</v>
      </c>
      <c r="X355" s="1">
        <v>1482</v>
      </c>
      <c r="Y355" s="2">
        <v>44567</v>
      </c>
      <c r="Z355" s="1" t="str">
        <v>North</v>
      </c>
      <c r="AA355" s="1" t="str">
        <v>Cap</v>
      </c>
      <c r="AB355" s="1" t="str">
        <v>Clothing</v>
      </c>
      <c r="AC355" s="1">
        <v>4964.8</v>
      </c>
      <c r="AD355" s="1" t="str">
        <v>Laura Wood</v>
      </c>
      <c r="AE355" s="1">
        <v>31419</v>
      </c>
      <c r="AF355" s="1">
        <v>44577</v>
      </c>
      <c r="AG355" s="1">
        <v>23.65</v>
      </c>
      <c r="AH355" s="1">
        <v>1174.1751999999999</v>
      </c>
      <c r="AI355" s="1">
        <v>3790.6248000000005</v>
      </c>
    </row>
    <row r="356" spans="1:35" x14ac:dyDescent="0.35">
      <c r="A356" s="1">
        <v>1354</v>
      </c>
      <c r="B356" s="2">
        <v>44391</v>
      </c>
      <c r="C356" s="1" t="s">
        <v>14</v>
      </c>
      <c r="D356" s="1" t="s">
        <v>55</v>
      </c>
      <c r="E356" s="1" t="s">
        <v>31</v>
      </c>
      <c r="F356" s="1">
        <v>4025.33</v>
      </c>
      <c r="G356" s="1" t="s">
        <v>161</v>
      </c>
      <c r="H356" s="2">
        <v>29386</v>
      </c>
      <c r="I356" s="2">
        <v>44403</v>
      </c>
      <c r="J356" s="1">
        <v>18.64</v>
      </c>
      <c r="K356" s="1">
        <f t="shared" si="16"/>
        <v>750.32151199999998</v>
      </c>
      <c r="L356" s="1">
        <f t="shared" si="17"/>
        <v>3275.0084879999999</v>
      </c>
      <c r="U356">
        <v>3342.2534320000004</v>
      </c>
      <c r="X356" s="1">
        <v>1483</v>
      </c>
      <c r="Y356" s="2">
        <v>44525</v>
      </c>
      <c r="Z356" s="1" t="str">
        <v>South</v>
      </c>
      <c r="AA356" s="1" t="str">
        <v>Table</v>
      </c>
      <c r="AB356" s="1" t="str">
        <v>Furniture</v>
      </c>
      <c r="AC356" s="1">
        <v>4165.84</v>
      </c>
      <c r="AD356" s="1" t="str">
        <v>Taylor Richardson</v>
      </c>
      <c r="AE356" s="1">
        <v>25853</v>
      </c>
      <c r="AF356" s="1">
        <v>44538</v>
      </c>
      <c r="AG356" s="1">
        <v>19.77</v>
      </c>
      <c r="AH356" s="1">
        <v>823.58656799999994</v>
      </c>
      <c r="AI356" s="1">
        <v>3342.2534320000004</v>
      </c>
    </row>
    <row r="357" spans="1:35" x14ac:dyDescent="0.35">
      <c r="A357" s="1">
        <v>1355</v>
      </c>
      <c r="B357" s="2">
        <v>44701</v>
      </c>
      <c r="C357" s="1" t="s">
        <v>26</v>
      </c>
      <c r="D357" s="1" t="s">
        <v>49</v>
      </c>
      <c r="E357" s="1" t="s">
        <v>12</v>
      </c>
      <c r="F357" s="1">
        <v>1665.27</v>
      </c>
      <c r="G357" s="1" t="s">
        <v>229</v>
      </c>
      <c r="H357" s="2">
        <v>37783</v>
      </c>
      <c r="I357" s="2">
        <v>44713</v>
      </c>
      <c r="J357" s="1">
        <v>34.700000000000003</v>
      </c>
      <c r="K357" s="1">
        <f t="shared" si="16"/>
        <v>577.84869000000003</v>
      </c>
      <c r="L357" s="1">
        <f t="shared" si="17"/>
        <v>1087.4213099999999</v>
      </c>
      <c r="U357">
        <v>1096.1266259999998</v>
      </c>
      <c r="X357" s="1">
        <v>1484</v>
      </c>
      <c r="Y357" s="2">
        <v>45568</v>
      </c>
      <c r="Z357" s="1" t="str">
        <v>Central</v>
      </c>
      <c r="AA357" s="1" t="str">
        <v>Wheat</v>
      </c>
      <c r="AB357" s="1" t="str">
        <v>Groceries</v>
      </c>
      <c r="AC357" s="1">
        <v>1868.61</v>
      </c>
      <c r="AD357" s="1" t="str">
        <v>Gary Wells</v>
      </c>
      <c r="AE357" s="1">
        <v>29181</v>
      </c>
      <c r="AF357" s="1">
        <v>45576</v>
      </c>
      <c r="AG357" s="1">
        <v>41.34</v>
      </c>
      <c r="AH357" s="1">
        <v>772.48337400000003</v>
      </c>
      <c r="AI357" s="1">
        <v>1096.1266259999998</v>
      </c>
    </row>
    <row r="358" spans="1:35" x14ac:dyDescent="0.35">
      <c r="A358" s="1">
        <v>1356</v>
      </c>
      <c r="B358" s="2">
        <v>44231</v>
      </c>
      <c r="C358" s="1" t="s">
        <v>14</v>
      </c>
      <c r="D358" s="1" t="s">
        <v>15</v>
      </c>
      <c r="E358" s="1" t="s">
        <v>16</v>
      </c>
      <c r="F358" s="1">
        <v>3294.52</v>
      </c>
      <c r="G358" s="1" t="s">
        <v>249</v>
      </c>
      <c r="H358" s="2">
        <v>28555</v>
      </c>
      <c r="I358" s="2">
        <v>44243</v>
      </c>
      <c r="J358" s="1">
        <v>5.31</v>
      </c>
      <c r="K358" s="1">
        <f t="shared" si="16"/>
        <v>174.93901199999999</v>
      </c>
      <c r="L358" s="1">
        <f t="shared" si="17"/>
        <v>3119.5809880000002</v>
      </c>
      <c r="U358">
        <v>2560.2096000000001</v>
      </c>
      <c r="X358" s="1">
        <v>1486</v>
      </c>
      <c r="Y358" s="2">
        <v>45010</v>
      </c>
      <c r="Z358" s="1" t="str">
        <v>East</v>
      </c>
      <c r="AA358" s="1" t="str">
        <v>Wheat</v>
      </c>
      <c r="AB358" s="1" t="str">
        <v>Groceries</v>
      </c>
      <c r="AC358" s="1">
        <v>4628</v>
      </c>
      <c r="AD358" s="1" t="str">
        <v>David Noble</v>
      </c>
      <c r="AE358" s="1">
        <v>22594</v>
      </c>
      <c r="AF358" s="1">
        <v>45014</v>
      </c>
      <c r="AG358" s="1">
        <v>44.68</v>
      </c>
      <c r="AH358" s="1">
        <v>2067.7903999999999</v>
      </c>
      <c r="AI358" s="1">
        <v>2560.2096000000001</v>
      </c>
    </row>
    <row r="359" spans="1:35" x14ac:dyDescent="0.35">
      <c r="A359" s="1">
        <v>1357</v>
      </c>
      <c r="B359" s="2">
        <v>44525</v>
      </c>
      <c r="C359" s="1" t="s">
        <v>10</v>
      </c>
      <c r="D359" s="1" t="s">
        <v>15</v>
      </c>
      <c r="E359" s="1" t="s">
        <v>16</v>
      </c>
      <c r="F359" s="1">
        <v>3300.32</v>
      </c>
      <c r="G359" s="1" t="s">
        <v>54</v>
      </c>
      <c r="H359" s="2">
        <v>31082</v>
      </c>
      <c r="I359" s="2">
        <v>44534</v>
      </c>
      <c r="J359" s="1">
        <v>29.45</v>
      </c>
      <c r="K359" s="1">
        <f t="shared" si="16"/>
        <v>971.94424000000004</v>
      </c>
      <c r="L359" s="1">
        <f t="shared" si="17"/>
        <v>2328.3757599999999</v>
      </c>
      <c r="U359">
        <v>2560.754868</v>
      </c>
      <c r="X359" s="1">
        <v>1487</v>
      </c>
      <c r="Y359" s="2">
        <v>45153</v>
      </c>
      <c r="Z359" s="1" t="str">
        <v>Central</v>
      </c>
      <c r="AA359" s="1" t="str">
        <v>Jeans</v>
      </c>
      <c r="AB359" s="1" t="str">
        <v>Clothing</v>
      </c>
      <c r="AC359" s="1">
        <v>4033.32</v>
      </c>
      <c r="AD359" s="1" t="str">
        <v>James Stevens</v>
      </c>
      <c r="AE359" s="1">
        <v>30778</v>
      </c>
      <c r="AF359" s="1">
        <v>45162</v>
      </c>
      <c r="AG359" s="1">
        <v>36.51</v>
      </c>
      <c r="AH359" s="1">
        <v>1472.5651319999999</v>
      </c>
      <c r="AI359" s="1">
        <v>2560.754868</v>
      </c>
    </row>
    <row r="360" spans="1:35" x14ac:dyDescent="0.35">
      <c r="A360" s="1">
        <v>1358</v>
      </c>
      <c r="B360" s="2">
        <v>44747</v>
      </c>
      <c r="C360" s="1" t="s">
        <v>21</v>
      </c>
      <c r="D360" s="1" t="s">
        <v>44</v>
      </c>
      <c r="E360" s="1" t="s">
        <v>16</v>
      </c>
      <c r="F360" s="1">
        <v>958.82</v>
      </c>
      <c r="G360" s="1" t="s">
        <v>92</v>
      </c>
      <c r="H360" s="2">
        <v>24544</v>
      </c>
      <c r="I360" s="2">
        <v>44754</v>
      </c>
      <c r="J360" s="1">
        <v>17.29</v>
      </c>
      <c r="K360" s="1">
        <f t="shared" si="16"/>
        <v>165.779978</v>
      </c>
      <c r="L360" s="1">
        <f t="shared" si="17"/>
        <v>793.04002200000002</v>
      </c>
      <c r="U360">
        <v>2136.992139</v>
      </c>
      <c r="X360" s="1">
        <v>1488</v>
      </c>
      <c r="Y360" s="2">
        <v>45427</v>
      </c>
      <c r="Z360" s="1" t="str">
        <v>North</v>
      </c>
      <c r="AA360" s="1" t="str">
        <v>Football</v>
      </c>
      <c r="AB360" s="1" t="str">
        <v>Sports</v>
      </c>
      <c r="AC360" s="1">
        <v>2543.13</v>
      </c>
      <c r="AD360" s="1" t="str">
        <v>Kirsten Wilkins</v>
      </c>
      <c r="AE360" s="1">
        <v>25430</v>
      </c>
      <c r="AF360" s="1">
        <v>45441</v>
      </c>
      <c r="AG360" s="1">
        <v>15.97</v>
      </c>
      <c r="AH360" s="1">
        <v>406.13786100000004</v>
      </c>
      <c r="AI360" s="1">
        <v>2136.992139</v>
      </c>
    </row>
    <row r="361" spans="1:35" x14ac:dyDescent="0.35">
      <c r="A361" s="1">
        <v>1359</v>
      </c>
      <c r="B361" s="2">
        <v>45276</v>
      </c>
      <c r="C361" s="1" t="s">
        <v>35</v>
      </c>
      <c r="D361" s="1" t="s">
        <v>58</v>
      </c>
      <c r="E361" s="1" t="s">
        <v>31</v>
      </c>
      <c r="F361" s="1">
        <v>3637.29</v>
      </c>
      <c r="G361" s="1" t="s">
        <v>250</v>
      </c>
      <c r="H361" s="2">
        <v>33892</v>
      </c>
      <c r="I361" s="2">
        <v>45282</v>
      </c>
      <c r="J361" s="1">
        <v>41.8</v>
      </c>
      <c r="K361" s="1">
        <f t="shared" si="16"/>
        <v>1520.3872199999998</v>
      </c>
      <c r="L361" s="1">
        <f t="shared" si="17"/>
        <v>2116.9027800000003</v>
      </c>
      <c r="U361">
        <v>2563.5688719999998</v>
      </c>
      <c r="X361" s="1">
        <v>1490</v>
      </c>
      <c r="Y361" s="2">
        <v>45262</v>
      </c>
      <c r="Z361" s="1" t="str">
        <v>Central</v>
      </c>
      <c r="AA361" s="1" t="str">
        <v>Jacket</v>
      </c>
      <c r="AB361" s="1" t="str">
        <v>Clothing</v>
      </c>
      <c r="AC361" s="1">
        <v>3779.96</v>
      </c>
      <c r="AD361" s="1" t="str">
        <v>Stephanie Taylor</v>
      </c>
      <c r="AE361" s="1">
        <v>37927</v>
      </c>
      <c r="AF361" s="1">
        <v>45266</v>
      </c>
      <c r="AG361" s="1">
        <v>32.18</v>
      </c>
      <c r="AH361" s="1">
        <v>1216.391128</v>
      </c>
      <c r="AI361" s="1">
        <v>2563.5688719999998</v>
      </c>
    </row>
    <row r="362" spans="1:35" x14ac:dyDescent="0.35">
      <c r="A362" s="1">
        <v>1360</v>
      </c>
      <c r="B362" s="2">
        <v>44443</v>
      </c>
      <c r="C362" s="1" t="s">
        <v>21</v>
      </c>
      <c r="D362" s="1" t="s">
        <v>22</v>
      </c>
      <c r="E362" s="1" t="s">
        <v>19</v>
      </c>
      <c r="F362" s="1">
        <v>3902.12</v>
      </c>
      <c r="G362" s="1" t="s">
        <v>45</v>
      </c>
      <c r="H362" s="2">
        <v>34367</v>
      </c>
      <c r="I362" s="2">
        <v>44455</v>
      </c>
      <c r="J362" s="1">
        <v>24.06</v>
      </c>
      <c r="K362" s="1">
        <f t="shared" si="16"/>
        <v>938.85007199999995</v>
      </c>
      <c r="L362" s="1">
        <f t="shared" si="17"/>
        <v>2963.2699279999997</v>
      </c>
      <c r="U362">
        <v>1350.277319</v>
      </c>
      <c r="X362" s="1">
        <v>1491</v>
      </c>
      <c r="Y362" s="2">
        <v>44682</v>
      </c>
      <c r="Z362" s="1" t="str">
        <v>South</v>
      </c>
      <c r="AA362" s="1" t="str">
        <v>Camera</v>
      </c>
      <c r="AB362" s="1" t="str">
        <v>Electronics</v>
      </c>
      <c r="AC362" s="1">
        <v>2268.23</v>
      </c>
      <c r="AD362" s="1" t="str">
        <v>Caitlin Crane</v>
      </c>
      <c r="AE362" s="1">
        <v>33332</v>
      </c>
      <c r="AF362" s="1">
        <v>44689</v>
      </c>
      <c r="AG362" s="1">
        <v>40.47</v>
      </c>
      <c r="AH362" s="1">
        <v>917.95268099999998</v>
      </c>
      <c r="AI362" s="1">
        <v>1350.277319</v>
      </c>
    </row>
    <row r="363" spans="1:35" x14ac:dyDescent="0.35">
      <c r="A363" s="1">
        <v>1361</v>
      </c>
      <c r="B363" s="2">
        <v>44141</v>
      </c>
      <c r="C363" s="1" t="s">
        <v>21</v>
      </c>
      <c r="D363" s="1" t="s">
        <v>30</v>
      </c>
      <c r="E363" s="1" t="s">
        <v>31</v>
      </c>
      <c r="F363" s="1">
        <v>140.26</v>
      </c>
      <c r="G363" s="1" t="s">
        <v>145</v>
      </c>
      <c r="H363" s="2">
        <v>23470</v>
      </c>
      <c r="I363" s="2">
        <v>44149</v>
      </c>
      <c r="J363" s="1">
        <v>41.53</v>
      </c>
      <c r="K363" s="1">
        <f t="shared" si="16"/>
        <v>58.249977999999999</v>
      </c>
      <c r="L363" s="1">
        <f t="shared" si="17"/>
        <v>82.010021999999992</v>
      </c>
      <c r="U363">
        <v>3857.0730240000003</v>
      </c>
      <c r="X363" s="1">
        <v>1493</v>
      </c>
      <c r="Y363" s="2">
        <v>44415</v>
      </c>
      <c r="Z363" s="1" t="str">
        <v>North</v>
      </c>
      <c r="AA363" s="1" t="str">
        <v>Sofa</v>
      </c>
      <c r="AB363" s="1" t="str">
        <v>Furniture</v>
      </c>
      <c r="AC363" s="1">
        <v>4476.6400000000003</v>
      </c>
      <c r="AD363" s="1" t="str">
        <v>Matthew Baird</v>
      </c>
      <c r="AE363" s="1">
        <v>35658</v>
      </c>
      <c r="AF363" s="1">
        <v>44417</v>
      </c>
      <c r="AG363" s="1">
        <v>13.84</v>
      </c>
      <c r="AH363" s="1">
        <v>619.56697600000007</v>
      </c>
      <c r="AI363" s="1">
        <v>3857.0730240000003</v>
      </c>
    </row>
    <row r="364" spans="1:35" x14ac:dyDescent="0.35">
      <c r="A364" s="1">
        <v>1362</v>
      </c>
      <c r="B364" s="2">
        <v>44105</v>
      </c>
      <c r="C364" s="1" t="s">
        <v>35</v>
      </c>
      <c r="D364" s="1" t="s">
        <v>65</v>
      </c>
      <c r="E364" s="1" t="s">
        <v>19</v>
      </c>
      <c r="F364" s="1">
        <v>3442.22</v>
      </c>
      <c r="G364" s="1" t="s">
        <v>206</v>
      </c>
      <c r="H364" s="2">
        <v>34011</v>
      </c>
      <c r="I364" s="2">
        <v>44107</v>
      </c>
      <c r="J364" s="1">
        <v>18.84</v>
      </c>
      <c r="K364" s="1">
        <f t="shared" si="16"/>
        <v>648.51424799999995</v>
      </c>
      <c r="L364" s="1">
        <f t="shared" si="17"/>
        <v>2793.7057519999998</v>
      </c>
      <c r="U364">
        <v>2265.9600880000003</v>
      </c>
      <c r="X364" s="1">
        <v>1494</v>
      </c>
      <c r="Y364" s="2">
        <v>44484</v>
      </c>
      <c r="Z364" s="1" t="str">
        <v>West</v>
      </c>
      <c r="AA364" s="1" t="str">
        <v>Eggs</v>
      </c>
      <c r="AB364" s="1" t="str">
        <v>Groceries</v>
      </c>
      <c r="AC364" s="1">
        <v>3755.32</v>
      </c>
      <c r="AD364" s="1" t="str">
        <v>Benjamin Smith</v>
      </c>
      <c r="AE364" s="1">
        <v>38073</v>
      </c>
      <c r="AF364" s="1">
        <v>44489</v>
      </c>
      <c r="AG364" s="1">
        <v>39.659999999999997</v>
      </c>
      <c r="AH364" s="1">
        <v>1489.3599119999999</v>
      </c>
      <c r="AI364" s="1">
        <v>2265.9600880000003</v>
      </c>
    </row>
    <row r="365" spans="1:35" x14ac:dyDescent="0.35">
      <c r="A365" s="1">
        <v>1363</v>
      </c>
      <c r="B365" s="2">
        <v>45148</v>
      </c>
      <c r="C365" s="1" t="s">
        <v>21</v>
      </c>
      <c r="D365" s="1" t="s">
        <v>102</v>
      </c>
      <c r="E365" s="1" t="s">
        <v>12</v>
      </c>
      <c r="F365" s="1">
        <v>688.58</v>
      </c>
      <c r="G365" s="1" t="s">
        <v>117</v>
      </c>
      <c r="H365" s="2">
        <v>23513</v>
      </c>
      <c r="I365" s="2">
        <v>45159</v>
      </c>
      <c r="J365" s="1">
        <v>24.61</v>
      </c>
      <c r="K365" s="1">
        <f t="shared" si="16"/>
        <v>169.45953800000001</v>
      </c>
      <c r="L365" s="1">
        <f t="shared" si="17"/>
        <v>519.12046200000009</v>
      </c>
      <c r="U365">
        <v>2493.8642760000002</v>
      </c>
      <c r="X365" s="1">
        <v>1495</v>
      </c>
      <c r="Y365" s="2">
        <v>45829</v>
      </c>
      <c r="Z365" s="1" t="str">
        <v>South</v>
      </c>
      <c r="AA365" s="1" t="str">
        <v>Basketball</v>
      </c>
      <c r="AB365" s="1" t="str">
        <v>Sports</v>
      </c>
      <c r="AC365" s="1">
        <v>4164.7700000000004</v>
      </c>
      <c r="AD365" s="1" t="str">
        <v>Brian Carson</v>
      </c>
      <c r="AE365" s="1">
        <v>30232</v>
      </c>
      <c r="AF365" s="1">
        <v>45832</v>
      </c>
      <c r="AG365" s="1">
        <v>40.119999999999997</v>
      </c>
      <c r="AH365" s="1">
        <v>1670.9057240000002</v>
      </c>
      <c r="AI365" s="1">
        <v>2493.8642760000002</v>
      </c>
    </row>
    <row r="366" spans="1:35" x14ac:dyDescent="0.35">
      <c r="A366" s="1">
        <v>1364</v>
      </c>
      <c r="B366" s="2">
        <v>45666</v>
      </c>
      <c r="C366" s="1" t="s">
        <v>26</v>
      </c>
      <c r="D366" s="1" t="s">
        <v>27</v>
      </c>
      <c r="E366" s="1" t="s">
        <v>28</v>
      </c>
      <c r="F366" s="1">
        <v>178.24</v>
      </c>
      <c r="G366" s="1" t="s">
        <v>32</v>
      </c>
      <c r="H366" s="2">
        <v>27166</v>
      </c>
      <c r="I366" s="2">
        <v>45676</v>
      </c>
      <c r="J366" s="1">
        <v>40.270000000000003</v>
      </c>
      <c r="K366" s="1">
        <f t="shared" si="16"/>
        <v>71.777248000000014</v>
      </c>
      <c r="L366" s="1">
        <f t="shared" si="17"/>
        <v>106.46275199999999</v>
      </c>
      <c r="U366">
        <v>4096.1061890000001</v>
      </c>
      <c r="X366" s="1">
        <v>1497</v>
      </c>
      <c r="Y366" s="2">
        <v>44840</v>
      </c>
      <c r="Z366" s="1" t="str">
        <v>Central</v>
      </c>
      <c r="AA366" s="1" t="str">
        <v>Table</v>
      </c>
      <c r="AB366" s="1" t="str">
        <v>Furniture</v>
      </c>
      <c r="AC366" s="1">
        <v>4921.43</v>
      </c>
      <c r="AD366" s="1" t="str">
        <v>Jason Davidson</v>
      </c>
      <c r="AE366" s="1">
        <v>34016</v>
      </c>
      <c r="AF366" s="1">
        <v>44843</v>
      </c>
      <c r="AG366" s="1">
        <v>16.77</v>
      </c>
      <c r="AH366" s="1">
        <v>825.32381099999998</v>
      </c>
      <c r="AI366" s="1">
        <v>4096.1061890000001</v>
      </c>
    </row>
    <row r="367" spans="1:35" x14ac:dyDescent="0.35">
      <c r="A367" s="1">
        <v>1365</v>
      </c>
      <c r="B367" s="2">
        <v>44557</v>
      </c>
      <c r="C367" s="1" t="s">
        <v>14</v>
      </c>
      <c r="D367" s="1" t="s">
        <v>30</v>
      </c>
      <c r="E367" s="1" t="s">
        <v>31</v>
      </c>
      <c r="F367" s="1">
        <v>3989.42</v>
      </c>
      <c r="G367" s="1" t="s">
        <v>56</v>
      </c>
      <c r="H367" s="2">
        <v>25712</v>
      </c>
      <c r="I367" s="2">
        <v>44563</v>
      </c>
      <c r="J367" s="1">
        <v>4.76</v>
      </c>
      <c r="K367" s="1">
        <f t="shared" si="16"/>
        <v>189.89639199999999</v>
      </c>
      <c r="L367" s="1">
        <f t="shared" si="17"/>
        <v>3799.523608</v>
      </c>
      <c r="U367">
        <v>2133.6741569999999</v>
      </c>
      <c r="X367" s="1">
        <v>1499</v>
      </c>
      <c r="Y367" s="2">
        <v>44540</v>
      </c>
      <c r="Z367" s="1" t="str">
        <v>West</v>
      </c>
      <c r="AA367" s="1" t="str">
        <v>Wheat</v>
      </c>
      <c r="AB367" s="1" t="str">
        <v>Groceries</v>
      </c>
      <c r="AC367" s="1">
        <v>2393.89</v>
      </c>
      <c r="AD367" s="1" t="str">
        <v>Tracy Benton</v>
      </c>
      <c r="AE367" s="1">
        <v>30117</v>
      </c>
      <c r="AF367" s="1">
        <v>44551</v>
      </c>
      <c r="AG367" s="1">
        <v>10.87</v>
      </c>
      <c r="AH367" s="1">
        <v>260.21584299999995</v>
      </c>
      <c r="AI367" s="1">
        <v>2133.6741569999999</v>
      </c>
    </row>
    <row r="368" spans="1:35" x14ac:dyDescent="0.35">
      <c r="A368" s="1">
        <v>1366</v>
      </c>
      <c r="B368" s="2">
        <v>44384</v>
      </c>
      <c r="C368" s="1" t="s">
        <v>10</v>
      </c>
      <c r="D368" s="1" t="s">
        <v>38</v>
      </c>
      <c r="E368" s="1" t="s">
        <v>28</v>
      </c>
      <c r="F368" s="1">
        <v>3857.76</v>
      </c>
      <c r="G368" s="1" t="s">
        <v>243</v>
      </c>
      <c r="H368" s="2">
        <v>29103</v>
      </c>
      <c r="I368" s="2">
        <v>44392</v>
      </c>
      <c r="J368" s="1">
        <v>14.13</v>
      </c>
      <c r="K368" s="1">
        <f t="shared" si="16"/>
        <v>545.10148800000002</v>
      </c>
      <c r="L368" s="1">
        <f t="shared" si="17"/>
        <v>3312.658512</v>
      </c>
      <c r="U368">
        <v>3167.9141610000001</v>
      </c>
      <c r="X368" s="1">
        <v>1500</v>
      </c>
      <c r="Y368" s="2">
        <v>45298</v>
      </c>
      <c r="Z368" s="1" t="str">
        <v>Central</v>
      </c>
      <c r="AA368" s="1" t="str">
        <v>Eggs</v>
      </c>
      <c r="AB368" s="1" t="str">
        <v>Groceries</v>
      </c>
      <c r="AC368" s="1">
        <v>3767.29</v>
      </c>
      <c r="AD368" s="1" t="str">
        <v>Shannon Foster</v>
      </c>
      <c r="AE368" s="1">
        <v>31386</v>
      </c>
      <c r="AF368" s="1">
        <v>45310</v>
      </c>
      <c r="AG368" s="1">
        <v>15.91</v>
      </c>
      <c r="AH368" s="1">
        <v>599.37583899999993</v>
      </c>
      <c r="AI368" s="1">
        <v>3167.9141610000001</v>
      </c>
    </row>
    <row r="369" spans="1:35" x14ac:dyDescent="0.35">
      <c r="A369" s="1">
        <v>1367</v>
      </c>
      <c r="B369" s="2">
        <v>44141</v>
      </c>
      <c r="C369" s="1" t="s">
        <v>14</v>
      </c>
      <c r="D369" s="1" t="s">
        <v>24</v>
      </c>
      <c r="E369" s="1" t="s">
        <v>19</v>
      </c>
      <c r="F369" s="1">
        <v>1160.47</v>
      </c>
      <c r="G369" s="1" t="s">
        <v>82</v>
      </c>
      <c r="H369" s="2">
        <v>38879</v>
      </c>
      <c r="I369" s="2">
        <v>44142</v>
      </c>
      <c r="J369" s="1">
        <v>31.35</v>
      </c>
      <c r="K369" s="1">
        <f t="shared" si="16"/>
        <v>363.807345</v>
      </c>
      <c r="L369" s="1">
        <f t="shared" si="17"/>
        <v>796.66265500000009</v>
      </c>
      <c r="U369">
        <v>1147.3069559999999</v>
      </c>
      <c r="X369" s="1">
        <v>1501</v>
      </c>
      <c r="Y369" s="2">
        <v>45230</v>
      </c>
      <c r="Z369" s="1" t="str">
        <v>South</v>
      </c>
      <c r="AA369" s="1" t="str">
        <v>Jeans</v>
      </c>
      <c r="AB369" s="1" t="str">
        <v>Clothing</v>
      </c>
      <c r="AC369" s="1">
        <v>1246.26</v>
      </c>
      <c r="AD369" s="1" t="str">
        <v>Stephanie Ray</v>
      </c>
      <c r="AE369" s="1">
        <v>27688</v>
      </c>
      <c r="AF369" s="1">
        <v>45232</v>
      </c>
      <c r="AG369" s="1">
        <v>7.94</v>
      </c>
      <c r="AH369" s="1">
        <v>98.953043999999991</v>
      </c>
      <c r="AI369" s="1">
        <v>1147.3069559999999</v>
      </c>
    </row>
    <row r="370" spans="1:35" x14ac:dyDescent="0.35">
      <c r="A370" s="1">
        <v>1368</v>
      </c>
      <c r="B370" s="2">
        <v>44920</v>
      </c>
      <c r="C370" s="1" t="s">
        <v>14</v>
      </c>
      <c r="D370" s="1" t="s">
        <v>18</v>
      </c>
      <c r="E370" s="1" t="s">
        <v>19</v>
      </c>
      <c r="F370" s="1">
        <v>631.92999999999995</v>
      </c>
      <c r="G370" s="1" t="s">
        <v>251</v>
      </c>
      <c r="H370" s="2">
        <v>25440</v>
      </c>
      <c r="I370" s="2">
        <v>44932</v>
      </c>
      <c r="J370" s="1">
        <v>11.71</v>
      </c>
      <c r="K370" s="1">
        <f t="shared" si="16"/>
        <v>73.999003000000002</v>
      </c>
      <c r="L370" s="1">
        <f t="shared" si="17"/>
        <v>557.93099699999993</v>
      </c>
      <c r="U370">
        <v>1203.6840099999999</v>
      </c>
      <c r="X370" s="1">
        <v>1502</v>
      </c>
      <c r="Y370" s="2">
        <v>44328</v>
      </c>
      <c r="Z370" s="1" t="str">
        <v>West</v>
      </c>
      <c r="AA370" s="1" t="str">
        <v>Headphones</v>
      </c>
      <c r="AB370" s="1" t="str">
        <v>Electronics</v>
      </c>
      <c r="AC370" s="1">
        <v>1825.7</v>
      </c>
      <c r="AD370" s="1" t="str">
        <v>Miguel Mason</v>
      </c>
      <c r="AE370" s="1">
        <v>34338</v>
      </c>
      <c r="AF370" s="1">
        <v>44340</v>
      </c>
      <c r="AG370" s="1">
        <v>34.07</v>
      </c>
      <c r="AH370" s="1">
        <v>622.01598999999999</v>
      </c>
      <c r="AI370" s="1">
        <v>1203.6840099999999</v>
      </c>
    </row>
    <row r="371" spans="1:35" x14ac:dyDescent="0.35">
      <c r="A371" s="1">
        <v>1369</v>
      </c>
      <c r="B371" s="2">
        <v>45674</v>
      </c>
      <c r="C371" s="1" t="s">
        <v>10</v>
      </c>
      <c r="D371" s="1" t="s">
        <v>53</v>
      </c>
      <c r="E371" s="1" t="s">
        <v>28</v>
      </c>
      <c r="F371" s="1">
        <v>3121.09</v>
      </c>
      <c r="G371" s="1" t="s">
        <v>163</v>
      </c>
      <c r="H371" s="2">
        <v>30364</v>
      </c>
      <c r="I371" s="2">
        <v>45687</v>
      </c>
      <c r="J371" s="1">
        <v>38.82</v>
      </c>
      <c r="K371" s="1">
        <f t="shared" si="16"/>
        <v>1211.6071380000001</v>
      </c>
      <c r="L371" s="1">
        <f t="shared" si="17"/>
        <v>1909.4828620000001</v>
      </c>
      <c r="U371">
        <v>1035.7585139999999</v>
      </c>
      <c r="X371" s="1">
        <v>1503</v>
      </c>
      <c r="Y371" s="2">
        <v>44961</v>
      </c>
      <c r="Z371" s="1" t="str">
        <v>East</v>
      </c>
      <c r="AA371" s="1" t="str">
        <v>Sofa</v>
      </c>
      <c r="AB371" s="1" t="str">
        <v>Furniture</v>
      </c>
      <c r="AC371" s="1">
        <v>1119.8599999999999</v>
      </c>
      <c r="AD371" s="1" t="str">
        <v>Lisa Clark</v>
      </c>
      <c r="AE371" s="1">
        <v>27879</v>
      </c>
      <c r="AF371" s="1">
        <v>44968</v>
      </c>
      <c r="AG371" s="1">
        <v>7.51</v>
      </c>
      <c r="AH371" s="1">
        <v>84.101485999999994</v>
      </c>
      <c r="AI371" s="1">
        <v>1035.7585139999999</v>
      </c>
    </row>
    <row r="372" spans="1:35" x14ac:dyDescent="0.35">
      <c r="A372" s="1">
        <v>1370</v>
      </c>
      <c r="B372" s="2">
        <v>45702</v>
      </c>
      <c r="C372" s="1" t="s">
        <v>10</v>
      </c>
      <c r="D372" s="1" t="s">
        <v>102</v>
      </c>
      <c r="E372" s="1" t="s">
        <v>12</v>
      </c>
      <c r="F372" s="1">
        <v>2623.27</v>
      </c>
      <c r="G372" s="1" t="s">
        <v>202</v>
      </c>
      <c r="H372" s="2">
        <v>24802</v>
      </c>
      <c r="I372" s="2">
        <v>45707</v>
      </c>
      <c r="J372" s="1">
        <v>29.54</v>
      </c>
      <c r="K372" s="1">
        <f t="shared" si="16"/>
        <v>774.91395799999998</v>
      </c>
      <c r="L372" s="1">
        <f t="shared" si="17"/>
        <v>1848.3560419999999</v>
      </c>
      <c r="U372">
        <v>3858.7950620000001</v>
      </c>
      <c r="X372" s="1">
        <v>1506</v>
      </c>
      <c r="Y372" s="2">
        <v>44372</v>
      </c>
      <c r="Z372" s="1" t="str">
        <v>West</v>
      </c>
      <c r="AA372" s="1" t="str">
        <v>Tablet</v>
      </c>
      <c r="AB372" s="1" t="str">
        <v>Electronics</v>
      </c>
      <c r="AC372" s="1">
        <v>4408.54</v>
      </c>
      <c r="AD372" s="1" t="str">
        <v>Taylor Knox</v>
      </c>
      <c r="AE372" s="1">
        <v>32188</v>
      </c>
      <c r="AF372" s="1">
        <v>44382</v>
      </c>
      <c r="AG372" s="1">
        <v>12.47</v>
      </c>
      <c r="AH372" s="1">
        <v>549.74493800000005</v>
      </c>
      <c r="AI372" s="1">
        <v>3858.7950620000001</v>
      </c>
    </row>
    <row r="373" spans="1:35" x14ac:dyDescent="0.35">
      <c r="A373" s="1">
        <v>1371</v>
      </c>
      <c r="B373" s="2">
        <v>45028</v>
      </c>
      <c r="C373" s="1" t="s">
        <v>26</v>
      </c>
      <c r="D373" s="1" t="s">
        <v>55</v>
      </c>
      <c r="E373" s="1" t="s">
        <v>31</v>
      </c>
      <c r="F373" s="1">
        <v>3304.37</v>
      </c>
      <c r="G373" s="1" t="s">
        <v>240</v>
      </c>
      <c r="H373" s="2">
        <v>38478</v>
      </c>
      <c r="I373" s="2">
        <v>45034</v>
      </c>
      <c r="J373" s="1">
        <v>47.9</v>
      </c>
      <c r="K373" s="1">
        <f t="shared" si="16"/>
        <v>1582.79323</v>
      </c>
      <c r="L373" s="1">
        <f t="shared" si="17"/>
        <v>1721.5767699999999</v>
      </c>
      <c r="U373">
        <v>2153.5414860000001</v>
      </c>
      <c r="X373" s="1">
        <v>1508</v>
      </c>
      <c r="Y373" s="2">
        <v>44487</v>
      </c>
      <c r="Z373" s="1" t="str">
        <v>North</v>
      </c>
      <c r="AA373" s="1" t="str">
        <v>Milk</v>
      </c>
      <c r="AB373" s="1" t="str">
        <v>Groceries</v>
      </c>
      <c r="AC373" s="1">
        <v>2775.54</v>
      </c>
      <c r="AD373" s="1" t="str">
        <v>Amy Harris</v>
      </c>
      <c r="AE373" s="1">
        <v>26668</v>
      </c>
      <c r="AF373" s="1">
        <v>44494</v>
      </c>
      <c r="AG373" s="1">
        <v>22.41</v>
      </c>
      <c r="AH373" s="1">
        <v>621.998514</v>
      </c>
      <c r="AI373" s="1">
        <v>2153.5414860000001</v>
      </c>
    </row>
    <row r="374" spans="1:35" x14ac:dyDescent="0.35">
      <c r="A374" s="1">
        <v>1372</v>
      </c>
      <c r="B374" s="2">
        <v>44691</v>
      </c>
      <c r="C374" s="1" t="s">
        <v>26</v>
      </c>
      <c r="D374" s="1" t="s">
        <v>33</v>
      </c>
      <c r="E374" s="1" t="s">
        <v>16</v>
      </c>
      <c r="F374" s="1">
        <v>4505.3599999999997</v>
      </c>
      <c r="G374" s="1" t="s">
        <v>252</v>
      </c>
      <c r="H374" s="2">
        <v>34209</v>
      </c>
      <c r="I374" s="2">
        <v>44700</v>
      </c>
      <c r="J374" s="1">
        <v>34.29</v>
      </c>
      <c r="K374" s="1">
        <f t="shared" si="16"/>
        <v>1544.8879439999998</v>
      </c>
      <c r="L374" s="1">
        <f t="shared" si="17"/>
        <v>2960.4720559999996</v>
      </c>
      <c r="U374">
        <v>1565.053807</v>
      </c>
      <c r="X374" s="1">
        <v>1509</v>
      </c>
      <c r="Y374" s="2">
        <v>44557</v>
      </c>
      <c r="Z374" s="1" t="str">
        <v>South</v>
      </c>
      <c r="AA374" s="1" t="str">
        <v>Wardrobe</v>
      </c>
      <c r="AB374" s="1" t="str">
        <v>Furniture</v>
      </c>
      <c r="AC374" s="1">
        <v>2170.37</v>
      </c>
      <c r="AD374" s="1" t="str">
        <v>Erika Jones</v>
      </c>
      <c r="AE374" s="1">
        <v>26988</v>
      </c>
      <c r="AF374" s="1">
        <v>44559</v>
      </c>
      <c r="AG374" s="1">
        <v>27.89</v>
      </c>
      <c r="AH374" s="1">
        <v>605.31619299999988</v>
      </c>
      <c r="AI374" s="1">
        <v>1565.053807</v>
      </c>
    </row>
    <row r="375" spans="1:35" x14ac:dyDescent="0.35">
      <c r="A375" s="1">
        <v>1373</v>
      </c>
      <c r="B375" s="2">
        <v>45007</v>
      </c>
      <c r="C375" s="1" t="s">
        <v>26</v>
      </c>
      <c r="D375" s="1" t="s">
        <v>61</v>
      </c>
      <c r="E375" s="1" t="s">
        <v>19</v>
      </c>
      <c r="F375" s="1">
        <v>3528.12</v>
      </c>
      <c r="G375" s="1" t="s">
        <v>146</v>
      </c>
      <c r="H375" s="2">
        <v>24961</v>
      </c>
      <c r="I375" s="2">
        <v>45008</v>
      </c>
      <c r="J375" s="1">
        <v>5.15</v>
      </c>
      <c r="K375" s="1">
        <f t="shared" si="16"/>
        <v>181.69818000000001</v>
      </c>
      <c r="L375" s="1">
        <f t="shared" si="17"/>
        <v>3346.42182</v>
      </c>
      <c r="U375">
        <v>2550.2583320000003</v>
      </c>
      <c r="X375" s="1">
        <v>1511</v>
      </c>
      <c r="Y375" s="2">
        <v>44328</v>
      </c>
      <c r="Z375" s="1" t="str">
        <v>East</v>
      </c>
      <c r="AA375" s="1" t="str">
        <v>Jacket</v>
      </c>
      <c r="AB375" s="1" t="str">
        <v>Clothing</v>
      </c>
      <c r="AC375" s="1">
        <v>3452.36</v>
      </c>
      <c r="AD375" s="1" t="str">
        <v>Lisa Smith</v>
      </c>
      <c r="AE375" s="1">
        <v>26484</v>
      </c>
      <c r="AF375" s="1">
        <v>44333</v>
      </c>
      <c r="AG375" s="1">
        <v>26.13</v>
      </c>
      <c r="AH375" s="1">
        <v>902.1016679999999</v>
      </c>
      <c r="AI375" s="1">
        <v>2550.2583320000003</v>
      </c>
    </row>
    <row r="376" spans="1:35" x14ac:dyDescent="0.35">
      <c r="A376" s="1">
        <v>1374</v>
      </c>
      <c r="B376" s="2">
        <v>45791</v>
      </c>
      <c r="C376" s="1" t="s">
        <v>35</v>
      </c>
      <c r="D376" s="1" t="s">
        <v>55</v>
      </c>
      <c r="E376" s="1" t="s">
        <v>31</v>
      </c>
      <c r="F376" s="1">
        <v>3418.14</v>
      </c>
      <c r="G376" s="1" t="s">
        <v>253</v>
      </c>
      <c r="H376" s="2">
        <v>27131</v>
      </c>
      <c r="I376" s="2">
        <v>45795</v>
      </c>
      <c r="J376" s="1">
        <v>14.35</v>
      </c>
      <c r="K376" s="1">
        <f t="shared" si="16"/>
        <v>490.50308999999993</v>
      </c>
      <c r="L376" s="1">
        <f t="shared" si="17"/>
        <v>2927.6369100000002</v>
      </c>
      <c r="U376">
        <v>3617.9325139999996</v>
      </c>
      <c r="X376" s="1">
        <v>1512</v>
      </c>
      <c r="Y376" s="2">
        <v>44119</v>
      </c>
      <c r="Z376" s="1" t="str">
        <v>Central</v>
      </c>
      <c r="AA376" s="1" t="str">
        <v>Camera</v>
      </c>
      <c r="AB376" s="1" t="str">
        <v>Electronics</v>
      </c>
      <c r="AC376" s="1">
        <v>4036.97</v>
      </c>
      <c r="AD376" s="1" t="str">
        <v>Debra Jones</v>
      </c>
      <c r="AE376" s="1">
        <v>25811</v>
      </c>
      <c r="AF376" s="1">
        <v>44128</v>
      </c>
      <c r="AG376" s="1">
        <v>10.38</v>
      </c>
      <c r="AH376" s="1">
        <v>419.037486</v>
      </c>
      <c r="AI376" s="1">
        <v>3617.9325139999996</v>
      </c>
    </row>
    <row r="377" spans="1:35" x14ac:dyDescent="0.35">
      <c r="A377" s="1">
        <v>1375</v>
      </c>
      <c r="B377" s="2">
        <v>44394</v>
      </c>
      <c r="C377" s="1" t="s">
        <v>35</v>
      </c>
      <c r="D377" s="1" t="s">
        <v>44</v>
      </c>
      <c r="E377" s="1" t="s">
        <v>16</v>
      </c>
      <c r="F377" s="1">
        <v>4990.92</v>
      </c>
      <c r="G377" s="1" t="s">
        <v>179</v>
      </c>
      <c r="H377" s="2">
        <v>30356</v>
      </c>
      <c r="I377" s="2">
        <v>44395</v>
      </c>
      <c r="J377" s="1">
        <v>38.31</v>
      </c>
      <c r="K377" s="1">
        <f t="shared" si="16"/>
        <v>1912.021452</v>
      </c>
      <c r="L377" s="1">
        <f t="shared" si="17"/>
        <v>3078.8985480000001</v>
      </c>
      <c r="U377">
        <v>3577.0196000000001</v>
      </c>
      <c r="X377" s="1">
        <v>1514</v>
      </c>
      <c r="Y377" s="2">
        <v>44426</v>
      </c>
      <c r="Z377" s="1" t="str">
        <v>Central</v>
      </c>
      <c r="AA377" s="1" t="str">
        <v>Chair</v>
      </c>
      <c r="AB377" s="1" t="str">
        <v>Furniture</v>
      </c>
      <c r="AC377" s="1">
        <v>4324.25</v>
      </c>
      <c r="AD377" s="1" t="str">
        <v>Sara Mayo</v>
      </c>
      <c r="AE377" s="1">
        <v>38039</v>
      </c>
      <c r="AF377" s="1">
        <v>44439</v>
      </c>
      <c r="AG377" s="1">
        <v>17.28</v>
      </c>
      <c r="AH377" s="1">
        <v>747.23040000000003</v>
      </c>
      <c r="AI377" s="1">
        <v>3577.0196000000001</v>
      </c>
    </row>
    <row r="378" spans="1:35" x14ac:dyDescent="0.35">
      <c r="A378" s="1">
        <v>1376</v>
      </c>
      <c r="B378" s="2">
        <v>45705</v>
      </c>
      <c r="C378" s="1" t="s">
        <v>10</v>
      </c>
      <c r="D378" s="1" t="s">
        <v>30</v>
      </c>
      <c r="E378" s="1" t="s">
        <v>31</v>
      </c>
      <c r="F378" s="1">
        <v>102.8</v>
      </c>
      <c r="G378" s="1" t="s">
        <v>99</v>
      </c>
      <c r="H378" s="2">
        <v>26397</v>
      </c>
      <c r="I378" s="2">
        <v>45716</v>
      </c>
      <c r="J378" s="1">
        <v>43.1</v>
      </c>
      <c r="K378" s="1">
        <f t="shared" si="16"/>
        <v>44.306799999999996</v>
      </c>
      <c r="L378" s="1">
        <f t="shared" si="17"/>
        <v>58.493200000000002</v>
      </c>
      <c r="U378">
        <v>3379.5179389999994</v>
      </c>
      <c r="X378" s="1">
        <v>1516</v>
      </c>
      <c r="Y378" s="2">
        <v>45407</v>
      </c>
      <c r="Z378" s="1" t="str">
        <v>Central</v>
      </c>
      <c r="AA378" s="1" t="str">
        <v>Chair</v>
      </c>
      <c r="AB378" s="1" t="str">
        <v>Furniture</v>
      </c>
      <c r="AC378" s="1">
        <v>4842.41</v>
      </c>
      <c r="AD378" s="1" t="str">
        <v>Zachary Anthony</v>
      </c>
      <c r="AE378" s="1">
        <v>34704</v>
      </c>
      <c r="AF378" s="1">
        <v>45416</v>
      </c>
      <c r="AG378" s="1">
        <v>30.21</v>
      </c>
      <c r="AH378" s="1">
        <v>1462.8920610000002</v>
      </c>
      <c r="AI378" s="1">
        <v>3379.5179389999994</v>
      </c>
    </row>
    <row r="379" spans="1:35" x14ac:dyDescent="0.35">
      <c r="A379" s="1">
        <v>1377</v>
      </c>
      <c r="B379" s="2">
        <v>44797</v>
      </c>
      <c r="C379" s="1" t="s">
        <v>21</v>
      </c>
      <c r="D379" s="1" t="s">
        <v>71</v>
      </c>
      <c r="E379" s="1" t="s">
        <v>31</v>
      </c>
      <c r="F379" s="1">
        <v>791.47</v>
      </c>
      <c r="G379" s="1" t="s">
        <v>220</v>
      </c>
      <c r="H379" s="2">
        <v>30755</v>
      </c>
      <c r="I379" s="2">
        <v>44800</v>
      </c>
      <c r="J379" s="1">
        <v>32.590000000000003</v>
      </c>
      <c r="K379" s="1">
        <f t="shared" si="16"/>
        <v>257.94007300000004</v>
      </c>
      <c r="L379" s="1">
        <f t="shared" si="17"/>
        <v>533.52992700000004</v>
      </c>
      <c r="U379">
        <v>1084.21398</v>
      </c>
      <c r="X379" s="1">
        <v>1518</v>
      </c>
      <c r="Y379" s="2">
        <v>44854</v>
      </c>
      <c r="Z379" s="1" t="str">
        <v>Central</v>
      </c>
      <c r="AA379" s="1" t="str">
        <v>Table</v>
      </c>
      <c r="AB379" s="1" t="str">
        <v>Furniture</v>
      </c>
      <c r="AC379" s="1">
        <v>1656.3</v>
      </c>
      <c r="AD379" s="1" t="str">
        <v>Joseph Walter</v>
      </c>
      <c r="AE379" s="1">
        <v>36329</v>
      </c>
      <c r="AF379" s="1">
        <v>44867</v>
      </c>
      <c r="AG379" s="1">
        <v>34.54</v>
      </c>
      <c r="AH379" s="1">
        <v>572.08601999999996</v>
      </c>
      <c r="AI379" s="1">
        <v>1084.21398</v>
      </c>
    </row>
    <row r="380" spans="1:35" x14ac:dyDescent="0.35">
      <c r="A380" s="1">
        <v>1378</v>
      </c>
      <c r="B380" s="2">
        <v>44166</v>
      </c>
      <c r="C380" s="1" t="s">
        <v>26</v>
      </c>
      <c r="D380" s="1" t="s">
        <v>47</v>
      </c>
      <c r="E380" s="1" t="s">
        <v>12</v>
      </c>
      <c r="F380" s="1">
        <v>2713.64</v>
      </c>
      <c r="G380" s="1" t="s">
        <v>254</v>
      </c>
      <c r="H380" s="2">
        <v>29366</v>
      </c>
      <c r="I380" s="2">
        <v>44179</v>
      </c>
      <c r="J380" s="1">
        <v>30.32</v>
      </c>
      <c r="K380" s="1">
        <f t="shared" si="16"/>
        <v>822.77564800000005</v>
      </c>
      <c r="L380" s="1">
        <f t="shared" si="17"/>
        <v>1890.8643519999998</v>
      </c>
      <c r="U380">
        <v>2691.1272060000001</v>
      </c>
      <c r="X380" s="1">
        <v>1519</v>
      </c>
      <c r="Y380" s="2">
        <v>44420</v>
      </c>
      <c r="Z380" s="1" t="str">
        <v>West</v>
      </c>
      <c r="AA380" s="1" t="str">
        <v>Football</v>
      </c>
      <c r="AB380" s="1" t="str">
        <v>Sports</v>
      </c>
      <c r="AC380" s="1">
        <v>3717.54</v>
      </c>
      <c r="AD380" s="1" t="str">
        <v>Diane Coleman</v>
      </c>
      <c r="AE380" s="1">
        <v>26001</v>
      </c>
      <c r="AF380" s="1">
        <v>44430</v>
      </c>
      <c r="AG380" s="1">
        <v>27.61</v>
      </c>
      <c r="AH380" s="1">
        <v>1026.4127940000001</v>
      </c>
      <c r="AI380" s="1">
        <v>2691.1272060000001</v>
      </c>
    </row>
    <row r="381" spans="1:35" x14ac:dyDescent="0.35">
      <c r="A381" s="1">
        <v>1379</v>
      </c>
      <c r="B381" s="2">
        <v>44358</v>
      </c>
      <c r="C381" s="1" t="s">
        <v>26</v>
      </c>
      <c r="D381" s="1" t="s">
        <v>69</v>
      </c>
      <c r="E381" s="1" t="s">
        <v>31</v>
      </c>
      <c r="F381" s="1">
        <v>3215.09</v>
      </c>
      <c r="G381" s="1" t="s">
        <v>255</v>
      </c>
      <c r="H381" s="2">
        <v>22646</v>
      </c>
      <c r="I381" s="2">
        <v>44368</v>
      </c>
      <c r="J381" s="1">
        <v>1.58</v>
      </c>
      <c r="K381" s="1">
        <f t="shared" si="16"/>
        <v>50.798422000000009</v>
      </c>
      <c r="L381" s="1">
        <f t="shared" si="17"/>
        <v>3164.2915780000003</v>
      </c>
      <c r="U381">
        <v>1405.353476</v>
      </c>
      <c r="X381" s="1">
        <v>1520</v>
      </c>
      <c r="Y381" s="2">
        <v>44433</v>
      </c>
      <c r="Z381" s="1" t="str">
        <v>East</v>
      </c>
      <c r="AA381" s="1" t="str">
        <v>Headphones</v>
      </c>
      <c r="AB381" s="1" t="str">
        <v>Electronics</v>
      </c>
      <c r="AC381" s="1">
        <v>2034.68</v>
      </c>
      <c r="AD381" s="1" t="str">
        <v>Frank Davis</v>
      </c>
      <c r="AE381" s="1">
        <v>38171</v>
      </c>
      <c r="AF381" s="1">
        <v>44443</v>
      </c>
      <c r="AG381" s="1">
        <v>30.93</v>
      </c>
      <c r="AH381" s="1">
        <v>629.32652400000006</v>
      </c>
      <c r="AI381" s="1">
        <v>1405.353476</v>
      </c>
    </row>
    <row r="382" spans="1:35" x14ac:dyDescent="0.35">
      <c r="A382" s="1">
        <v>1380</v>
      </c>
      <c r="B382" s="2">
        <v>44767</v>
      </c>
      <c r="C382" s="1" t="s">
        <v>26</v>
      </c>
      <c r="D382" s="1" t="s">
        <v>65</v>
      </c>
      <c r="E382" s="1" t="s">
        <v>19</v>
      </c>
      <c r="F382" s="1">
        <v>2690.03</v>
      </c>
      <c r="G382" s="1" t="s">
        <v>199</v>
      </c>
      <c r="H382" s="2">
        <v>25341</v>
      </c>
      <c r="I382" s="2">
        <v>44776</v>
      </c>
      <c r="J382" s="1">
        <v>33.44</v>
      </c>
      <c r="K382" s="1">
        <f t="shared" si="16"/>
        <v>899.54603199999997</v>
      </c>
      <c r="L382" s="1">
        <f t="shared" si="17"/>
        <v>1790.4839680000002</v>
      </c>
      <c r="U382">
        <v>1544.79177</v>
      </c>
      <c r="X382" s="1">
        <v>1521</v>
      </c>
      <c r="Y382" s="2">
        <v>44931</v>
      </c>
      <c r="Z382" s="1" t="str">
        <v>East</v>
      </c>
      <c r="AA382" s="1" t="str">
        <v>Table</v>
      </c>
      <c r="AB382" s="1" t="str">
        <v>Furniture</v>
      </c>
      <c r="AC382" s="1">
        <v>1919.95</v>
      </c>
      <c r="AD382" s="1" t="str">
        <v>Megan Wagner</v>
      </c>
      <c r="AE382" s="1">
        <v>29810</v>
      </c>
      <c r="AF382" s="1">
        <v>44934</v>
      </c>
      <c r="AG382" s="1">
        <v>19.54</v>
      </c>
      <c r="AH382" s="1">
        <v>375.15823</v>
      </c>
      <c r="AI382" s="1">
        <v>1544.79177</v>
      </c>
    </row>
    <row r="383" spans="1:35" x14ac:dyDescent="0.35">
      <c r="A383" s="1">
        <v>1381</v>
      </c>
      <c r="B383" s="2">
        <v>45262</v>
      </c>
      <c r="C383" s="1" t="s">
        <v>21</v>
      </c>
      <c r="D383" s="1" t="s">
        <v>44</v>
      </c>
      <c r="E383" s="1" t="s">
        <v>16</v>
      </c>
      <c r="F383" s="1">
        <v>673.16</v>
      </c>
      <c r="G383" s="1" t="s">
        <v>159</v>
      </c>
      <c r="H383" s="2">
        <v>38194</v>
      </c>
      <c r="I383" s="2">
        <v>45268</v>
      </c>
      <c r="J383" s="1">
        <v>42.27</v>
      </c>
      <c r="K383" s="1">
        <f t="shared" si="16"/>
        <v>284.54473200000001</v>
      </c>
      <c r="L383" s="1">
        <f t="shared" si="17"/>
        <v>388.61526799999996</v>
      </c>
      <c r="U383">
        <v>2508.0079799999999</v>
      </c>
      <c r="X383" s="1">
        <v>1523</v>
      </c>
      <c r="Y383" s="2">
        <v>44336</v>
      </c>
      <c r="Z383" s="1" t="str">
        <v>East</v>
      </c>
      <c r="AA383" s="1" t="str">
        <v>Sofa</v>
      </c>
      <c r="AB383" s="1" t="str">
        <v>Furniture</v>
      </c>
      <c r="AC383" s="1">
        <v>4331.62</v>
      </c>
      <c r="AD383" s="1" t="str">
        <v>Harold Williams</v>
      </c>
      <c r="AE383" s="1">
        <v>37894</v>
      </c>
      <c r="AF383" s="1">
        <v>44338</v>
      </c>
      <c r="AG383" s="1">
        <v>42.1</v>
      </c>
      <c r="AH383" s="1">
        <v>1823.61202</v>
      </c>
      <c r="AI383" s="1">
        <v>2508.0079799999999</v>
      </c>
    </row>
    <row r="384" spans="1:35" x14ac:dyDescent="0.35">
      <c r="A384" s="1">
        <v>1382</v>
      </c>
      <c r="B384" s="2">
        <v>45737</v>
      </c>
      <c r="C384" s="1" t="s">
        <v>35</v>
      </c>
      <c r="D384" s="1" t="s">
        <v>58</v>
      </c>
      <c r="E384" s="1" t="s">
        <v>31</v>
      </c>
      <c r="F384" s="1">
        <v>889.97</v>
      </c>
      <c r="G384" s="1" t="s">
        <v>245</v>
      </c>
      <c r="H384" s="2">
        <v>32205</v>
      </c>
      <c r="I384" s="2">
        <v>45749</v>
      </c>
      <c r="J384" s="1">
        <v>3.54</v>
      </c>
      <c r="K384" s="1">
        <f t="shared" si="16"/>
        <v>31.504938000000003</v>
      </c>
      <c r="L384" s="1">
        <f t="shared" si="17"/>
        <v>858.46506199999999</v>
      </c>
      <c r="U384">
        <v>2189.9416499999998</v>
      </c>
      <c r="X384" s="1">
        <v>1524</v>
      </c>
      <c r="Y384" s="2">
        <v>45705</v>
      </c>
      <c r="Z384" s="1" t="str">
        <v>South</v>
      </c>
      <c r="AA384" s="1" t="str">
        <v>Chair</v>
      </c>
      <c r="AB384" s="1" t="str">
        <v>Furniture</v>
      </c>
      <c r="AC384" s="1">
        <v>3743.49</v>
      </c>
      <c r="AD384" s="1" t="str">
        <v>Melissa Moreno</v>
      </c>
      <c r="AE384" s="1">
        <v>25579</v>
      </c>
      <c r="AF384" s="1">
        <v>45707</v>
      </c>
      <c r="AG384" s="1">
        <v>41.5</v>
      </c>
      <c r="AH384" s="1">
        <v>1553.5483499999998</v>
      </c>
      <c r="AI384" s="1">
        <v>2189.9416499999998</v>
      </c>
    </row>
    <row r="385" spans="1:35" x14ac:dyDescent="0.35">
      <c r="A385" s="1">
        <v>1383</v>
      </c>
      <c r="B385" s="2">
        <v>44672</v>
      </c>
      <c r="C385" s="1" t="s">
        <v>21</v>
      </c>
      <c r="D385" s="1" t="s">
        <v>65</v>
      </c>
      <c r="E385" s="1" t="s">
        <v>19</v>
      </c>
      <c r="F385" s="1">
        <v>1416.62</v>
      </c>
      <c r="G385" s="1" t="s">
        <v>56</v>
      </c>
      <c r="H385" s="2">
        <v>25712</v>
      </c>
      <c r="I385" s="2">
        <v>44673</v>
      </c>
      <c r="J385" s="1">
        <v>33.68</v>
      </c>
      <c r="K385" s="1">
        <f t="shared" si="16"/>
        <v>477.11761599999994</v>
      </c>
      <c r="L385" s="1">
        <f t="shared" si="17"/>
        <v>939.50238399999989</v>
      </c>
      <c r="U385">
        <v>1745.5770899999998</v>
      </c>
      <c r="X385" s="1">
        <v>1525</v>
      </c>
      <c r="Y385" s="2">
        <v>44123</v>
      </c>
      <c r="Z385" s="1" t="str">
        <v>Central</v>
      </c>
      <c r="AA385" s="1" t="str">
        <v>Basketball</v>
      </c>
      <c r="AB385" s="1" t="str">
        <v>Sports</v>
      </c>
      <c r="AC385" s="1">
        <v>2623.35</v>
      </c>
      <c r="AD385" s="1" t="str">
        <v>Kirsten Wilkins</v>
      </c>
      <c r="AE385" s="1">
        <v>25430</v>
      </c>
      <c r="AF385" s="1">
        <v>44133</v>
      </c>
      <c r="AG385" s="1">
        <v>33.46</v>
      </c>
      <c r="AH385" s="1">
        <v>877.77291000000002</v>
      </c>
      <c r="AI385" s="1">
        <v>1745.5770899999998</v>
      </c>
    </row>
    <row r="386" spans="1:35" x14ac:dyDescent="0.35">
      <c r="A386" s="1">
        <v>1384</v>
      </c>
      <c r="B386" s="2">
        <v>45185</v>
      </c>
      <c r="C386" s="1" t="s">
        <v>35</v>
      </c>
      <c r="D386" s="1" t="s">
        <v>38</v>
      </c>
      <c r="E386" s="1" t="s">
        <v>28</v>
      </c>
      <c r="F386" s="1">
        <v>699.51</v>
      </c>
      <c r="G386" s="1" t="s">
        <v>74</v>
      </c>
      <c r="H386" s="2">
        <v>31224</v>
      </c>
      <c r="I386" s="2">
        <v>45198</v>
      </c>
      <c r="J386" s="1">
        <v>6.44</v>
      </c>
      <c r="K386" s="1">
        <f t="shared" si="16"/>
        <v>45.048443999999996</v>
      </c>
      <c r="L386" s="1">
        <f t="shared" si="17"/>
        <v>654.46155599999997</v>
      </c>
      <c r="U386">
        <v>1897.1660220000001</v>
      </c>
      <c r="X386" s="1">
        <v>1527</v>
      </c>
      <c r="Y386" s="2">
        <v>44847</v>
      </c>
      <c r="Z386" s="1" t="str">
        <v>East</v>
      </c>
      <c r="AA386" s="1" t="str">
        <v>Jeans</v>
      </c>
      <c r="AB386" s="1" t="str">
        <v>Clothing</v>
      </c>
      <c r="AC386" s="1">
        <v>2401.7800000000002</v>
      </c>
      <c r="AD386" s="1" t="str">
        <v>Kathryn Allen</v>
      </c>
      <c r="AE386" s="1">
        <v>32146</v>
      </c>
      <c r="AF386" s="1">
        <v>44849</v>
      </c>
      <c r="AG386" s="1">
        <v>21.01</v>
      </c>
      <c r="AH386" s="1">
        <v>504.61397800000009</v>
      </c>
      <c r="AI386" s="1">
        <v>1897.1660220000001</v>
      </c>
    </row>
    <row r="387" spans="1:35" x14ac:dyDescent="0.35">
      <c r="A387" s="1">
        <v>1385</v>
      </c>
      <c r="B387" s="2">
        <v>44680</v>
      </c>
      <c r="C387" s="1" t="s">
        <v>26</v>
      </c>
      <c r="D387" s="1" t="s">
        <v>22</v>
      </c>
      <c r="E387" s="1" t="s">
        <v>19</v>
      </c>
      <c r="F387" s="1">
        <v>720.99</v>
      </c>
      <c r="G387" s="1" t="s">
        <v>96</v>
      </c>
      <c r="H387" s="2">
        <v>36236</v>
      </c>
      <c r="I387" s="2">
        <v>44694</v>
      </c>
      <c r="J387" s="1">
        <v>24</v>
      </c>
      <c r="K387" s="1">
        <f t="shared" ref="K387:K450" si="18">F387*J387%</f>
        <v>173.0376</v>
      </c>
      <c r="L387" s="1">
        <f t="shared" ref="L387:L450" si="19">F387-K387</f>
        <v>547.95240000000001</v>
      </c>
      <c r="U387">
        <v>2878.7088720000002</v>
      </c>
      <c r="X387" s="1">
        <v>1528</v>
      </c>
      <c r="Y387" s="2">
        <v>44800</v>
      </c>
      <c r="Z387" s="1" t="str">
        <v>Central</v>
      </c>
      <c r="AA387" s="1" t="str">
        <v>Milk</v>
      </c>
      <c r="AB387" s="1" t="str">
        <v>Groceries</v>
      </c>
      <c r="AC387" s="1">
        <v>4140.24</v>
      </c>
      <c r="AD387" s="1" t="str">
        <v>Tony Rose</v>
      </c>
      <c r="AE387" s="1">
        <v>31764</v>
      </c>
      <c r="AF387" s="1">
        <v>44810</v>
      </c>
      <c r="AG387" s="1">
        <v>30.47</v>
      </c>
      <c r="AH387" s="1">
        <v>1261.5311279999999</v>
      </c>
      <c r="AI387" s="1">
        <v>2878.7088720000002</v>
      </c>
    </row>
    <row r="388" spans="1:35" x14ac:dyDescent="0.35">
      <c r="A388" s="1">
        <v>1386</v>
      </c>
      <c r="B388" s="2">
        <v>44786</v>
      </c>
      <c r="C388" s="1" t="s">
        <v>21</v>
      </c>
      <c r="D388" s="1" t="s">
        <v>61</v>
      </c>
      <c r="E388" s="1" t="s">
        <v>19</v>
      </c>
      <c r="F388" s="1">
        <v>1559.47</v>
      </c>
      <c r="G388" s="1" t="s">
        <v>32</v>
      </c>
      <c r="H388" s="2">
        <v>27166</v>
      </c>
      <c r="I388" s="2">
        <v>44787</v>
      </c>
      <c r="J388" s="1">
        <v>21.2</v>
      </c>
      <c r="K388" s="1">
        <f t="shared" si="18"/>
        <v>330.60764</v>
      </c>
      <c r="L388" s="1">
        <f t="shared" si="19"/>
        <v>1228.8623600000001</v>
      </c>
      <c r="U388">
        <v>2511.8233919999998</v>
      </c>
      <c r="X388" s="1">
        <v>1530</v>
      </c>
      <c r="Y388" s="2">
        <v>44286</v>
      </c>
      <c r="Z388" s="1" t="str">
        <v>East</v>
      </c>
      <c r="AA388" s="1" t="str">
        <v>Laptop</v>
      </c>
      <c r="AB388" s="1" t="str">
        <v>Electronics</v>
      </c>
      <c r="AC388" s="1">
        <v>4265.28</v>
      </c>
      <c r="AD388" s="1" t="str">
        <v>Lisa Garcia</v>
      </c>
      <c r="AE388" s="1">
        <v>31578</v>
      </c>
      <c r="AF388" s="1">
        <v>44287</v>
      </c>
      <c r="AG388" s="1">
        <v>41.11</v>
      </c>
      <c r="AH388" s="1">
        <v>1753.456608</v>
      </c>
      <c r="AI388" s="1">
        <v>2511.8233919999998</v>
      </c>
    </row>
    <row r="389" spans="1:35" x14ac:dyDescent="0.35">
      <c r="A389" s="1">
        <v>1387</v>
      </c>
      <c r="B389" s="2">
        <v>45862</v>
      </c>
      <c r="C389" s="1" t="s">
        <v>35</v>
      </c>
      <c r="D389" s="1" t="s">
        <v>22</v>
      </c>
      <c r="E389" s="1" t="s">
        <v>19</v>
      </c>
      <c r="F389" s="1">
        <v>3501.39</v>
      </c>
      <c r="G389" s="1" t="s">
        <v>70</v>
      </c>
      <c r="H389" s="2">
        <v>30887</v>
      </c>
      <c r="I389" s="2">
        <v>45867</v>
      </c>
      <c r="J389" s="1">
        <v>45.42</v>
      </c>
      <c r="K389" s="1">
        <f t="shared" si="18"/>
        <v>1590.331338</v>
      </c>
      <c r="L389" s="1">
        <f t="shared" si="19"/>
        <v>1911.0586619999999</v>
      </c>
      <c r="U389">
        <v>1257.7225779999999</v>
      </c>
      <c r="X389" s="1">
        <v>1531</v>
      </c>
      <c r="Y389" s="2">
        <v>45495</v>
      </c>
      <c r="Z389" s="1" t="str">
        <v>North</v>
      </c>
      <c r="AA389" s="1" t="str">
        <v>Wardrobe</v>
      </c>
      <c r="AB389" s="1" t="str">
        <v>Furniture</v>
      </c>
      <c r="AC389" s="1">
        <v>1451.33</v>
      </c>
      <c r="AD389" s="1" t="str">
        <v>Steven Hardin</v>
      </c>
      <c r="AE389" s="1">
        <v>26155</v>
      </c>
      <c r="AF389" s="1">
        <v>45498</v>
      </c>
      <c r="AG389" s="1">
        <v>13.34</v>
      </c>
      <c r="AH389" s="1">
        <v>193.60742199999999</v>
      </c>
      <c r="AI389" s="1">
        <v>1257.7225779999999</v>
      </c>
    </row>
    <row r="390" spans="1:35" x14ac:dyDescent="0.35">
      <c r="A390" s="1">
        <v>1388</v>
      </c>
      <c r="B390" s="2">
        <v>45395</v>
      </c>
      <c r="C390" s="1" t="s">
        <v>21</v>
      </c>
      <c r="D390" s="1" t="s">
        <v>27</v>
      </c>
      <c r="E390" s="1" t="s">
        <v>28</v>
      </c>
      <c r="F390" s="1">
        <v>3118.17</v>
      </c>
      <c r="G390" s="1" t="s">
        <v>130</v>
      </c>
      <c r="H390" s="2">
        <v>38750</v>
      </c>
      <c r="I390" s="2">
        <v>45404</v>
      </c>
      <c r="J390" s="1">
        <v>8.19</v>
      </c>
      <c r="K390" s="1">
        <f t="shared" si="18"/>
        <v>255.37812300000002</v>
      </c>
      <c r="L390" s="1">
        <f t="shared" si="19"/>
        <v>2862.7918770000001</v>
      </c>
      <c r="U390">
        <v>3030.8956680000001</v>
      </c>
      <c r="X390" s="1">
        <v>1532</v>
      </c>
      <c r="Y390" s="2">
        <v>44104</v>
      </c>
      <c r="Z390" s="1" t="str">
        <v>East</v>
      </c>
      <c r="AA390" s="1" t="str">
        <v>Bed</v>
      </c>
      <c r="AB390" s="1" t="str">
        <v>Furniture</v>
      </c>
      <c r="AC390" s="1">
        <v>4840.1400000000003</v>
      </c>
      <c r="AD390" s="1" t="str">
        <v>Dale Davis</v>
      </c>
      <c r="AE390" s="1">
        <v>36645</v>
      </c>
      <c r="AF390" s="1">
        <v>44111</v>
      </c>
      <c r="AG390" s="1">
        <v>37.380000000000003</v>
      </c>
      <c r="AH390" s="1">
        <v>1809.2443320000002</v>
      </c>
      <c r="AI390" s="1">
        <v>3030.8956680000001</v>
      </c>
    </row>
    <row r="391" spans="1:35" x14ac:dyDescent="0.35">
      <c r="A391" s="1">
        <v>1389</v>
      </c>
      <c r="B391" s="2">
        <v>45137</v>
      </c>
      <c r="C391" s="1" t="s">
        <v>10</v>
      </c>
      <c r="D391" s="1" t="s">
        <v>73</v>
      </c>
      <c r="E391" s="1" t="s">
        <v>28</v>
      </c>
      <c r="F391" s="1">
        <v>2753.34</v>
      </c>
      <c r="G391" s="1" t="s">
        <v>234</v>
      </c>
      <c r="H391" s="2">
        <v>24368</v>
      </c>
      <c r="I391" s="2">
        <v>45151</v>
      </c>
      <c r="J391" s="1">
        <v>11.08</v>
      </c>
      <c r="K391" s="1">
        <f t="shared" si="18"/>
        <v>305.07007199999998</v>
      </c>
      <c r="L391" s="1">
        <f t="shared" si="19"/>
        <v>2448.2699280000002</v>
      </c>
      <c r="U391">
        <v>1469.17155</v>
      </c>
      <c r="X391" s="1">
        <v>1535</v>
      </c>
      <c r="Y391" s="2">
        <v>45849</v>
      </c>
      <c r="Z391" s="1" t="str">
        <v>East</v>
      </c>
      <c r="AA391" s="1" t="str">
        <v>Milk</v>
      </c>
      <c r="AB391" s="1" t="str">
        <v>Groceries</v>
      </c>
      <c r="AC391" s="1">
        <v>2039.1</v>
      </c>
      <c r="AD391" s="1" t="str">
        <v>Brian Carson</v>
      </c>
      <c r="AE391" s="1">
        <v>30232</v>
      </c>
      <c r="AF391" s="1">
        <v>45851</v>
      </c>
      <c r="AG391" s="1">
        <v>27.95</v>
      </c>
      <c r="AH391" s="1">
        <v>569.92844999999988</v>
      </c>
      <c r="AI391" s="1">
        <v>1469.17155</v>
      </c>
    </row>
    <row r="392" spans="1:35" x14ac:dyDescent="0.35">
      <c r="A392" s="1">
        <v>1390</v>
      </c>
      <c r="B392" s="2">
        <v>44750</v>
      </c>
      <c r="C392" s="1" t="s">
        <v>14</v>
      </c>
      <c r="D392" s="1" t="s">
        <v>44</v>
      </c>
      <c r="E392" s="1" t="s">
        <v>16</v>
      </c>
      <c r="F392" s="1">
        <v>3871.08</v>
      </c>
      <c r="G392" s="1" t="s">
        <v>119</v>
      </c>
      <c r="H392" s="2">
        <v>34954</v>
      </c>
      <c r="I392" s="2">
        <v>44755</v>
      </c>
      <c r="J392" s="1">
        <v>24.54</v>
      </c>
      <c r="K392" s="1">
        <f t="shared" si="18"/>
        <v>949.96303199999988</v>
      </c>
      <c r="L392" s="1">
        <f t="shared" si="19"/>
        <v>2921.1169680000003</v>
      </c>
      <c r="U392">
        <v>1779.4822319999998</v>
      </c>
      <c r="X392" s="1">
        <v>1536</v>
      </c>
      <c r="Y392" s="2">
        <v>44997</v>
      </c>
      <c r="Z392" s="1" t="str">
        <v>West</v>
      </c>
      <c r="AA392" s="1" t="str">
        <v>Shoes</v>
      </c>
      <c r="AB392" s="1" t="str">
        <v>Clothing</v>
      </c>
      <c r="AC392" s="1">
        <v>3137.31</v>
      </c>
      <c r="AD392" s="1" t="str">
        <v>Margaret Reynolds</v>
      </c>
      <c r="AE392" s="1">
        <v>38118</v>
      </c>
      <c r="AF392" s="1">
        <v>45008</v>
      </c>
      <c r="AG392" s="1">
        <v>43.28</v>
      </c>
      <c r="AH392" s="1">
        <v>1357.8277680000001</v>
      </c>
      <c r="AI392" s="1">
        <v>1779.4822319999998</v>
      </c>
    </row>
    <row r="393" spans="1:35" x14ac:dyDescent="0.35">
      <c r="A393" s="1">
        <v>1391</v>
      </c>
      <c r="B393" s="2">
        <v>45826</v>
      </c>
      <c r="C393" s="1" t="s">
        <v>21</v>
      </c>
      <c r="D393" s="1" t="s">
        <v>24</v>
      </c>
      <c r="E393" s="1" t="s">
        <v>19</v>
      </c>
      <c r="F393" s="1">
        <v>2487.0300000000002</v>
      </c>
      <c r="G393" s="1" t="s">
        <v>77</v>
      </c>
      <c r="H393" s="2">
        <v>38696</v>
      </c>
      <c r="I393" s="2">
        <v>45830</v>
      </c>
      <c r="J393" s="1">
        <v>16.79</v>
      </c>
      <c r="K393" s="1">
        <f t="shared" si="18"/>
        <v>417.572337</v>
      </c>
      <c r="L393" s="1">
        <f t="shared" si="19"/>
        <v>2069.4576630000001</v>
      </c>
      <c r="U393">
        <v>4541.8944000000001</v>
      </c>
      <c r="X393" s="1">
        <v>1537</v>
      </c>
      <c r="Y393" s="2">
        <v>45670</v>
      </c>
      <c r="Z393" s="1" t="str">
        <v>South</v>
      </c>
      <c r="AA393" s="1" t="str">
        <v>Headphones</v>
      </c>
      <c r="AB393" s="1" t="str">
        <v>Electronics</v>
      </c>
      <c r="AC393" s="1">
        <v>4731.1400000000003</v>
      </c>
      <c r="AD393" s="1" t="str">
        <v>Matthew Hutchinson</v>
      </c>
      <c r="AE393" s="1">
        <v>27118</v>
      </c>
      <c r="AF393" s="1">
        <v>45683</v>
      </c>
      <c r="AG393" s="1">
        <v>4</v>
      </c>
      <c r="AH393" s="1">
        <v>189.24560000000002</v>
      </c>
      <c r="AI393" s="1">
        <v>4541.8944000000001</v>
      </c>
    </row>
    <row r="394" spans="1:35" x14ac:dyDescent="0.35">
      <c r="A394" s="1">
        <v>1392</v>
      </c>
      <c r="B394" s="2">
        <v>44843</v>
      </c>
      <c r="C394" s="1" t="s">
        <v>21</v>
      </c>
      <c r="D394" s="1" t="s">
        <v>27</v>
      </c>
      <c r="E394" s="1" t="s">
        <v>28</v>
      </c>
      <c r="F394" s="1">
        <v>1105.26</v>
      </c>
      <c r="G394" s="1" t="s">
        <v>148</v>
      </c>
      <c r="H394" s="2">
        <v>22007</v>
      </c>
      <c r="I394" s="2">
        <v>44849</v>
      </c>
      <c r="J394" s="1">
        <v>43.12</v>
      </c>
      <c r="K394" s="1">
        <f t="shared" si="18"/>
        <v>476.58811199999997</v>
      </c>
      <c r="L394" s="1">
        <f t="shared" si="19"/>
        <v>628.67188800000008</v>
      </c>
      <c r="U394">
        <v>3793.6736900000001</v>
      </c>
      <c r="X394" s="1">
        <v>1538</v>
      </c>
      <c r="Y394" s="2">
        <v>45003</v>
      </c>
      <c r="Z394" s="1" t="str">
        <v>Central</v>
      </c>
      <c r="AA394" s="1" t="str">
        <v>Wardrobe</v>
      </c>
      <c r="AB394" s="1" t="str">
        <v>Furniture</v>
      </c>
      <c r="AC394" s="1">
        <v>4083.61</v>
      </c>
      <c r="AD394" s="1" t="str">
        <v>Diana Martin</v>
      </c>
      <c r="AE394" s="1">
        <v>26379</v>
      </c>
      <c r="AF394" s="1">
        <v>45017</v>
      </c>
      <c r="AG394" s="1">
        <v>7.1</v>
      </c>
      <c r="AH394" s="1">
        <v>289.93630999999999</v>
      </c>
      <c r="AI394" s="1">
        <v>3793.6736900000001</v>
      </c>
    </row>
    <row r="395" spans="1:35" x14ac:dyDescent="0.35">
      <c r="A395" s="1">
        <v>1393</v>
      </c>
      <c r="B395" s="2">
        <v>45564</v>
      </c>
      <c r="C395" s="1" t="s">
        <v>14</v>
      </c>
      <c r="D395" s="1" t="s">
        <v>30</v>
      </c>
      <c r="E395" s="1" t="s">
        <v>31</v>
      </c>
      <c r="F395" s="1">
        <v>4793.3599999999997</v>
      </c>
      <c r="G395" s="1" t="s">
        <v>85</v>
      </c>
      <c r="H395" s="2">
        <v>37236</v>
      </c>
      <c r="I395" s="2">
        <v>45573</v>
      </c>
      <c r="J395" s="1">
        <v>12.75</v>
      </c>
      <c r="K395" s="1">
        <f t="shared" si="18"/>
        <v>611.15339999999992</v>
      </c>
      <c r="L395" s="1">
        <f t="shared" si="19"/>
        <v>4182.2065999999995</v>
      </c>
      <c r="U395">
        <v>1213.48668</v>
      </c>
      <c r="X395" s="1">
        <v>1540</v>
      </c>
      <c r="Y395" s="2">
        <v>44137</v>
      </c>
      <c r="Z395" s="1" t="str">
        <v>East</v>
      </c>
      <c r="AA395" s="1" t="str">
        <v>Wardrobe</v>
      </c>
      <c r="AB395" s="1" t="str">
        <v>Furniture</v>
      </c>
      <c r="AC395" s="1">
        <v>2078.6</v>
      </c>
      <c r="AD395" s="1" t="str">
        <v>Catherine Jones</v>
      </c>
      <c r="AE395" s="1">
        <v>36037</v>
      </c>
      <c r="AF395" s="1">
        <v>44149</v>
      </c>
      <c r="AG395" s="1">
        <v>41.62</v>
      </c>
      <c r="AH395" s="1">
        <v>865.11331999999993</v>
      </c>
      <c r="AI395" s="1">
        <v>1213.48668</v>
      </c>
    </row>
    <row r="396" spans="1:35" x14ac:dyDescent="0.35">
      <c r="A396" s="1">
        <v>1394</v>
      </c>
      <c r="B396" s="2">
        <v>45042</v>
      </c>
      <c r="C396" s="1" t="s">
        <v>35</v>
      </c>
      <c r="D396" s="1" t="s">
        <v>49</v>
      </c>
      <c r="E396" s="1" t="s">
        <v>12</v>
      </c>
      <c r="F396" s="1">
        <v>356.79</v>
      </c>
      <c r="G396" s="1" t="s">
        <v>107</v>
      </c>
      <c r="H396" s="2">
        <v>26671</v>
      </c>
      <c r="I396" s="2">
        <v>45055</v>
      </c>
      <c r="J396" s="1">
        <v>14.06</v>
      </c>
      <c r="K396" s="1">
        <f t="shared" si="18"/>
        <v>50.164674000000005</v>
      </c>
      <c r="L396" s="1">
        <f t="shared" si="19"/>
        <v>306.62532600000003</v>
      </c>
      <c r="U396">
        <v>3033.3866360000002</v>
      </c>
      <c r="X396" s="1">
        <v>1541</v>
      </c>
      <c r="Y396" s="2">
        <v>45380</v>
      </c>
      <c r="Z396" s="1" t="str">
        <v>South</v>
      </c>
      <c r="AA396" s="1" t="str">
        <v>Rice</v>
      </c>
      <c r="AB396" s="1" t="str">
        <v>Groceries</v>
      </c>
      <c r="AC396" s="1">
        <v>3053.54</v>
      </c>
      <c r="AD396" s="1" t="str">
        <v>Karla Garcia</v>
      </c>
      <c r="AE396" s="1">
        <v>31331</v>
      </c>
      <c r="AF396" s="1">
        <v>45386</v>
      </c>
      <c r="AG396" s="1">
        <v>0.66</v>
      </c>
      <c r="AH396" s="1">
        <v>20.153364</v>
      </c>
      <c r="AI396" s="1">
        <v>3033.3866360000002</v>
      </c>
    </row>
    <row r="397" spans="1:35" x14ac:dyDescent="0.35">
      <c r="A397" s="1">
        <v>1395</v>
      </c>
      <c r="B397" s="2">
        <v>45651</v>
      </c>
      <c r="C397" s="1" t="s">
        <v>26</v>
      </c>
      <c r="D397" s="1" t="s">
        <v>69</v>
      </c>
      <c r="E397" s="1" t="s">
        <v>31</v>
      </c>
      <c r="F397" s="1">
        <v>2324.31</v>
      </c>
      <c r="G397" s="1" t="s">
        <v>256</v>
      </c>
      <c r="H397" s="2">
        <v>34537</v>
      </c>
      <c r="I397" s="2">
        <v>45660</v>
      </c>
      <c r="J397" s="1">
        <v>49.72</v>
      </c>
      <c r="K397" s="1">
        <f t="shared" si="18"/>
        <v>1155.6469319999999</v>
      </c>
      <c r="L397" s="1">
        <f t="shared" si="19"/>
        <v>1168.6630680000001</v>
      </c>
      <c r="U397">
        <v>3563.3582940000001</v>
      </c>
      <c r="X397" s="1">
        <v>1542</v>
      </c>
      <c r="Y397" s="2">
        <v>44107</v>
      </c>
      <c r="Z397" s="1" t="str">
        <v>Central</v>
      </c>
      <c r="AA397" s="1" t="str">
        <v>Jacket</v>
      </c>
      <c r="AB397" s="1" t="str">
        <v>Clothing</v>
      </c>
      <c r="AC397" s="1">
        <v>3842.31</v>
      </c>
      <c r="AD397" s="1" t="str">
        <v>Garrett Delgado</v>
      </c>
      <c r="AE397" s="1">
        <v>38510</v>
      </c>
      <c r="AF397" s="1">
        <v>44115</v>
      </c>
      <c r="AG397" s="1">
        <v>7.26</v>
      </c>
      <c r="AH397" s="1">
        <v>278.951706</v>
      </c>
      <c r="AI397" s="1">
        <v>3563.3582940000001</v>
      </c>
    </row>
    <row r="398" spans="1:35" x14ac:dyDescent="0.35">
      <c r="A398" s="1">
        <v>1396</v>
      </c>
      <c r="B398" s="2">
        <v>44563</v>
      </c>
      <c r="C398" s="1" t="s">
        <v>21</v>
      </c>
      <c r="D398" s="1" t="s">
        <v>24</v>
      </c>
      <c r="E398" s="1" t="s">
        <v>19</v>
      </c>
      <c r="F398" s="1">
        <v>290.12</v>
      </c>
      <c r="G398" s="1" t="s">
        <v>162</v>
      </c>
      <c r="H398" s="2">
        <v>32712</v>
      </c>
      <c r="I398" s="2">
        <v>44567</v>
      </c>
      <c r="J398" s="1">
        <v>29.2</v>
      </c>
      <c r="K398" s="1">
        <f t="shared" si="18"/>
        <v>84.715040000000002</v>
      </c>
      <c r="L398" s="1">
        <f t="shared" si="19"/>
        <v>205.40496000000002</v>
      </c>
      <c r="U398">
        <v>1837.0202040000001</v>
      </c>
      <c r="X398" s="1">
        <v>1543</v>
      </c>
      <c r="Y398" s="2">
        <v>45180</v>
      </c>
      <c r="Z398" s="1" t="str">
        <v>East</v>
      </c>
      <c r="AA398" s="1" t="str">
        <v>Oil</v>
      </c>
      <c r="AB398" s="1" t="str">
        <v>Groceries</v>
      </c>
      <c r="AC398" s="1">
        <v>3234.76</v>
      </c>
      <c r="AD398" s="1" t="str">
        <v>Marissa Johnson</v>
      </c>
      <c r="AE398" s="1">
        <v>38628</v>
      </c>
      <c r="AF398" s="1">
        <v>45184</v>
      </c>
      <c r="AG398" s="1">
        <v>43.21</v>
      </c>
      <c r="AH398" s="1">
        <v>1397.7397960000001</v>
      </c>
      <c r="AI398" s="1">
        <v>1837.0202040000001</v>
      </c>
    </row>
    <row r="399" spans="1:35" x14ac:dyDescent="0.35">
      <c r="A399" s="1">
        <v>1397</v>
      </c>
      <c r="B399" s="2">
        <v>45467</v>
      </c>
      <c r="C399" s="1" t="s">
        <v>21</v>
      </c>
      <c r="D399" s="1" t="s">
        <v>33</v>
      </c>
      <c r="E399" s="1" t="s">
        <v>16</v>
      </c>
      <c r="F399" s="1">
        <v>2922.55</v>
      </c>
      <c r="G399" s="1" t="s">
        <v>170</v>
      </c>
      <c r="H399" s="2">
        <v>34205</v>
      </c>
      <c r="I399" s="2">
        <v>45481</v>
      </c>
      <c r="J399" s="1">
        <v>25.17</v>
      </c>
      <c r="K399" s="1">
        <f t="shared" si="18"/>
        <v>735.60583500000018</v>
      </c>
      <c r="L399" s="1">
        <f t="shared" si="19"/>
        <v>2186.9441649999999</v>
      </c>
      <c r="U399">
        <v>1611.9416879999999</v>
      </c>
      <c r="X399" s="1">
        <v>1546</v>
      </c>
      <c r="Y399" s="2">
        <v>45115</v>
      </c>
      <c r="Z399" s="1" t="str">
        <v>West</v>
      </c>
      <c r="AA399" s="1" t="str">
        <v>Smartphone</v>
      </c>
      <c r="AB399" s="1" t="str">
        <v>Electronics</v>
      </c>
      <c r="AC399" s="1">
        <v>2231.37</v>
      </c>
      <c r="AD399" s="1" t="str">
        <v>Michael Robinson</v>
      </c>
      <c r="AE399" s="1">
        <v>30054</v>
      </c>
      <c r="AF399" s="1">
        <v>45119</v>
      </c>
      <c r="AG399" s="1">
        <v>27.76</v>
      </c>
      <c r="AH399" s="1">
        <v>619.42831200000001</v>
      </c>
      <c r="AI399" s="1">
        <v>1611.9416879999999</v>
      </c>
    </row>
    <row r="400" spans="1:35" x14ac:dyDescent="0.35">
      <c r="A400" s="1">
        <v>1398</v>
      </c>
      <c r="B400" s="2">
        <v>44212</v>
      </c>
      <c r="C400" s="1" t="s">
        <v>35</v>
      </c>
      <c r="D400" s="1" t="s">
        <v>88</v>
      </c>
      <c r="E400" s="1" t="s">
        <v>16</v>
      </c>
      <c r="F400" s="1">
        <v>3671.09</v>
      </c>
      <c r="G400" s="1" t="s">
        <v>112</v>
      </c>
      <c r="H400" s="2">
        <v>38171</v>
      </c>
      <c r="I400" s="2">
        <v>44225</v>
      </c>
      <c r="J400" s="1">
        <v>45.75</v>
      </c>
      <c r="K400" s="1">
        <f t="shared" si="18"/>
        <v>1679.5236750000001</v>
      </c>
      <c r="L400" s="1">
        <f t="shared" si="19"/>
        <v>1991.566325</v>
      </c>
      <c r="U400">
        <v>2440.7012649999997</v>
      </c>
      <c r="X400" s="1">
        <v>1547</v>
      </c>
      <c r="Y400" s="2">
        <v>44852</v>
      </c>
      <c r="Z400" s="1" t="str">
        <v>South</v>
      </c>
      <c r="AA400" s="1" t="str">
        <v>Football</v>
      </c>
      <c r="AB400" s="1" t="str">
        <v>Sports</v>
      </c>
      <c r="AC400" s="1">
        <v>3146.45</v>
      </c>
      <c r="AD400" s="1" t="str">
        <v>Marissa Johnson</v>
      </c>
      <c r="AE400" s="1">
        <v>38628</v>
      </c>
      <c r="AF400" s="1">
        <v>44856</v>
      </c>
      <c r="AG400" s="1">
        <v>22.43</v>
      </c>
      <c r="AH400" s="1">
        <v>705.74873500000001</v>
      </c>
      <c r="AI400" s="1">
        <v>2440.7012649999997</v>
      </c>
    </row>
    <row r="401" spans="1:35" x14ac:dyDescent="0.35">
      <c r="A401" s="1">
        <v>1399</v>
      </c>
      <c r="B401" s="2">
        <v>44519</v>
      </c>
      <c r="C401" s="1" t="s">
        <v>21</v>
      </c>
      <c r="D401" s="1" t="s">
        <v>73</v>
      </c>
      <c r="E401" s="1" t="s">
        <v>28</v>
      </c>
      <c r="F401" s="1">
        <v>2050.44</v>
      </c>
      <c r="G401" s="1" t="s">
        <v>257</v>
      </c>
      <c r="H401" s="2">
        <v>31685</v>
      </c>
      <c r="I401" s="2">
        <v>44524</v>
      </c>
      <c r="J401" s="1">
        <v>25.46</v>
      </c>
      <c r="K401" s="1">
        <f t="shared" si="18"/>
        <v>522.04202399999997</v>
      </c>
      <c r="L401" s="1">
        <f t="shared" si="19"/>
        <v>1528.3979760000002</v>
      </c>
      <c r="U401">
        <v>2068.7497349999999</v>
      </c>
      <c r="X401" s="1">
        <v>1548</v>
      </c>
      <c r="Y401" s="2">
        <v>45135</v>
      </c>
      <c r="Z401" s="1" t="str">
        <v>West</v>
      </c>
      <c r="AA401" s="1" t="str">
        <v>Tennis Racket</v>
      </c>
      <c r="AB401" s="1" t="str">
        <v>Sports</v>
      </c>
      <c r="AC401" s="1">
        <v>2867.29</v>
      </c>
      <c r="AD401" s="1" t="str">
        <v>Timothy Castaneda</v>
      </c>
      <c r="AE401" s="1">
        <v>31880</v>
      </c>
      <c r="AF401" s="1">
        <v>45144</v>
      </c>
      <c r="AG401" s="1">
        <v>27.85</v>
      </c>
      <c r="AH401" s="1">
        <v>798.54026500000009</v>
      </c>
      <c r="AI401" s="1">
        <v>2068.7497349999999</v>
      </c>
    </row>
    <row r="402" spans="1:35" x14ac:dyDescent="0.35">
      <c r="A402" s="1">
        <v>1400</v>
      </c>
      <c r="B402" s="2">
        <v>44865</v>
      </c>
      <c r="C402" s="1" t="s">
        <v>10</v>
      </c>
      <c r="D402" s="1" t="s">
        <v>88</v>
      </c>
      <c r="E402" s="1" t="s">
        <v>16</v>
      </c>
      <c r="F402" s="1">
        <v>3393.17</v>
      </c>
      <c r="G402" s="1" t="s">
        <v>258</v>
      </c>
      <c r="H402" s="2">
        <v>37946</v>
      </c>
      <c r="I402" s="2">
        <v>44873</v>
      </c>
      <c r="J402" s="1">
        <v>49.78</v>
      </c>
      <c r="K402" s="1">
        <f t="shared" si="18"/>
        <v>1689.1200260000001</v>
      </c>
      <c r="L402" s="1">
        <f t="shared" si="19"/>
        <v>1704.049974</v>
      </c>
      <c r="U402">
        <v>2854.5347340000003</v>
      </c>
      <c r="X402" s="1">
        <v>1549</v>
      </c>
      <c r="Y402" s="2">
        <v>45554</v>
      </c>
      <c r="Z402" s="1" t="str">
        <v>West</v>
      </c>
      <c r="AA402" s="1" t="str">
        <v>Shoes</v>
      </c>
      <c r="AB402" s="1" t="str">
        <v>Clothing</v>
      </c>
      <c r="AC402" s="1">
        <v>3780.34</v>
      </c>
      <c r="AD402" s="1" t="str">
        <v>Lisa Garcia</v>
      </c>
      <c r="AE402" s="1">
        <v>31578</v>
      </c>
      <c r="AF402" s="1">
        <v>45562</v>
      </c>
      <c r="AG402" s="1">
        <v>24.49</v>
      </c>
      <c r="AH402" s="1">
        <v>925.80526599999996</v>
      </c>
      <c r="AI402" s="1">
        <v>2854.5347340000003</v>
      </c>
    </row>
    <row r="403" spans="1:35" x14ac:dyDescent="0.35">
      <c r="A403" s="1">
        <v>1401</v>
      </c>
      <c r="B403" s="2">
        <v>44345</v>
      </c>
      <c r="C403" s="1" t="s">
        <v>10</v>
      </c>
      <c r="D403" s="1" t="s">
        <v>38</v>
      </c>
      <c r="E403" s="1" t="s">
        <v>28</v>
      </c>
      <c r="F403" s="1">
        <v>3686.7</v>
      </c>
      <c r="G403" s="1" t="s">
        <v>140</v>
      </c>
      <c r="H403" s="2">
        <v>24579</v>
      </c>
      <c r="I403" s="2">
        <v>44355</v>
      </c>
      <c r="J403" s="1">
        <v>4.78</v>
      </c>
      <c r="K403" s="1">
        <f t="shared" si="18"/>
        <v>176.22425999999999</v>
      </c>
      <c r="L403" s="1">
        <f t="shared" si="19"/>
        <v>3510.4757399999999</v>
      </c>
      <c r="U403">
        <v>1407.5957719999999</v>
      </c>
      <c r="X403" s="1">
        <v>1551</v>
      </c>
      <c r="Y403" s="2">
        <v>45270</v>
      </c>
      <c r="Z403" s="1" t="str">
        <v>Central</v>
      </c>
      <c r="AA403" s="1" t="str">
        <v>Camera</v>
      </c>
      <c r="AB403" s="1" t="str">
        <v>Electronics</v>
      </c>
      <c r="AC403" s="1">
        <v>2344.4299999999998</v>
      </c>
      <c r="AD403" s="1" t="str">
        <v>Danielle Blake</v>
      </c>
      <c r="AE403" s="1">
        <v>38018</v>
      </c>
      <c r="AF403" s="1">
        <v>45273</v>
      </c>
      <c r="AG403" s="1">
        <v>39.96</v>
      </c>
      <c r="AH403" s="1">
        <v>936.83422799999994</v>
      </c>
      <c r="AI403" s="1">
        <v>1407.5957719999999</v>
      </c>
    </row>
    <row r="404" spans="1:35" x14ac:dyDescent="0.35">
      <c r="A404" s="1">
        <v>1402</v>
      </c>
      <c r="B404" s="2">
        <v>45145</v>
      </c>
      <c r="C404" s="1" t="s">
        <v>10</v>
      </c>
      <c r="D404" s="1" t="s">
        <v>102</v>
      </c>
      <c r="E404" s="1" t="s">
        <v>12</v>
      </c>
      <c r="F404" s="1">
        <v>1537.76</v>
      </c>
      <c r="G404" s="1" t="s">
        <v>169</v>
      </c>
      <c r="H404" s="2">
        <v>37894</v>
      </c>
      <c r="I404" s="2">
        <v>45147</v>
      </c>
      <c r="J404" s="1">
        <v>32.08</v>
      </c>
      <c r="K404" s="1">
        <f t="shared" si="18"/>
        <v>493.31340799999998</v>
      </c>
      <c r="L404" s="1">
        <f t="shared" si="19"/>
        <v>1044.446592</v>
      </c>
      <c r="U404">
        <v>1126.571469</v>
      </c>
      <c r="X404" s="1">
        <v>1552</v>
      </c>
      <c r="Y404" s="2">
        <v>45467</v>
      </c>
      <c r="Z404" s="1" t="str">
        <v>Central</v>
      </c>
      <c r="AA404" s="1" t="str">
        <v>Table</v>
      </c>
      <c r="AB404" s="1" t="str">
        <v>Furniture</v>
      </c>
      <c r="AC404" s="1">
        <v>1735.59</v>
      </c>
      <c r="AD404" s="1" t="str">
        <v>Danielle Perry</v>
      </c>
      <c r="AE404" s="1">
        <v>37674</v>
      </c>
      <c r="AF404" s="1">
        <v>45481</v>
      </c>
      <c r="AG404" s="1">
        <v>35.090000000000003</v>
      </c>
      <c r="AH404" s="1">
        <v>609.01853100000005</v>
      </c>
      <c r="AI404" s="1">
        <v>1126.571469</v>
      </c>
    </row>
    <row r="405" spans="1:35" x14ac:dyDescent="0.35">
      <c r="A405" s="1">
        <v>1403</v>
      </c>
      <c r="B405" s="2">
        <v>44270</v>
      </c>
      <c r="C405" s="1" t="s">
        <v>26</v>
      </c>
      <c r="D405" s="1" t="s">
        <v>36</v>
      </c>
      <c r="E405" s="1" t="s">
        <v>28</v>
      </c>
      <c r="F405" s="1">
        <v>2977.52</v>
      </c>
      <c r="G405" s="1" t="s">
        <v>249</v>
      </c>
      <c r="H405" s="2">
        <v>28555</v>
      </c>
      <c r="I405" s="2">
        <v>44284</v>
      </c>
      <c r="J405" s="1">
        <v>44.42</v>
      </c>
      <c r="K405" s="1">
        <f t="shared" si="18"/>
        <v>1322.6143840000002</v>
      </c>
      <c r="L405" s="1">
        <f t="shared" si="19"/>
        <v>1654.9056159999998</v>
      </c>
      <c r="U405">
        <v>1671.3182549999999</v>
      </c>
      <c r="X405" s="1">
        <v>1553</v>
      </c>
      <c r="Y405" s="2">
        <v>44373</v>
      </c>
      <c r="Z405" s="1" t="str">
        <v>East</v>
      </c>
      <c r="AA405" s="1" t="str">
        <v>Wheat</v>
      </c>
      <c r="AB405" s="1" t="str">
        <v>Groceries</v>
      </c>
      <c r="AC405" s="1">
        <v>2287.91</v>
      </c>
      <c r="AD405" s="1" t="str">
        <v>Charles Delgado</v>
      </c>
      <c r="AE405" s="1">
        <v>29486</v>
      </c>
      <c r="AF405" s="1">
        <v>44377</v>
      </c>
      <c r="AG405" s="1">
        <v>26.95</v>
      </c>
      <c r="AH405" s="1">
        <v>616.59174499999995</v>
      </c>
      <c r="AI405" s="1">
        <v>1671.3182549999999</v>
      </c>
    </row>
    <row r="406" spans="1:35" x14ac:dyDescent="0.35">
      <c r="A406" s="1">
        <v>1404</v>
      </c>
      <c r="B406" s="2">
        <v>44971</v>
      </c>
      <c r="C406" s="1" t="s">
        <v>10</v>
      </c>
      <c r="D406" s="1" t="s">
        <v>11</v>
      </c>
      <c r="E406" s="1" t="s">
        <v>12</v>
      </c>
      <c r="F406" s="1">
        <v>4251.04</v>
      </c>
      <c r="G406" s="1" t="s">
        <v>122</v>
      </c>
      <c r="H406" s="2">
        <v>29720</v>
      </c>
      <c r="I406" s="2">
        <v>44977</v>
      </c>
      <c r="J406" s="1">
        <v>32.68</v>
      </c>
      <c r="K406" s="1">
        <f t="shared" si="18"/>
        <v>1389.2398719999999</v>
      </c>
      <c r="L406" s="1">
        <f t="shared" si="19"/>
        <v>2861.8001279999999</v>
      </c>
      <c r="U406">
        <v>1599.2692649999999</v>
      </c>
      <c r="X406" s="1">
        <v>1554</v>
      </c>
      <c r="Y406" s="2">
        <v>44493</v>
      </c>
      <c r="Z406" s="1" t="str">
        <v>South</v>
      </c>
      <c r="AA406" s="1" t="str">
        <v>Football</v>
      </c>
      <c r="AB406" s="1" t="str">
        <v>Sports</v>
      </c>
      <c r="AC406" s="1">
        <v>1994.35</v>
      </c>
      <c r="AD406" s="1" t="str">
        <v>Richard Crawford</v>
      </c>
      <c r="AE406" s="1">
        <v>36623</v>
      </c>
      <c r="AF406" s="1">
        <v>44502</v>
      </c>
      <c r="AG406" s="1">
        <v>19.809999999999999</v>
      </c>
      <c r="AH406" s="1">
        <v>395.080735</v>
      </c>
      <c r="AI406" s="1">
        <v>1599.2692649999999</v>
      </c>
    </row>
    <row r="407" spans="1:35" x14ac:dyDescent="0.35">
      <c r="A407" s="1">
        <v>1405</v>
      </c>
      <c r="B407" s="2">
        <v>45710</v>
      </c>
      <c r="C407" s="1" t="s">
        <v>21</v>
      </c>
      <c r="D407" s="1" t="s">
        <v>55</v>
      </c>
      <c r="E407" s="1" t="s">
        <v>31</v>
      </c>
      <c r="F407" s="1">
        <v>2107.34</v>
      </c>
      <c r="G407" s="1" t="s">
        <v>254</v>
      </c>
      <c r="H407" s="2">
        <v>29366</v>
      </c>
      <c r="I407" s="2">
        <v>45720</v>
      </c>
      <c r="J407" s="1">
        <v>49.22</v>
      </c>
      <c r="K407" s="1">
        <f t="shared" si="18"/>
        <v>1037.2327479999999</v>
      </c>
      <c r="L407" s="1">
        <f t="shared" si="19"/>
        <v>1070.1072520000002</v>
      </c>
      <c r="U407">
        <v>1027.9658880000002</v>
      </c>
      <c r="X407" s="1">
        <v>1555</v>
      </c>
      <c r="Y407" s="2">
        <v>45185</v>
      </c>
      <c r="Z407" s="1" t="str">
        <v>East</v>
      </c>
      <c r="AA407" s="1" t="str">
        <v>Chair</v>
      </c>
      <c r="AB407" s="1" t="str">
        <v>Furniture</v>
      </c>
      <c r="AC407" s="1">
        <v>1096.3800000000001</v>
      </c>
      <c r="AD407" s="1" t="str">
        <v>Kevin Rosario</v>
      </c>
      <c r="AE407" s="1">
        <v>36012</v>
      </c>
      <c r="AF407" s="1">
        <v>45195</v>
      </c>
      <c r="AG407" s="1">
        <v>6.24</v>
      </c>
      <c r="AH407" s="1">
        <v>68.414112000000017</v>
      </c>
      <c r="AI407" s="1">
        <v>1027.9658880000002</v>
      </c>
    </row>
    <row r="408" spans="1:35" x14ac:dyDescent="0.35">
      <c r="A408" s="1">
        <v>1406</v>
      </c>
      <c r="B408" s="2">
        <v>45428</v>
      </c>
      <c r="C408" s="1" t="s">
        <v>21</v>
      </c>
      <c r="D408" s="1" t="s">
        <v>69</v>
      </c>
      <c r="E408" s="1" t="s">
        <v>31</v>
      </c>
      <c r="F408" s="1">
        <v>644.87</v>
      </c>
      <c r="G408" s="1" t="s">
        <v>259</v>
      </c>
      <c r="H408" s="2">
        <v>29938</v>
      </c>
      <c r="I408" s="2">
        <v>45437</v>
      </c>
      <c r="J408" s="1">
        <v>43.54</v>
      </c>
      <c r="K408" s="1">
        <f t="shared" si="18"/>
        <v>280.77639800000003</v>
      </c>
      <c r="L408" s="1">
        <f t="shared" si="19"/>
        <v>364.09360199999998</v>
      </c>
      <c r="U408">
        <v>3656.9354640000001</v>
      </c>
      <c r="X408" s="1">
        <v>1557</v>
      </c>
      <c r="Y408" s="2">
        <v>45717</v>
      </c>
      <c r="Z408" s="1" t="str">
        <v>North</v>
      </c>
      <c r="AA408" s="1" t="str">
        <v>Tennis Racket</v>
      </c>
      <c r="AB408" s="1" t="str">
        <v>Sports</v>
      </c>
      <c r="AC408" s="1">
        <v>4784.0600000000004</v>
      </c>
      <c r="AD408" s="1" t="str">
        <v>Amanda West</v>
      </c>
      <c r="AE408" s="1">
        <v>30356</v>
      </c>
      <c r="AF408" s="1">
        <v>45729</v>
      </c>
      <c r="AG408" s="1">
        <v>23.56</v>
      </c>
      <c r="AH408" s="1">
        <v>1127.124536</v>
      </c>
      <c r="AI408" s="1">
        <v>3656.9354640000001</v>
      </c>
    </row>
    <row r="409" spans="1:35" x14ac:dyDescent="0.35">
      <c r="A409" s="1">
        <v>1407</v>
      </c>
      <c r="B409" s="2">
        <v>45775</v>
      </c>
      <c r="C409" s="1" t="s">
        <v>10</v>
      </c>
      <c r="D409" s="1" t="s">
        <v>44</v>
      </c>
      <c r="E409" s="1" t="s">
        <v>16</v>
      </c>
      <c r="F409" s="1">
        <v>4875.7700000000004</v>
      </c>
      <c r="G409" s="1" t="s">
        <v>25</v>
      </c>
      <c r="H409" s="2">
        <v>33386</v>
      </c>
      <c r="I409" s="2">
        <v>45786</v>
      </c>
      <c r="J409" s="1">
        <v>7.58</v>
      </c>
      <c r="K409" s="1">
        <f t="shared" si="18"/>
        <v>369.58336600000007</v>
      </c>
      <c r="L409" s="1">
        <f t="shared" si="19"/>
        <v>4506.1866340000006</v>
      </c>
      <c r="U409">
        <v>1692.3454400000001</v>
      </c>
      <c r="X409" s="1">
        <v>1559</v>
      </c>
      <c r="Y409" s="2">
        <v>44310</v>
      </c>
      <c r="Z409" s="1" t="str">
        <v>East</v>
      </c>
      <c r="AA409" s="1" t="str">
        <v>Table</v>
      </c>
      <c r="AB409" s="1" t="str">
        <v>Furniture</v>
      </c>
      <c r="AC409" s="1">
        <v>2973.2</v>
      </c>
      <c r="AD409" s="1" t="str">
        <v>Alicia Campbell</v>
      </c>
      <c r="AE409" s="1">
        <v>33984</v>
      </c>
      <c r="AF409" s="1">
        <v>44312</v>
      </c>
      <c r="AG409" s="1">
        <v>43.08</v>
      </c>
      <c r="AH409" s="1">
        <v>1280.8545599999998</v>
      </c>
      <c r="AI409" s="1">
        <v>1692.3454400000001</v>
      </c>
    </row>
    <row r="410" spans="1:35" x14ac:dyDescent="0.35">
      <c r="A410" s="1">
        <v>1408</v>
      </c>
      <c r="B410" s="2">
        <v>44816</v>
      </c>
      <c r="C410" s="1" t="s">
        <v>21</v>
      </c>
      <c r="D410" s="1" t="s">
        <v>38</v>
      </c>
      <c r="E410" s="1" t="s">
        <v>28</v>
      </c>
      <c r="F410" s="1">
        <v>571.20000000000005</v>
      </c>
      <c r="G410" s="1" t="s">
        <v>231</v>
      </c>
      <c r="H410" s="2">
        <v>32047</v>
      </c>
      <c r="I410" s="2">
        <v>44825</v>
      </c>
      <c r="J410" s="1">
        <v>37.200000000000003</v>
      </c>
      <c r="K410" s="1">
        <f t="shared" si="18"/>
        <v>212.48640000000006</v>
      </c>
      <c r="L410" s="1">
        <f t="shared" si="19"/>
        <v>358.71359999999999</v>
      </c>
      <c r="U410">
        <v>3914.2715560000006</v>
      </c>
      <c r="X410" s="1">
        <v>1561</v>
      </c>
      <c r="Y410" s="2">
        <v>44315</v>
      </c>
      <c r="Z410" s="1" t="str">
        <v>East</v>
      </c>
      <c r="AA410" s="1" t="str">
        <v>Bed</v>
      </c>
      <c r="AB410" s="1" t="str">
        <v>Furniture</v>
      </c>
      <c r="AC410" s="1">
        <v>4446.5200000000004</v>
      </c>
      <c r="AD410" s="1" t="str">
        <v>Caitlin Crane</v>
      </c>
      <c r="AE410" s="1">
        <v>33332</v>
      </c>
      <c r="AF410" s="1">
        <v>44318</v>
      </c>
      <c r="AG410" s="1">
        <v>11.97</v>
      </c>
      <c r="AH410" s="1">
        <v>532.24844400000006</v>
      </c>
      <c r="AI410" s="1">
        <v>3914.2715560000006</v>
      </c>
    </row>
    <row r="411" spans="1:35" x14ac:dyDescent="0.35">
      <c r="A411" s="1">
        <v>1409</v>
      </c>
      <c r="B411" s="2">
        <v>45235</v>
      </c>
      <c r="C411" s="1" t="s">
        <v>21</v>
      </c>
      <c r="D411" s="1" t="s">
        <v>61</v>
      </c>
      <c r="E411" s="1" t="s">
        <v>19</v>
      </c>
      <c r="F411" s="1">
        <v>2000.28</v>
      </c>
      <c r="G411" s="1" t="s">
        <v>260</v>
      </c>
      <c r="H411" s="2">
        <v>38628</v>
      </c>
      <c r="I411" s="2">
        <v>45237</v>
      </c>
      <c r="J411" s="1">
        <v>37.200000000000003</v>
      </c>
      <c r="K411" s="1">
        <f t="shared" si="18"/>
        <v>744.10416000000009</v>
      </c>
      <c r="L411" s="1">
        <f t="shared" si="19"/>
        <v>1256.1758399999999</v>
      </c>
      <c r="U411">
        <v>4256.5025340000002</v>
      </c>
      <c r="X411" s="1">
        <v>1562</v>
      </c>
      <c r="Y411" s="2">
        <v>44212</v>
      </c>
      <c r="Z411" s="1" t="str">
        <v>South</v>
      </c>
      <c r="AA411" s="1" t="str">
        <v>Headphones</v>
      </c>
      <c r="AB411" s="1" t="str">
        <v>Electronics</v>
      </c>
      <c r="AC411" s="1">
        <v>4265.46</v>
      </c>
      <c r="AD411" s="1" t="str">
        <v>William Stewart</v>
      </c>
      <c r="AE411" s="1">
        <v>33626</v>
      </c>
      <c r="AF411" s="1">
        <v>44223</v>
      </c>
      <c r="AG411" s="1">
        <v>0.21</v>
      </c>
      <c r="AH411" s="1">
        <v>8.9574660000000002</v>
      </c>
      <c r="AI411" s="1">
        <v>4256.5025340000002</v>
      </c>
    </row>
    <row r="412" spans="1:35" x14ac:dyDescent="0.35">
      <c r="A412" s="1">
        <v>1410</v>
      </c>
      <c r="B412" s="2">
        <v>44170</v>
      </c>
      <c r="C412" s="1" t="s">
        <v>26</v>
      </c>
      <c r="D412" s="1" t="s">
        <v>102</v>
      </c>
      <c r="E412" s="1" t="s">
        <v>12</v>
      </c>
      <c r="F412" s="1">
        <v>3107.81</v>
      </c>
      <c r="G412" s="1" t="s">
        <v>108</v>
      </c>
      <c r="H412" s="2">
        <v>33413</v>
      </c>
      <c r="I412" s="2">
        <v>44184</v>
      </c>
      <c r="J412" s="1">
        <v>27.37</v>
      </c>
      <c r="K412" s="1">
        <f t="shared" si="18"/>
        <v>850.60759699999994</v>
      </c>
      <c r="L412" s="1">
        <f t="shared" si="19"/>
        <v>2257.2024030000002</v>
      </c>
      <c r="U412">
        <v>2213.8842</v>
      </c>
      <c r="X412" s="1">
        <v>1563</v>
      </c>
      <c r="Y412" s="2">
        <v>44096</v>
      </c>
      <c r="Z412" s="1" t="str">
        <v>West</v>
      </c>
      <c r="AA412" s="1" t="str">
        <v>Chair</v>
      </c>
      <c r="AB412" s="1" t="str">
        <v>Furniture</v>
      </c>
      <c r="AC412" s="1">
        <v>3498</v>
      </c>
      <c r="AD412" s="1" t="str">
        <v>Christina Bennett</v>
      </c>
      <c r="AE412" s="1">
        <v>36120</v>
      </c>
      <c r="AF412" s="1">
        <v>44109</v>
      </c>
      <c r="AG412" s="1">
        <v>36.71</v>
      </c>
      <c r="AH412" s="1">
        <v>1284.1158</v>
      </c>
      <c r="AI412" s="1">
        <v>2213.8842</v>
      </c>
    </row>
    <row r="413" spans="1:35" x14ac:dyDescent="0.35">
      <c r="A413" s="1">
        <v>1411</v>
      </c>
      <c r="B413" s="2">
        <v>45077</v>
      </c>
      <c r="C413" s="1" t="s">
        <v>21</v>
      </c>
      <c r="D413" s="1" t="s">
        <v>69</v>
      </c>
      <c r="E413" s="1" t="s">
        <v>12</v>
      </c>
      <c r="F413" s="1">
        <v>3792.39</v>
      </c>
      <c r="G413" s="1" t="s">
        <v>194</v>
      </c>
      <c r="H413" s="2">
        <v>22210</v>
      </c>
      <c r="I413" s="2">
        <v>45080</v>
      </c>
      <c r="J413" s="1">
        <v>10.57</v>
      </c>
      <c r="K413" s="1">
        <f t="shared" si="18"/>
        <v>400.85562299999998</v>
      </c>
      <c r="L413" s="1">
        <f t="shared" si="19"/>
        <v>3391.5343769999999</v>
      </c>
      <c r="U413">
        <v>1312.169496</v>
      </c>
      <c r="X413" s="1">
        <v>1564</v>
      </c>
      <c r="Y413" s="2">
        <v>44837</v>
      </c>
      <c r="Z413" s="1" t="str">
        <v>North</v>
      </c>
      <c r="AA413" s="1" t="str">
        <v>Eggs</v>
      </c>
      <c r="AB413" s="1" t="str">
        <v>Groceries</v>
      </c>
      <c r="AC413" s="1">
        <v>1713.91</v>
      </c>
      <c r="AD413" s="1" t="str">
        <v>Harry Holmes</v>
      </c>
      <c r="AE413" s="1">
        <v>25712</v>
      </c>
      <c r="AF413" s="1">
        <v>44841</v>
      </c>
      <c r="AG413" s="1">
        <v>23.44</v>
      </c>
      <c r="AH413" s="1">
        <v>401.74050400000004</v>
      </c>
      <c r="AI413" s="1">
        <v>1312.169496</v>
      </c>
    </row>
    <row r="414" spans="1:35" x14ac:dyDescent="0.35">
      <c r="A414" s="1">
        <v>1412</v>
      </c>
      <c r="B414" s="2">
        <v>45075</v>
      </c>
      <c r="C414" s="1" t="s">
        <v>21</v>
      </c>
      <c r="D414" s="1" t="s">
        <v>88</v>
      </c>
      <c r="E414" s="1" t="s">
        <v>16</v>
      </c>
      <c r="F414" s="1">
        <v>4759.97</v>
      </c>
      <c r="G414" s="1" t="s">
        <v>261</v>
      </c>
      <c r="H414" s="2">
        <v>23920</v>
      </c>
      <c r="I414" s="2">
        <v>45084</v>
      </c>
      <c r="J414" s="1">
        <v>15.69</v>
      </c>
      <c r="K414" s="1">
        <f t="shared" si="18"/>
        <v>746.839293</v>
      </c>
      <c r="L414" s="1">
        <f t="shared" si="19"/>
        <v>4013.1307070000003</v>
      </c>
      <c r="U414">
        <v>2814.7612289999997</v>
      </c>
      <c r="X414" s="1">
        <v>1565</v>
      </c>
      <c r="Y414" s="2">
        <v>44649</v>
      </c>
      <c r="Z414" s="1" t="str">
        <v>South</v>
      </c>
      <c r="AA414" s="1" t="str">
        <v>Bed</v>
      </c>
      <c r="AB414" s="1" t="str">
        <v>Furniture</v>
      </c>
      <c r="AC414" s="1">
        <v>4205.53</v>
      </c>
      <c r="AD414" s="1" t="str">
        <v>Donald Mckenzie</v>
      </c>
      <c r="AE414" s="1">
        <v>33482</v>
      </c>
      <c r="AF414" s="1">
        <v>44660</v>
      </c>
      <c r="AG414" s="1">
        <v>33.07</v>
      </c>
      <c r="AH414" s="1">
        <v>1390.7687709999998</v>
      </c>
      <c r="AI414" s="1">
        <v>2814.7612289999997</v>
      </c>
    </row>
    <row r="415" spans="1:35" x14ac:dyDescent="0.35">
      <c r="A415" s="1">
        <v>1413</v>
      </c>
      <c r="B415" s="2">
        <v>45701</v>
      </c>
      <c r="C415" s="1" t="s">
        <v>14</v>
      </c>
      <c r="D415" s="1" t="s">
        <v>102</v>
      </c>
      <c r="E415" s="1" t="s">
        <v>12</v>
      </c>
      <c r="F415" s="1">
        <v>981.46</v>
      </c>
      <c r="G415" s="1" t="s">
        <v>42</v>
      </c>
      <c r="H415" s="2">
        <v>26027</v>
      </c>
      <c r="I415" s="2">
        <v>45707</v>
      </c>
      <c r="J415" s="1">
        <v>36.18</v>
      </c>
      <c r="K415" s="1">
        <f t="shared" si="18"/>
        <v>355.09222800000003</v>
      </c>
      <c r="L415" s="1">
        <f t="shared" si="19"/>
        <v>626.36777200000006</v>
      </c>
      <c r="U415">
        <v>1430.6540100000002</v>
      </c>
      <c r="X415" s="1">
        <v>1566</v>
      </c>
      <c r="Y415" s="2">
        <v>45022</v>
      </c>
      <c r="Z415" s="1" t="str">
        <v>West</v>
      </c>
      <c r="AA415" s="1" t="str">
        <v>Bed</v>
      </c>
      <c r="AB415" s="1" t="str">
        <v>Furniture</v>
      </c>
      <c r="AC415" s="1">
        <v>1608.38</v>
      </c>
      <c r="AD415" s="1" t="str">
        <v>Bradley Martinez</v>
      </c>
      <c r="AE415" s="1">
        <v>39045</v>
      </c>
      <c r="AF415" s="1">
        <v>45029</v>
      </c>
      <c r="AG415" s="1">
        <v>11.05</v>
      </c>
      <c r="AH415" s="1">
        <v>177.72599000000002</v>
      </c>
      <c r="AI415" s="1">
        <v>1430.6540100000002</v>
      </c>
    </row>
    <row r="416" spans="1:35" x14ac:dyDescent="0.35">
      <c r="A416" s="1">
        <v>1414</v>
      </c>
      <c r="B416" s="2">
        <v>44253</v>
      </c>
      <c r="C416" s="1" t="s">
        <v>14</v>
      </c>
      <c r="D416" s="1" t="s">
        <v>27</v>
      </c>
      <c r="E416" s="1" t="s">
        <v>28</v>
      </c>
      <c r="F416" s="1">
        <v>2570.37</v>
      </c>
      <c r="G416" s="1" t="s">
        <v>262</v>
      </c>
      <c r="H416" s="2">
        <v>36590</v>
      </c>
      <c r="I416" s="2">
        <v>44256</v>
      </c>
      <c r="J416" s="1">
        <v>12.84</v>
      </c>
      <c r="K416" s="1">
        <f t="shared" si="18"/>
        <v>330.03550799999994</v>
      </c>
      <c r="L416" s="1">
        <f t="shared" si="19"/>
        <v>2240.334492</v>
      </c>
      <c r="U416">
        <v>3647.7296190000002</v>
      </c>
      <c r="X416" s="1">
        <v>1567</v>
      </c>
      <c r="Y416" s="2">
        <v>44130</v>
      </c>
      <c r="Z416" s="1" t="str">
        <v>Central</v>
      </c>
      <c r="AA416" s="1" t="str">
        <v>T-Shirt</v>
      </c>
      <c r="AB416" s="1" t="str">
        <v>Clothing</v>
      </c>
      <c r="AC416" s="1">
        <v>4057.09</v>
      </c>
      <c r="AD416" s="1" t="str">
        <v>Timothy Castaneda</v>
      </c>
      <c r="AE416" s="1">
        <v>31880</v>
      </c>
      <c r="AF416" s="1">
        <v>44137</v>
      </c>
      <c r="AG416" s="1">
        <v>10.09</v>
      </c>
      <c r="AH416" s="1">
        <v>409.36038100000002</v>
      </c>
      <c r="AI416" s="1">
        <v>3647.7296190000002</v>
      </c>
    </row>
    <row r="417" spans="1:35" x14ac:dyDescent="0.35">
      <c r="A417" s="1">
        <v>1415</v>
      </c>
      <c r="B417" s="2">
        <v>44729</v>
      </c>
      <c r="C417" s="1" t="s">
        <v>10</v>
      </c>
      <c r="D417" s="1" t="s">
        <v>11</v>
      </c>
      <c r="E417" s="1" t="s">
        <v>12</v>
      </c>
      <c r="F417" s="1">
        <v>2414.83</v>
      </c>
      <c r="G417" s="1" t="s">
        <v>142</v>
      </c>
      <c r="H417" s="2">
        <v>29541</v>
      </c>
      <c r="I417" s="2">
        <v>44736</v>
      </c>
      <c r="J417" s="1">
        <v>5</v>
      </c>
      <c r="K417" s="1">
        <f t="shared" si="18"/>
        <v>120.7415</v>
      </c>
      <c r="L417" s="1">
        <f t="shared" si="19"/>
        <v>2294.0884999999998</v>
      </c>
      <c r="U417">
        <v>2185.4313199999997</v>
      </c>
      <c r="X417" s="1">
        <v>1568</v>
      </c>
      <c r="Y417" s="2">
        <v>45202</v>
      </c>
      <c r="Z417" s="1" t="str">
        <v>West</v>
      </c>
      <c r="AA417" s="1" t="str">
        <v>Football</v>
      </c>
      <c r="AB417" s="1" t="str">
        <v>Sports</v>
      </c>
      <c r="AC417" s="1">
        <v>4062.14</v>
      </c>
      <c r="AD417" s="1" t="str">
        <v>Brittany Ayala</v>
      </c>
      <c r="AE417" s="1">
        <v>25103</v>
      </c>
      <c r="AF417" s="1">
        <v>45205</v>
      </c>
      <c r="AG417" s="1">
        <v>46.2</v>
      </c>
      <c r="AH417" s="1">
        <v>1876.70868</v>
      </c>
      <c r="AI417" s="1">
        <v>2185.4313199999997</v>
      </c>
    </row>
    <row r="418" spans="1:35" x14ac:dyDescent="0.35">
      <c r="A418" s="1">
        <v>1416</v>
      </c>
      <c r="B418" s="2">
        <v>44685</v>
      </c>
      <c r="C418" s="1" t="s">
        <v>10</v>
      </c>
      <c r="D418" s="1" t="s">
        <v>33</v>
      </c>
      <c r="E418" s="1" t="s">
        <v>16</v>
      </c>
      <c r="F418" s="1">
        <v>1422.31</v>
      </c>
      <c r="G418" s="1" t="s">
        <v>74</v>
      </c>
      <c r="H418" s="2">
        <v>31224</v>
      </c>
      <c r="I418" s="2">
        <v>44694</v>
      </c>
      <c r="J418" s="1">
        <v>24.91</v>
      </c>
      <c r="K418" s="1">
        <f t="shared" si="18"/>
        <v>354.29742099999999</v>
      </c>
      <c r="L418" s="1">
        <f t="shared" si="19"/>
        <v>1068.012579</v>
      </c>
      <c r="U418">
        <v>2360.1484380000002</v>
      </c>
      <c r="X418" s="1">
        <v>1569</v>
      </c>
      <c r="Y418" s="2">
        <v>45147</v>
      </c>
      <c r="Z418" s="1" t="str">
        <v>East</v>
      </c>
      <c r="AA418" s="1" t="str">
        <v>Sofa</v>
      </c>
      <c r="AB418" s="1" t="str">
        <v>Furniture</v>
      </c>
      <c r="AC418" s="1">
        <v>3171.39</v>
      </c>
      <c r="AD418" s="1" t="str">
        <v>Charles Sandoval</v>
      </c>
      <c r="AE418" s="1">
        <v>35410</v>
      </c>
      <c r="AF418" s="1">
        <v>45153</v>
      </c>
      <c r="AG418" s="1">
        <v>25.58</v>
      </c>
      <c r="AH418" s="1">
        <v>811.24156199999993</v>
      </c>
      <c r="AI418" s="1">
        <v>2360.1484380000002</v>
      </c>
    </row>
    <row r="419" spans="1:35" x14ac:dyDescent="0.35">
      <c r="A419" s="1">
        <v>1417</v>
      </c>
      <c r="B419" s="2">
        <v>45723</v>
      </c>
      <c r="C419" s="1" t="s">
        <v>26</v>
      </c>
      <c r="D419" s="1" t="s">
        <v>71</v>
      </c>
      <c r="E419" s="1" t="s">
        <v>31</v>
      </c>
      <c r="F419" s="1">
        <v>4028.63</v>
      </c>
      <c r="G419" s="1" t="s">
        <v>257</v>
      </c>
      <c r="H419" s="2">
        <v>31685</v>
      </c>
      <c r="I419" s="2">
        <v>45728</v>
      </c>
      <c r="J419" s="1">
        <v>12.49</v>
      </c>
      <c r="K419" s="1">
        <f t="shared" si="18"/>
        <v>503.17588699999999</v>
      </c>
      <c r="L419" s="1">
        <f t="shared" si="19"/>
        <v>3525.4541130000002</v>
      </c>
      <c r="U419">
        <v>2476.8737729999998</v>
      </c>
      <c r="X419" s="1">
        <v>1570</v>
      </c>
      <c r="Y419" s="2">
        <v>45406</v>
      </c>
      <c r="Z419" s="1" t="str">
        <v>East</v>
      </c>
      <c r="AA419" s="1" t="str">
        <v>Cap</v>
      </c>
      <c r="AB419" s="1" t="str">
        <v>Clothing</v>
      </c>
      <c r="AC419" s="1">
        <v>2853.87</v>
      </c>
      <c r="AD419" s="1" t="str">
        <v>David Blevins</v>
      </c>
      <c r="AE419" s="1">
        <v>30410</v>
      </c>
      <c r="AF419" s="1">
        <v>45411</v>
      </c>
      <c r="AG419" s="1">
        <v>13.21</v>
      </c>
      <c r="AH419" s="1">
        <v>376.99622699999998</v>
      </c>
      <c r="AI419" s="1">
        <v>2476.8737729999998</v>
      </c>
    </row>
    <row r="420" spans="1:35" x14ac:dyDescent="0.35">
      <c r="A420" s="1">
        <v>1418</v>
      </c>
      <c r="B420" s="2">
        <v>44703</v>
      </c>
      <c r="C420" s="1" t="s">
        <v>26</v>
      </c>
      <c r="D420" s="1" t="s">
        <v>38</v>
      </c>
      <c r="E420" s="1" t="s">
        <v>28</v>
      </c>
      <c r="F420" s="1">
        <v>2352.2399999999998</v>
      </c>
      <c r="G420" s="1" t="s">
        <v>149</v>
      </c>
      <c r="H420" s="2">
        <v>26155</v>
      </c>
      <c r="I420" s="2">
        <v>44712</v>
      </c>
      <c r="J420" s="1">
        <v>34.43</v>
      </c>
      <c r="K420" s="1">
        <f t="shared" si="18"/>
        <v>809.87623199999996</v>
      </c>
      <c r="L420" s="1">
        <f t="shared" si="19"/>
        <v>1542.3637679999997</v>
      </c>
      <c r="U420">
        <v>4155.9064709999993</v>
      </c>
      <c r="X420" s="1">
        <v>1571</v>
      </c>
      <c r="Y420" s="2">
        <v>44079</v>
      </c>
      <c r="Z420" s="1" t="str">
        <v>West</v>
      </c>
      <c r="AA420" s="1" t="str">
        <v>Wheat</v>
      </c>
      <c r="AB420" s="1" t="str">
        <v>Groceries</v>
      </c>
      <c r="AC420" s="1">
        <v>4690.1099999999997</v>
      </c>
      <c r="AD420" s="1" t="str">
        <v>Adam Martinez</v>
      </c>
      <c r="AE420" s="1">
        <v>22599</v>
      </c>
      <c r="AF420" s="1">
        <v>44082</v>
      </c>
      <c r="AG420" s="1">
        <v>11.39</v>
      </c>
      <c r="AH420" s="1">
        <v>534.203529</v>
      </c>
      <c r="AI420" s="1">
        <v>4155.9064709999993</v>
      </c>
    </row>
    <row r="421" spans="1:35" x14ac:dyDescent="0.35">
      <c r="A421" s="1">
        <v>1419</v>
      </c>
      <c r="B421" s="2">
        <v>44665</v>
      </c>
      <c r="C421" s="1" t="s">
        <v>10</v>
      </c>
      <c r="D421" s="1" t="s">
        <v>102</v>
      </c>
      <c r="E421" s="1" t="s">
        <v>12</v>
      </c>
      <c r="F421" s="1">
        <v>3084.03</v>
      </c>
      <c r="G421" s="1" t="s">
        <v>56</v>
      </c>
      <c r="H421" s="2">
        <v>25712</v>
      </c>
      <c r="I421" s="2">
        <v>44678</v>
      </c>
      <c r="J421" s="1">
        <v>21.74</v>
      </c>
      <c r="K421" s="1">
        <f t="shared" si="18"/>
        <v>670.46812199999999</v>
      </c>
      <c r="L421" s="1">
        <f t="shared" si="19"/>
        <v>2413.5618780000004</v>
      </c>
      <c r="U421">
        <v>2532.3108480000001</v>
      </c>
      <c r="X421" s="1">
        <v>1573</v>
      </c>
      <c r="Y421" s="2">
        <v>45595</v>
      </c>
      <c r="Z421" s="1" t="str">
        <v>Central</v>
      </c>
      <c r="AA421" s="1" t="str">
        <v>Rice</v>
      </c>
      <c r="AB421" s="1" t="str">
        <v>Groceries</v>
      </c>
      <c r="AC421" s="1">
        <v>3658.88</v>
      </c>
      <c r="AD421" s="1" t="str">
        <v>Antonio David</v>
      </c>
      <c r="AE421" s="1">
        <v>24580</v>
      </c>
      <c r="AF421" s="1">
        <v>45598</v>
      </c>
      <c r="AG421" s="1">
        <v>30.79</v>
      </c>
      <c r="AH421" s="1">
        <v>1126.569152</v>
      </c>
      <c r="AI421" s="1">
        <v>2532.3108480000001</v>
      </c>
    </row>
    <row r="422" spans="1:35" x14ac:dyDescent="0.35">
      <c r="A422" s="1">
        <v>1420</v>
      </c>
      <c r="B422" s="2">
        <v>44202</v>
      </c>
      <c r="C422" s="1" t="s">
        <v>26</v>
      </c>
      <c r="D422" s="1" t="s">
        <v>71</v>
      </c>
      <c r="E422" s="1" t="s">
        <v>31</v>
      </c>
      <c r="F422" s="1">
        <v>4802.88</v>
      </c>
      <c r="G422" s="1" t="s">
        <v>263</v>
      </c>
      <c r="H422" s="2">
        <v>35629</v>
      </c>
      <c r="I422" s="2">
        <v>44212</v>
      </c>
      <c r="J422" s="1">
        <v>16.18</v>
      </c>
      <c r="K422" s="1">
        <f t="shared" si="18"/>
        <v>777.10598400000003</v>
      </c>
      <c r="L422" s="1">
        <f t="shared" si="19"/>
        <v>4025.7740160000003</v>
      </c>
      <c r="U422">
        <v>1923.7215120000001</v>
      </c>
      <c r="X422" s="1">
        <v>1574</v>
      </c>
      <c r="Y422" s="2">
        <v>44420</v>
      </c>
      <c r="Z422" s="1" t="str">
        <v>North</v>
      </c>
      <c r="AA422" s="1" t="str">
        <v>Wardrobe</v>
      </c>
      <c r="AB422" s="1" t="str">
        <v>Furniture</v>
      </c>
      <c r="AC422" s="1">
        <v>3509.16</v>
      </c>
      <c r="AD422" s="1" t="str">
        <v>Jenna Campbell</v>
      </c>
      <c r="AE422" s="1">
        <v>34220</v>
      </c>
      <c r="AF422" s="1">
        <v>44431</v>
      </c>
      <c r="AG422" s="1">
        <v>45.18</v>
      </c>
      <c r="AH422" s="1">
        <v>1585.4384879999998</v>
      </c>
      <c r="AI422" s="1">
        <v>1923.7215120000001</v>
      </c>
    </row>
    <row r="423" spans="1:35" x14ac:dyDescent="0.35">
      <c r="A423" s="1">
        <v>1421</v>
      </c>
      <c r="B423" s="2">
        <v>44184</v>
      </c>
      <c r="C423" s="1" t="s">
        <v>26</v>
      </c>
      <c r="D423" s="1" t="s">
        <v>58</v>
      </c>
      <c r="E423" s="1" t="s">
        <v>31</v>
      </c>
      <c r="F423" s="1">
        <v>301.72000000000003</v>
      </c>
      <c r="G423" s="1" t="s">
        <v>192</v>
      </c>
      <c r="H423" s="2">
        <v>33626</v>
      </c>
      <c r="I423" s="2">
        <v>44192</v>
      </c>
      <c r="J423" s="1">
        <v>35.22</v>
      </c>
      <c r="K423" s="1">
        <f t="shared" si="18"/>
        <v>106.26578400000001</v>
      </c>
      <c r="L423" s="1">
        <f t="shared" si="19"/>
        <v>195.45421600000003</v>
      </c>
      <c r="U423">
        <v>1643.610189</v>
      </c>
      <c r="X423" s="1">
        <v>1577</v>
      </c>
      <c r="Y423" s="2">
        <v>44397</v>
      </c>
      <c r="Z423" s="1" t="str">
        <v>West</v>
      </c>
      <c r="AA423" s="1" t="str">
        <v>Smartphone</v>
      </c>
      <c r="AB423" s="1" t="str">
        <v>Electronics</v>
      </c>
      <c r="AC423" s="1">
        <v>2793.83</v>
      </c>
      <c r="AD423" s="1" t="str">
        <v>Shannon Foster</v>
      </c>
      <c r="AE423" s="1">
        <v>31386</v>
      </c>
      <c r="AF423" s="1">
        <v>44407</v>
      </c>
      <c r="AG423" s="1">
        <v>41.17</v>
      </c>
      <c r="AH423" s="1">
        <v>1150.2198109999999</v>
      </c>
      <c r="AI423" s="1">
        <v>1643.610189</v>
      </c>
    </row>
    <row r="424" spans="1:35" x14ac:dyDescent="0.35">
      <c r="A424" s="1">
        <v>1422</v>
      </c>
      <c r="B424" s="2">
        <v>45535</v>
      </c>
      <c r="C424" s="1" t="s">
        <v>35</v>
      </c>
      <c r="D424" s="1" t="s">
        <v>73</v>
      </c>
      <c r="E424" s="1" t="s">
        <v>28</v>
      </c>
      <c r="F424" s="1">
        <v>3938.25</v>
      </c>
      <c r="G424" s="1" t="s">
        <v>101</v>
      </c>
      <c r="H424" s="2">
        <v>31331</v>
      </c>
      <c r="I424" s="2">
        <v>45542</v>
      </c>
      <c r="J424" s="1">
        <v>13.5</v>
      </c>
      <c r="K424" s="1">
        <f t="shared" si="18"/>
        <v>531.66375000000005</v>
      </c>
      <c r="L424" s="1">
        <f t="shared" si="19"/>
        <v>3406.5862499999998</v>
      </c>
      <c r="U424">
        <v>1093.2029440000001</v>
      </c>
      <c r="X424" s="1">
        <v>1578</v>
      </c>
      <c r="Y424" s="2">
        <v>45821</v>
      </c>
      <c r="Z424" s="1" t="str">
        <v>South</v>
      </c>
      <c r="AA424" s="1" t="str">
        <v>Cap</v>
      </c>
      <c r="AB424" s="1" t="str">
        <v>Clothing</v>
      </c>
      <c r="AC424" s="1">
        <v>1162.24</v>
      </c>
      <c r="AD424" s="1" t="str">
        <v>Lisa Bray MD</v>
      </c>
      <c r="AE424" s="1">
        <v>33413</v>
      </c>
      <c r="AF424" s="1">
        <v>45824</v>
      </c>
      <c r="AG424" s="1">
        <v>5.94</v>
      </c>
      <c r="AH424" s="1">
        <v>69.037056000000007</v>
      </c>
      <c r="AI424" s="1">
        <v>1093.2029440000001</v>
      </c>
    </row>
    <row r="425" spans="1:35" x14ac:dyDescent="0.35">
      <c r="A425" s="1">
        <v>1423</v>
      </c>
      <c r="B425" s="2">
        <v>44794</v>
      </c>
      <c r="C425" s="1" t="s">
        <v>21</v>
      </c>
      <c r="D425" s="1" t="s">
        <v>11</v>
      </c>
      <c r="E425" s="1" t="s">
        <v>12</v>
      </c>
      <c r="F425" s="1">
        <v>3839.42</v>
      </c>
      <c r="G425" s="1" t="s">
        <v>264</v>
      </c>
      <c r="H425" s="2">
        <v>30232</v>
      </c>
      <c r="I425" s="2">
        <v>44795</v>
      </c>
      <c r="J425" s="1">
        <v>15.27</v>
      </c>
      <c r="K425" s="1">
        <f t="shared" si="18"/>
        <v>586.27943400000004</v>
      </c>
      <c r="L425" s="1">
        <f t="shared" si="19"/>
        <v>3253.140566</v>
      </c>
      <c r="U425">
        <v>1674.4526799999999</v>
      </c>
      <c r="X425" s="1">
        <v>1579</v>
      </c>
      <c r="Y425" s="2">
        <v>45282</v>
      </c>
      <c r="Z425" s="1" t="str">
        <v>South</v>
      </c>
      <c r="AA425" s="1" t="str">
        <v>Tablet</v>
      </c>
      <c r="AB425" s="1" t="str">
        <v>Electronics</v>
      </c>
      <c r="AC425" s="1">
        <v>2127.64</v>
      </c>
      <c r="AD425" s="1" t="str">
        <v>Lisa Smith</v>
      </c>
      <c r="AE425" s="1">
        <v>26484</v>
      </c>
      <c r="AF425" s="1">
        <v>45287</v>
      </c>
      <c r="AG425" s="1">
        <v>21.3</v>
      </c>
      <c r="AH425" s="1">
        <v>453.18731999999994</v>
      </c>
      <c r="AI425" s="1">
        <v>1674.4526799999999</v>
      </c>
    </row>
    <row r="426" spans="1:35" x14ac:dyDescent="0.35">
      <c r="A426" s="1">
        <v>1424</v>
      </c>
      <c r="B426" s="2">
        <v>45879</v>
      </c>
      <c r="C426" s="1" t="s">
        <v>10</v>
      </c>
      <c r="D426" s="1" t="s">
        <v>22</v>
      </c>
      <c r="E426" s="1" t="s">
        <v>19</v>
      </c>
      <c r="F426" s="1">
        <v>1786.83</v>
      </c>
      <c r="G426" s="1" t="s">
        <v>237</v>
      </c>
      <c r="H426" s="2">
        <v>27455</v>
      </c>
      <c r="I426" s="2">
        <v>45891</v>
      </c>
      <c r="J426" s="1">
        <v>9.4</v>
      </c>
      <c r="K426" s="1">
        <f t="shared" si="18"/>
        <v>167.96202</v>
      </c>
      <c r="L426" s="1">
        <f t="shared" si="19"/>
        <v>1618.86798</v>
      </c>
      <c r="U426">
        <v>2504.276445</v>
      </c>
      <c r="X426" s="1">
        <v>1580</v>
      </c>
      <c r="Y426" s="2">
        <v>44976</v>
      </c>
      <c r="Z426" s="1" t="str">
        <v>Central</v>
      </c>
      <c r="AA426" s="1" t="str">
        <v>Eggs</v>
      </c>
      <c r="AB426" s="1" t="str">
        <v>Groceries</v>
      </c>
      <c r="AC426" s="1">
        <v>3313.85</v>
      </c>
      <c r="AD426" s="1" t="str">
        <v>Jean Garza</v>
      </c>
      <c r="AE426" s="1">
        <v>25863</v>
      </c>
      <c r="AF426" s="1">
        <v>44990</v>
      </c>
      <c r="AG426" s="1">
        <v>24.43</v>
      </c>
      <c r="AH426" s="1">
        <v>809.57355499999994</v>
      </c>
      <c r="AI426" s="1">
        <v>2504.276445</v>
      </c>
    </row>
    <row r="427" spans="1:35" x14ac:dyDescent="0.35">
      <c r="A427" s="1">
        <v>1425</v>
      </c>
      <c r="B427" s="2">
        <v>45191</v>
      </c>
      <c r="C427" s="1" t="s">
        <v>14</v>
      </c>
      <c r="D427" s="1" t="s">
        <v>69</v>
      </c>
      <c r="E427" s="1" t="s">
        <v>12</v>
      </c>
      <c r="F427" s="1">
        <v>1466.2</v>
      </c>
      <c r="G427" s="1" t="s">
        <v>176</v>
      </c>
      <c r="H427" s="2">
        <v>33282</v>
      </c>
      <c r="I427" s="2">
        <v>45199</v>
      </c>
      <c r="J427" s="1">
        <v>47.85</v>
      </c>
      <c r="K427" s="1">
        <f t="shared" si="18"/>
        <v>701.57670000000007</v>
      </c>
      <c r="L427" s="1">
        <f t="shared" si="19"/>
        <v>764.62329999999997</v>
      </c>
      <c r="U427">
        <v>3405.361449</v>
      </c>
      <c r="X427" s="1">
        <v>1582</v>
      </c>
      <c r="Y427" s="2">
        <v>45808</v>
      </c>
      <c r="Z427" s="1" t="str">
        <v>North</v>
      </c>
      <c r="AA427" s="1" t="str">
        <v>Shoes</v>
      </c>
      <c r="AB427" s="1" t="str">
        <v>Sports</v>
      </c>
      <c r="AC427" s="1">
        <v>4511.01</v>
      </c>
      <c r="AD427" s="1" t="str">
        <v>Danielle Holloway</v>
      </c>
      <c r="AE427" s="1">
        <v>26282</v>
      </c>
      <c r="AF427" s="1">
        <v>45812</v>
      </c>
      <c r="AG427" s="1">
        <v>24.51</v>
      </c>
      <c r="AH427" s="1">
        <v>1105.648551</v>
      </c>
      <c r="AI427" s="1">
        <v>3405.361449</v>
      </c>
    </row>
    <row r="428" spans="1:35" x14ac:dyDescent="0.35">
      <c r="A428" s="1">
        <v>1426</v>
      </c>
      <c r="B428" s="2">
        <v>45399</v>
      </c>
      <c r="C428" s="1" t="s">
        <v>10</v>
      </c>
      <c r="D428" s="1" t="s">
        <v>38</v>
      </c>
      <c r="E428" s="1" t="s">
        <v>28</v>
      </c>
      <c r="F428" s="1">
        <v>4168.8999999999996</v>
      </c>
      <c r="G428" s="1" t="s">
        <v>265</v>
      </c>
      <c r="H428" s="2">
        <v>38899</v>
      </c>
      <c r="I428" s="2">
        <v>45402</v>
      </c>
      <c r="J428" s="1">
        <v>10.38</v>
      </c>
      <c r="K428" s="1">
        <f t="shared" si="18"/>
        <v>432.73181999999997</v>
      </c>
      <c r="L428" s="1">
        <f t="shared" si="19"/>
        <v>3736.1681799999997</v>
      </c>
      <c r="U428">
        <v>1789.200184</v>
      </c>
      <c r="X428" s="1">
        <v>1583</v>
      </c>
      <c r="Y428" s="2">
        <v>45423</v>
      </c>
      <c r="Z428" s="1" t="str">
        <v>South</v>
      </c>
      <c r="AA428" s="1" t="str">
        <v>Cap</v>
      </c>
      <c r="AB428" s="1" t="str">
        <v>Clothing</v>
      </c>
      <c r="AC428" s="1">
        <v>3081.64</v>
      </c>
      <c r="AD428" s="1" t="str">
        <v>Mrs. Rebecca Young</v>
      </c>
      <c r="AE428" s="1">
        <v>30820</v>
      </c>
      <c r="AF428" s="1">
        <v>45430</v>
      </c>
      <c r="AG428" s="1">
        <v>41.94</v>
      </c>
      <c r="AH428" s="1">
        <v>1292.4398159999998</v>
      </c>
      <c r="AI428" s="1">
        <v>1789.200184</v>
      </c>
    </row>
    <row r="429" spans="1:35" x14ac:dyDescent="0.35">
      <c r="A429" s="1">
        <v>1427</v>
      </c>
      <c r="B429" s="2">
        <v>45010</v>
      </c>
      <c r="C429" s="1" t="s">
        <v>21</v>
      </c>
      <c r="D429" s="1" t="s">
        <v>15</v>
      </c>
      <c r="E429" s="1" t="s">
        <v>16</v>
      </c>
      <c r="F429" s="1">
        <v>4059.43</v>
      </c>
      <c r="G429" s="1" t="s">
        <v>233</v>
      </c>
      <c r="H429" s="2">
        <v>38826</v>
      </c>
      <c r="I429" s="2">
        <v>45014</v>
      </c>
      <c r="J429" s="1">
        <v>30.89</v>
      </c>
      <c r="K429" s="1">
        <f t="shared" si="18"/>
        <v>1253.9579269999999</v>
      </c>
      <c r="L429" s="1">
        <f t="shared" si="19"/>
        <v>2805.4720729999999</v>
      </c>
      <c r="U429">
        <v>2228.5812639999999</v>
      </c>
      <c r="X429" s="1">
        <v>1584</v>
      </c>
      <c r="Y429" s="2">
        <v>44929</v>
      </c>
      <c r="Z429" s="1" t="str">
        <v>West</v>
      </c>
      <c r="AA429" s="1" t="str">
        <v>Milk</v>
      </c>
      <c r="AB429" s="1" t="str">
        <v>Groceries</v>
      </c>
      <c r="AC429" s="1">
        <v>2668.64</v>
      </c>
      <c r="AD429" s="1" t="str">
        <v>Brian Lee</v>
      </c>
      <c r="AE429" s="1">
        <v>23735</v>
      </c>
      <c r="AF429" s="1">
        <v>44932</v>
      </c>
      <c r="AG429" s="1">
        <v>16.489999999999998</v>
      </c>
      <c r="AH429" s="1">
        <v>440.05873599999995</v>
      </c>
      <c r="AI429" s="1">
        <v>2228.5812639999999</v>
      </c>
    </row>
    <row r="430" spans="1:35" x14ac:dyDescent="0.35">
      <c r="A430" s="1">
        <v>1428</v>
      </c>
      <c r="B430" s="2">
        <v>44404</v>
      </c>
      <c r="C430" s="1" t="s">
        <v>21</v>
      </c>
      <c r="D430" s="1" t="s">
        <v>38</v>
      </c>
      <c r="E430" s="1" t="s">
        <v>28</v>
      </c>
      <c r="F430" s="1">
        <v>463.95</v>
      </c>
      <c r="G430" s="1" t="s">
        <v>242</v>
      </c>
      <c r="H430" s="2">
        <v>21785</v>
      </c>
      <c r="I430" s="2">
        <v>44413</v>
      </c>
      <c r="J430" s="1">
        <v>49.28</v>
      </c>
      <c r="K430" s="1">
        <f t="shared" si="18"/>
        <v>228.63455999999999</v>
      </c>
      <c r="L430" s="1">
        <f t="shared" si="19"/>
        <v>235.31544</v>
      </c>
      <c r="U430">
        <v>3400.31142</v>
      </c>
      <c r="X430" s="1">
        <v>1585</v>
      </c>
      <c r="Y430" s="2">
        <v>45316</v>
      </c>
      <c r="Z430" s="1" t="str">
        <v>Central</v>
      </c>
      <c r="AA430" s="1" t="str">
        <v>Headphones</v>
      </c>
      <c r="AB430" s="1" t="str">
        <v>Electronics</v>
      </c>
      <c r="AC430" s="1">
        <v>3581.16</v>
      </c>
      <c r="AD430" s="1" t="str">
        <v>Amber Shaw</v>
      </c>
      <c r="AE430" s="1">
        <v>25341</v>
      </c>
      <c r="AF430" s="1">
        <v>45323</v>
      </c>
      <c r="AG430" s="1">
        <v>5.05</v>
      </c>
      <c r="AH430" s="1">
        <v>180.84857999999997</v>
      </c>
      <c r="AI430" s="1">
        <v>3400.31142</v>
      </c>
    </row>
    <row r="431" spans="1:35" x14ac:dyDescent="0.35">
      <c r="A431" s="1">
        <v>1429</v>
      </c>
      <c r="B431" s="2">
        <v>44536</v>
      </c>
      <c r="C431" s="1" t="s">
        <v>10</v>
      </c>
      <c r="D431" s="1" t="s">
        <v>24</v>
      </c>
      <c r="E431" s="1" t="s">
        <v>19</v>
      </c>
      <c r="F431" s="1">
        <v>4025.44</v>
      </c>
      <c r="G431" s="1" t="s">
        <v>266</v>
      </c>
      <c r="H431" s="2">
        <v>32604</v>
      </c>
      <c r="I431" s="2">
        <v>44543</v>
      </c>
      <c r="J431" s="1">
        <v>4.45</v>
      </c>
      <c r="K431" s="1">
        <f t="shared" si="18"/>
        <v>179.13208000000003</v>
      </c>
      <c r="L431" s="1">
        <f t="shared" si="19"/>
        <v>3846.3079200000002</v>
      </c>
      <c r="U431">
        <v>2988.5233560000001</v>
      </c>
      <c r="X431" s="1">
        <v>1587</v>
      </c>
      <c r="Y431" s="2">
        <v>44896</v>
      </c>
      <c r="Z431" s="1" t="str">
        <v>Central</v>
      </c>
      <c r="AA431" s="1" t="str">
        <v>Cap</v>
      </c>
      <c r="AB431" s="1" t="str">
        <v>Clothing</v>
      </c>
      <c r="AC431" s="1">
        <v>3073.98</v>
      </c>
      <c r="AD431" s="1" t="str">
        <v>Andrew Weaver</v>
      </c>
      <c r="AE431" s="1">
        <v>33394</v>
      </c>
      <c r="AF431" s="1">
        <v>44899</v>
      </c>
      <c r="AG431" s="1">
        <v>2.78</v>
      </c>
      <c r="AH431" s="1">
        <v>85.456643999999997</v>
      </c>
      <c r="AI431" s="1">
        <v>2988.5233560000001</v>
      </c>
    </row>
    <row r="432" spans="1:35" x14ac:dyDescent="0.35">
      <c r="A432" s="1">
        <v>1430</v>
      </c>
      <c r="B432" s="2">
        <v>44099</v>
      </c>
      <c r="C432" s="1" t="s">
        <v>26</v>
      </c>
      <c r="D432" s="1" t="s">
        <v>30</v>
      </c>
      <c r="E432" s="1" t="s">
        <v>31</v>
      </c>
      <c r="F432" s="1">
        <v>2610.56</v>
      </c>
      <c r="G432" s="1" t="s">
        <v>112</v>
      </c>
      <c r="H432" s="2">
        <v>38171</v>
      </c>
      <c r="I432" s="2">
        <v>44113</v>
      </c>
      <c r="J432" s="1">
        <v>40.700000000000003</v>
      </c>
      <c r="K432" s="1">
        <f t="shared" si="18"/>
        <v>1062.49792</v>
      </c>
      <c r="L432" s="1">
        <f t="shared" si="19"/>
        <v>1548.0620799999999</v>
      </c>
      <c r="U432">
        <v>2393.0096919999996</v>
      </c>
      <c r="X432" s="1">
        <v>1588</v>
      </c>
      <c r="Y432" s="2">
        <v>44612</v>
      </c>
      <c r="Z432" s="1" t="str">
        <v>Central</v>
      </c>
      <c r="AA432" s="1" t="str">
        <v>Eggs</v>
      </c>
      <c r="AB432" s="1" t="str">
        <v>Groceries</v>
      </c>
      <c r="AC432" s="1">
        <v>2770.97</v>
      </c>
      <c r="AD432" s="1" t="str">
        <v>Juan White</v>
      </c>
      <c r="AE432" s="1">
        <v>35321</v>
      </c>
      <c r="AF432" s="1">
        <v>44621</v>
      </c>
      <c r="AG432" s="1">
        <v>13.64</v>
      </c>
      <c r="AH432" s="1">
        <v>377.96030799999994</v>
      </c>
      <c r="AI432" s="1">
        <v>2393.0096919999996</v>
      </c>
    </row>
    <row r="433" spans="1:35" x14ac:dyDescent="0.35">
      <c r="A433" s="1">
        <v>1431</v>
      </c>
      <c r="B433" s="2">
        <v>44784</v>
      </c>
      <c r="C433" s="1" t="s">
        <v>10</v>
      </c>
      <c r="D433" s="1" t="s">
        <v>33</v>
      </c>
      <c r="E433" s="1" t="s">
        <v>16</v>
      </c>
      <c r="F433" s="1">
        <v>1991.8</v>
      </c>
      <c r="G433" s="1" t="s">
        <v>80</v>
      </c>
      <c r="H433" s="2">
        <v>31578</v>
      </c>
      <c r="I433" s="2">
        <v>44787</v>
      </c>
      <c r="J433" s="1">
        <v>41.42</v>
      </c>
      <c r="K433" s="1">
        <f t="shared" si="18"/>
        <v>825.00355999999999</v>
      </c>
      <c r="L433" s="1">
        <f t="shared" si="19"/>
        <v>1166.7964400000001</v>
      </c>
      <c r="U433">
        <v>2260.5448800000004</v>
      </c>
      <c r="X433" s="1">
        <v>1589</v>
      </c>
      <c r="Y433" s="2">
        <v>45390</v>
      </c>
      <c r="Z433" s="1" t="str">
        <v>South</v>
      </c>
      <c r="AA433" s="1" t="str">
        <v>Shoes</v>
      </c>
      <c r="AB433" s="1" t="str">
        <v>Clothing</v>
      </c>
      <c r="AC433" s="1">
        <v>2776.4</v>
      </c>
      <c r="AD433" s="1" t="str">
        <v>Tracy Moore</v>
      </c>
      <c r="AE433" s="1">
        <v>33282</v>
      </c>
      <c r="AF433" s="1">
        <v>45392</v>
      </c>
      <c r="AG433" s="1">
        <v>18.579999999999998</v>
      </c>
      <c r="AH433" s="1">
        <v>515.85511999999994</v>
      </c>
      <c r="AI433" s="1">
        <v>2260.5448800000004</v>
      </c>
    </row>
    <row r="434" spans="1:35" x14ac:dyDescent="0.35">
      <c r="A434" s="1">
        <v>1432</v>
      </c>
      <c r="B434" s="2">
        <v>45165</v>
      </c>
      <c r="C434" s="1" t="s">
        <v>21</v>
      </c>
      <c r="D434" s="1" t="s">
        <v>44</v>
      </c>
      <c r="E434" s="1" t="s">
        <v>16</v>
      </c>
      <c r="F434" s="1">
        <v>2141.4499999999998</v>
      </c>
      <c r="G434" s="1" t="s">
        <v>180</v>
      </c>
      <c r="H434" s="2">
        <v>25163</v>
      </c>
      <c r="I434" s="2">
        <v>45172</v>
      </c>
      <c r="J434" s="1">
        <v>24.38</v>
      </c>
      <c r="K434" s="1">
        <f t="shared" si="18"/>
        <v>522.08550999999989</v>
      </c>
      <c r="L434" s="1">
        <f t="shared" si="19"/>
        <v>1619.3644899999999</v>
      </c>
      <c r="U434">
        <v>4180.9869239999998</v>
      </c>
      <c r="X434" s="1">
        <v>1593</v>
      </c>
      <c r="Y434" s="2">
        <v>45688</v>
      </c>
      <c r="Z434" s="1" t="str">
        <v>East</v>
      </c>
      <c r="AA434" s="1" t="str">
        <v>Table</v>
      </c>
      <c r="AB434" s="1" t="str">
        <v>Furniture</v>
      </c>
      <c r="AC434" s="1">
        <v>4679.8599999999997</v>
      </c>
      <c r="AD434" s="1" t="str">
        <v>Derek Boyle</v>
      </c>
      <c r="AE434" s="1">
        <v>27534</v>
      </c>
      <c r="AF434" s="1">
        <v>45692</v>
      </c>
      <c r="AG434" s="1">
        <v>10.66</v>
      </c>
      <c r="AH434" s="1">
        <v>498.87307599999997</v>
      </c>
      <c r="AI434" s="1">
        <v>4180.9869239999998</v>
      </c>
    </row>
    <row r="435" spans="1:35" x14ac:dyDescent="0.35">
      <c r="A435" s="1">
        <v>1433</v>
      </c>
      <c r="B435" s="2">
        <v>45420</v>
      </c>
      <c r="C435" s="1" t="s">
        <v>10</v>
      </c>
      <c r="D435" s="1" t="s">
        <v>102</v>
      </c>
      <c r="E435" s="1" t="s">
        <v>12</v>
      </c>
      <c r="F435" s="1">
        <v>4125.3100000000004</v>
      </c>
      <c r="G435" s="1" t="s">
        <v>23</v>
      </c>
      <c r="H435" s="2">
        <v>38378</v>
      </c>
      <c r="I435" s="2">
        <v>45427</v>
      </c>
      <c r="J435" s="1">
        <v>30.7</v>
      </c>
      <c r="K435" s="1">
        <f t="shared" si="18"/>
        <v>1266.4701700000001</v>
      </c>
      <c r="L435" s="1">
        <f t="shared" si="19"/>
        <v>2858.8398300000003</v>
      </c>
      <c r="U435">
        <v>1700.2429499999998</v>
      </c>
      <c r="X435" s="1">
        <v>1594</v>
      </c>
      <c r="Y435" s="2">
        <v>44911</v>
      </c>
      <c r="Z435" s="1" t="str">
        <v>Central</v>
      </c>
      <c r="AA435" s="1" t="str">
        <v>Oil</v>
      </c>
      <c r="AB435" s="1" t="str">
        <v>Groceries</v>
      </c>
      <c r="AC435" s="1">
        <v>2530.5</v>
      </c>
      <c r="AD435" s="1" t="str">
        <v>Andrew Weaver</v>
      </c>
      <c r="AE435" s="1">
        <v>33394</v>
      </c>
      <c r="AF435" s="1">
        <v>44917</v>
      </c>
      <c r="AG435" s="1">
        <v>32.81</v>
      </c>
      <c r="AH435" s="1">
        <v>830.25705000000005</v>
      </c>
      <c r="AI435" s="1">
        <v>1700.2429499999998</v>
      </c>
    </row>
    <row r="436" spans="1:35" x14ac:dyDescent="0.35">
      <c r="A436" s="1">
        <v>1434</v>
      </c>
      <c r="B436" s="2">
        <v>44065</v>
      </c>
      <c r="C436" s="1" t="s">
        <v>14</v>
      </c>
      <c r="D436" s="1" t="s">
        <v>18</v>
      </c>
      <c r="E436" s="1" t="s">
        <v>19</v>
      </c>
      <c r="F436" s="1">
        <v>3630.47</v>
      </c>
      <c r="G436" s="1" t="s">
        <v>229</v>
      </c>
      <c r="H436" s="2">
        <v>37783</v>
      </c>
      <c r="I436" s="2">
        <v>44074</v>
      </c>
      <c r="J436" s="1">
        <v>46.55</v>
      </c>
      <c r="K436" s="1">
        <f t="shared" si="18"/>
        <v>1689.9837849999999</v>
      </c>
      <c r="L436" s="1">
        <f t="shared" si="19"/>
        <v>1940.4862149999999</v>
      </c>
      <c r="U436">
        <v>1808.354912</v>
      </c>
      <c r="X436" s="1">
        <v>1596</v>
      </c>
      <c r="Y436" s="2">
        <v>45749</v>
      </c>
      <c r="Z436" s="1" t="str">
        <v>Central</v>
      </c>
      <c r="AA436" s="1" t="str">
        <v>Cap</v>
      </c>
      <c r="AB436" s="1" t="str">
        <v>Clothing</v>
      </c>
      <c r="AC436" s="1">
        <v>3280.76</v>
      </c>
      <c r="AD436" s="1" t="str">
        <v>Shannon Foster</v>
      </c>
      <c r="AE436" s="1">
        <v>31386</v>
      </c>
      <c r="AF436" s="1">
        <v>45763</v>
      </c>
      <c r="AG436" s="1">
        <v>44.88</v>
      </c>
      <c r="AH436" s="1">
        <v>1472.4050880000002</v>
      </c>
      <c r="AI436" s="1">
        <v>1808.354912</v>
      </c>
    </row>
    <row r="437" spans="1:35" x14ac:dyDescent="0.35">
      <c r="A437" s="1">
        <v>1435</v>
      </c>
      <c r="B437" s="2">
        <v>45366</v>
      </c>
      <c r="C437" s="1" t="s">
        <v>10</v>
      </c>
      <c r="D437" s="1" t="s">
        <v>38</v>
      </c>
      <c r="E437" s="1" t="s">
        <v>28</v>
      </c>
      <c r="F437" s="1">
        <v>3093.12</v>
      </c>
      <c r="G437" s="1" t="s">
        <v>89</v>
      </c>
      <c r="H437" s="2">
        <v>37141</v>
      </c>
      <c r="I437" s="2">
        <v>45369</v>
      </c>
      <c r="J437" s="1">
        <v>20.13</v>
      </c>
      <c r="K437" s="1">
        <f t="shared" si="18"/>
        <v>622.64505599999995</v>
      </c>
      <c r="L437" s="1">
        <f t="shared" si="19"/>
        <v>2470.4749440000001</v>
      </c>
      <c r="U437">
        <v>4692.152</v>
      </c>
      <c r="X437" s="1">
        <v>1597</v>
      </c>
      <c r="Y437" s="2">
        <v>45427</v>
      </c>
      <c r="Z437" s="1" t="str">
        <v>South</v>
      </c>
      <c r="AA437" s="1" t="str">
        <v>Bed</v>
      </c>
      <c r="AB437" s="1" t="str">
        <v>Furniture</v>
      </c>
      <c r="AC437" s="1">
        <v>4720</v>
      </c>
      <c r="AD437" s="1" t="str">
        <v>Beth Landry</v>
      </c>
      <c r="AE437" s="1">
        <v>34954</v>
      </c>
      <c r="AF437" s="1">
        <v>45439</v>
      </c>
      <c r="AG437" s="1">
        <v>0.59</v>
      </c>
      <c r="AH437" s="1">
        <v>27.847999999999999</v>
      </c>
      <c r="AI437" s="1">
        <v>4692.152</v>
      </c>
    </row>
    <row r="438" spans="1:35" x14ac:dyDescent="0.35">
      <c r="A438" s="1">
        <v>1436</v>
      </c>
      <c r="B438" s="2">
        <v>45341</v>
      </c>
      <c r="C438" s="1" t="s">
        <v>21</v>
      </c>
      <c r="D438" s="1" t="s">
        <v>11</v>
      </c>
      <c r="E438" s="1" t="s">
        <v>12</v>
      </c>
      <c r="F438" s="1">
        <v>2804.68</v>
      </c>
      <c r="G438" s="1" t="s">
        <v>231</v>
      </c>
      <c r="H438" s="2">
        <v>32047</v>
      </c>
      <c r="I438" s="2">
        <v>45353</v>
      </c>
      <c r="J438" s="1">
        <v>27.26</v>
      </c>
      <c r="K438" s="1">
        <f t="shared" si="18"/>
        <v>764.55576799999994</v>
      </c>
      <c r="L438" s="1">
        <f t="shared" si="19"/>
        <v>2040.1242319999999</v>
      </c>
      <c r="U438">
        <v>3599.5681680000002</v>
      </c>
      <c r="X438" s="1">
        <v>1598</v>
      </c>
      <c r="Y438" s="2">
        <v>44229</v>
      </c>
      <c r="Z438" s="1" t="str">
        <v>North</v>
      </c>
      <c r="AA438" s="1" t="str">
        <v>Chair</v>
      </c>
      <c r="AB438" s="1" t="str">
        <v>Furniture</v>
      </c>
      <c r="AC438" s="1">
        <v>4004.86</v>
      </c>
      <c r="AD438" s="1" t="str">
        <v>Curtis George</v>
      </c>
      <c r="AE438" s="1">
        <v>31467</v>
      </c>
      <c r="AF438" s="1">
        <v>44234</v>
      </c>
      <c r="AG438" s="1">
        <v>10.119999999999999</v>
      </c>
      <c r="AH438" s="1">
        <v>405.291832</v>
      </c>
      <c r="AI438" s="1">
        <v>3599.5681680000002</v>
      </c>
    </row>
    <row r="439" spans="1:35" x14ac:dyDescent="0.35">
      <c r="A439" s="1">
        <v>1437</v>
      </c>
      <c r="B439" s="2">
        <v>44115</v>
      </c>
      <c r="C439" s="1" t="s">
        <v>10</v>
      </c>
      <c r="D439" s="1" t="s">
        <v>40</v>
      </c>
      <c r="E439" s="1" t="s">
        <v>16</v>
      </c>
      <c r="F439" s="1">
        <v>2362.4699999999998</v>
      </c>
      <c r="G439" s="1" t="s">
        <v>172</v>
      </c>
      <c r="H439" s="2">
        <v>36571</v>
      </c>
      <c r="I439" s="2">
        <v>44123</v>
      </c>
      <c r="J439" s="1">
        <v>47.44</v>
      </c>
      <c r="K439" s="1">
        <f t="shared" si="18"/>
        <v>1120.755768</v>
      </c>
      <c r="L439" s="1">
        <f t="shared" si="19"/>
        <v>1241.7142319999998</v>
      </c>
      <c r="U439">
        <v>3587.1205440000003</v>
      </c>
      <c r="X439" s="1">
        <v>1599</v>
      </c>
      <c r="Y439" s="2">
        <v>45019</v>
      </c>
      <c r="Z439" s="1" t="str">
        <v>Central</v>
      </c>
      <c r="AA439" s="1" t="str">
        <v>Sofa</v>
      </c>
      <c r="AB439" s="1" t="str">
        <v>Furniture</v>
      </c>
      <c r="AC439" s="1">
        <v>4965.5600000000004</v>
      </c>
      <c r="AD439" s="1" t="str">
        <v>Antonio David</v>
      </c>
      <c r="AE439" s="1">
        <v>24580</v>
      </c>
      <c r="AF439" s="1">
        <v>45026</v>
      </c>
      <c r="AG439" s="1">
        <v>27.76</v>
      </c>
      <c r="AH439" s="1">
        <v>1378.4394560000003</v>
      </c>
      <c r="AI439" s="1">
        <v>3587.1205440000003</v>
      </c>
    </row>
    <row r="440" spans="1:35" x14ac:dyDescent="0.35">
      <c r="A440" s="1">
        <v>1438</v>
      </c>
      <c r="B440" s="2">
        <v>45469</v>
      </c>
      <c r="C440" s="1" t="s">
        <v>10</v>
      </c>
      <c r="D440" s="1" t="s">
        <v>24</v>
      </c>
      <c r="E440" s="1" t="s">
        <v>19</v>
      </c>
      <c r="F440" s="1">
        <v>278.02999999999997</v>
      </c>
      <c r="G440" s="1" t="s">
        <v>66</v>
      </c>
      <c r="H440" s="2">
        <v>33192</v>
      </c>
      <c r="I440" s="2">
        <v>45478</v>
      </c>
      <c r="J440" s="1">
        <v>26.87</v>
      </c>
      <c r="K440" s="1">
        <f t="shared" si="18"/>
        <v>74.706660999999997</v>
      </c>
      <c r="L440" s="1">
        <f t="shared" si="19"/>
        <v>203.32333899999998</v>
      </c>
      <c r="U440">
        <v>2740.458924</v>
      </c>
      <c r="X440" s="1">
        <v>1600</v>
      </c>
      <c r="Y440" s="2">
        <v>45120</v>
      </c>
      <c r="Z440" s="1" t="str">
        <v>Central</v>
      </c>
      <c r="AA440" s="1" t="str">
        <v>Laptop</v>
      </c>
      <c r="AB440" s="1" t="str">
        <v>Electronics</v>
      </c>
      <c r="AC440" s="1">
        <v>4869.33</v>
      </c>
      <c r="AD440" s="1" t="str">
        <v>Sylvia Landry</v>
      </c>
      <c r="AE440" s="1">
        <v>35642</v>
      </c>
      <c r="AF440" s="1">
        <v>45125</v>
      </c>
      <c r="AG440" s="1">
        <v>43.72</v>
      </c>
      <c r="AH440" s="1">
        <v>2128.8710759999999</v>
      </c>
      <c r="AI440" s="1">
        <v>2740.458924</v>
      </c>
    </row>
    <row r="441" spans="1:35" x14ac:dyDescent="0.35">
      <c r="A441" s="1">
        <v>1439</v>
      </c>
      <c r="B441" s="2">
        <v>45590</v>
      </c>
      <c r="C441" s="1" t="s">
        <v>26</v>
      </c>
      <c r="D441" s="1" t="s">
        <v>33</v>
      </c>
      <c r="E441" s="1" t="s">
        <v>16</v>
      </c>
      <c r="F441" s="1">
        <v>288.8</v>
      </c>
      <c r="G441" s="1" t="s">
        <v>221</v>
      </c>
      <c r="H441" s="2">
        <v>35658</v>
      </c>
      <c r="I441" s="2">
        <v>45593</v>
      </c>
      <c r="J441" s="1">
        <v>45.82</v>
      </c>
      <c r="K441" s="1">
        <f t="shared" si="18"/>
        <v>132.32816</v>
      </c>
      <c r="L441" s="1">
        <f t="shared" si="19"/>
        <v>156.47184000000001</v>
      </c>
      <c r="U441">
        <v>3187.992166</v>
      </c>
      <c r="X441" s="1">
        <v>1601</v>
      </c>
      <c r="Y441" s="2">
        <v>45387</v>
      </c>
      <c r="Z441" s="1" t="str">
        <v>East</v>
      </c>
      <c r="AA441" s="1" t="str">
        <v>Oil</v>
      </c>
      <c r="AB441" s="1" t="str">
        <v>Groceries</v>
      </c>
      <c r="AC441" s="1">
        <v>4672.42</v>
      </c>
      <c r="AD441" s="1" t="str">
        <v>Casey Williams</v>
      </c>
      <c r="AE441" s="1">
        <v>22646</v>
      </c>
      <c r="AF441" s="1">
        <v>45391</v>
      </c>
      <c r="AG441" s="1">
        <v>31.77</v>
      </c>
      <c r="AH441" s="1">
        <v>1484.4278339999998</v>
      </c>
      <c r="AI441" s="1">
        <v>3187.992166</v>
      </c>
    </row>
    <row r="442" spans="1:35" x14ac:dyDescent="0.35">
      <c r="A442" s="1">
        <v>1440</v>
      </c>
      <c r="B442" s="2">
        <v>44758</v>
      </c>
      <c r="C442" s="1" t="s">
        <v>21</v>
      </c>
      <c r="D442" s="1" t="s">
        <v>38</v>
      </c>
      <c r="E442" s="1" t="s">
        <v>28</v>
      </c>
      <c r="F442" s="1">
        <v>494.59</v>
      </c>
      <c r="G442" s="1" t="s">
        <v>128</v>
      </c>
      <c r="H442" s="2">
        <v>37961</v>
      </c>
      <c r="I442" s="2">
        <v>44772</v>
      </c>
      <c r="J442" s="1">
        <v>29.68</v>
      </c>
      <c r="K442" s="1">
        <f t="shared" si="18"/>
        <v>146.79431199999999</v>
      </c>
      <c r="L442" s="1">
        <f t="shared" si="19"/>
        <v>347.79568799999998</v>
      </c>
      <c r="U442">
        <v>2089.2741100000003</v>
      </c>
      <c r="X442" s="1">
        <v>1602</v>
      </c>
      <c r="Y442" s="2">
        <v>45090</v>
      </c>
      <c r="Z442" s="1" t="str">
        <v>South</v>
      </c>
      <c r="AA442" s="1" t="str">
        <v>Headphones</v>
      </c>
      <c r="AB442" s="1" t="str">
        <v>Electronics</v>
      </c>
      <c r="AC442" s="1">
        <v>3353.57</v>
      </c>
      <c r="AD442" s="1" t="str">
        <v>Adam Martinez</v>
      </c>
      <c r="AE442" s="1">
        <v>22599</v>
      </c>
      <c r="AF442" s="1">
        <v>45095</v>
      </c>
      <c r="AG442" s="1">
        <v>37.700000000000003</v>
      </c>
      <c r="AH442" s="1">
        <v>1264.2958900000001</v>
      </c>
      <c r="AI442" s="1">
        <v>2089.2741100000003</v>
      </c>
    </row>
    <row r="443" spans="1:35" x14ac:dyDescent="0.35">
      <c r="A443" s="1">
        <v>1441</v>
      </c>
      <c r="B443" s="2">
        <v>45796</v>
      </c>
      <c r="C443" s="1" t="s">
        <v>21</v>
      </c>
      <c r="D443" s="1" t="s">
        <v>69</v>
      </c>
      <c r="E443" s="1" t="s">
        <v>12</v>
      </c>
      <c r="F443" s="1">
        <v>2525.13</v>
      </c>
      <c r="G443" s="1" t="s">
        <v>227</v>
      </c>
      <c r="H443" s="2">
        <v>34932</v>
      </c>
      <c r="I443" s="2">
        <v>45798</v>
      </c>
      <c r="J443" s="1">
        <v>35.049999999999997</v>
      </c>
      <c r="K443" s="1">
        <f t="shared" si="18"/>
        <v>885.05806499999994</v>
      </c>
      <c r="L443" s="1">
        <f t="shared" si="19"/>
        <v>1640.0719350000002</v>
      </c>
      <c r="U443">
        <v>3065.7321959999999</v>
      </c>
      <c r="X443" s="1">
        <v>1603</v>
      </c>
      <c r="Y443" s="2">
        <v>44250</v>
      </c>
      <c r="Z443" s="1" t="str">
        <v>East</v>
      </c>
      <c r="AA443" s="1" t="str">
        <v>Bed</v>
      </c>
      <c r="AB443" s="1" t="str">
        <v>Furniture</v>
      </c>
      <c r="AC443" s="1">
        <v>3665.39</v>
      </c>
      <c r="AD443" s="1" t="str">
        <v>Laura Sanchez</v>
      </c>
      <c r="AE443" s="1">
        <v>30923</v>
      </c>
      <c r="AF443" s="1">
        <v>44254</v>
      </c>
      <c r="AG443" s="1">
        <v>16.36</v>
      </c>
      <c r="AH443" s="1">
        <v>599.65780399999994</v>
      </c>
      <c r="AI443" s="1">
        <v>3065.7321959999999</v>
      </c>
    </row>
    <row r="444" spans="1:35" x14ac:dyDescent="0.35">
      <c r="A444" s="1">
        <v>1442</v>
      </c>
      <c r="B444" s="2">
        <v>45467</v>
      </c>
      <c r="C444" s="1" t="s">
        <v>35</v>
      </c>
      <c r="D444" s="1" t="s">
        <v>18</v>
      </c>
      <c r="E444" s="1" t="s">
        <v>19</v>
      </c>
      <c r="F444" s="1">
        <v>3350.42</v>
      </c>
      <c r="G444" s="1" t="s">
        <v>267</v>
      </c>
      <c r="H444" s="2">
        <v>38039</v>
      </c>
      <c r="I444" s="2">
        <v>45478</v>
      </c>
      <c r="J444" s="1">
        <v>31.35</v>
      </c>
      <c r="K444" s="1">
        <f t="shared" si="18"/>
        <v>1050.3566700000001</v>
      </c>
      <c r="L444" s="1">
        <f t="shared" si="19"/>
        <v>2300.06333</v>
      </c>
      <c r="U444">
        <v>1679.5475819999999</v>
      </c>
      <c r="X444" s="1">
        <v>1604</v>
      </c>
      <c r="Y444" s="2">
        <v>44827</v>
      </c>
      <c r="Z444" s="1" t="str">
        <v>Central</v>
      </c>
      <c r="AA444" s="1" t="str">
        <v>Tablet</v>
      </c>
      <c r="AB444" s="1" t="str">
        <v>Electronics</v>
      </c>
      <c r="AC444" s="1">
        <v>3004.02</v>
      </c>
      <c r="AD444" s="1" t="str">
        <v>Tony Rose</v>
      </c>
      <c r="AE444" s="1">
        <v>31764</v>
      </c>
      <c r="AF444" s="1">
        <v>44835</v>
      </c>
      <c r="AG444" s="1">
        <v>44.09</v>
      </c>
      <c r="AH444" s="1">
        <v>1324.4724180000001</v>
      </c>
      <c r="AI444" s="1">
        <v>1679.5475819999999</v>
      </c>
    </row>
    <row r="445" spans="1:35" x14ac:dyDescent="0.35">
      <c r="A445" s="1">
        <v>1443</v>
      </c>
      <c r="B445" s="2">
        <v>44400</v>
      </c>
      <c r="C445" s="1" t="s">
        <v>35</v>
      </c>
      <c r="D445" s="1" t="s">
        <v>11</v>
      </c>
      <c r="E445" s="1" t="s">
        <v>12</v>
      </c>
      <c r="F445" s="1">
        <v>3643.84</v>
      </c>
      <c r="G445" s="1" t="s">
        <v>238</v>
      </c>
      <c r="H445" s="2">
        <v>31880</v>
      </c>
      <c r="I445" s="2">
        <v>44401</v>
      </c>
      <c r="J445" s="1">
        <v>18.11</v>
      </c>
      <c r="K445" s="1">
        <f t="shared" si="18"/>
        <v>659.89942399999995</v>
      </c>
      <c r="L445" s="1">
        <f t="shared" si="19"/>
        <v>2983.940576</v>
      </c>
      <c r="U445">
        <v>1153.498112</v>
      </c>
      <c r="X445" s="1">
        <v>1605</v>
      </c>
      <c r="Y445" s="2">
        <v>45700</v>
      </c>
      <c r="Z445" s="1" t="str">
        <v>West</v>
      </c>
      <c r="AA445" s="1" t="str">
        <v>Shoes</v>
      </c>
      <c r="AB445" s="1" t="str">
        <v>Clothing</v>
      </c>
      <c r="AC445" s="1">
        <v>1214.72</v>
      </c>
      <c r="AD445" s="1" t="str">
        <v>Douglas Williams</v>
      </c>
      <c r="AE445" s="1">
        <v>38826</v>
      </c>
      <c r="AF445" s="1">
        <v>45710</v>
      </c>
      <c r="AG445" s="1">
        <v>5.04</v>
      </c>
      <c r="AH445" s="1">
        <v>61.221888</v>
      </c>
      <c r="AI445" s="1">
        <v>1153.498112</v>
      </c>
    </row>
    <row r="446" spans="1:35" x14ac:dyDescent="0.35">
      <c r="A446" s="1">
        <v>1444</v>
      </c>
      <c r="B446" s="2">
        <v>45724</v>
      </c>
      <c r="C446" s="1" t="s">
        <v>10</v>
      </c>
      <c r="D446" s="1" t="s">
        <v>38</v>
      </c>
      <c r="E446" s="1" t="s">
        <v>28</v>
      </c>
      <c r="F446" s="1">
        <v>1247.1500000000001</v>
      </c>
      <c r="G446" s="1" t="s">
        <v>268</v>
      </c>
      <c r="H446" s="2">
        <v>25103</v>
      </c>
      <c r="I446" s="2">
        <v>45727</v>
      </c>
      <c r="J446" s="1">
        <v>6.45</v>
      </c>
      <c r="K446" s="1">
        <f t="shared" si="18"/>
        <v>80.441175000000001</v>
      </c>
      <c r="L446" s="1">
        <f t="shared" si="19"/>
        <v>1166.7088250000002</v>
      </c>
      <c r="U446">
        <v>1947.1048740000001</v>
      </c>
      <c r="X446" s="1">
        <v>1606</v>
      </c>
      <c r="Y446" s="2">
        <v>45887</v>
      </c>
      <c r="Z446" s="1" t="str">
        <v>Central</v>
      </c>
      <c r="AA446" s="1" t="str">
        <v>Table</v>
      </c>
      <c r="AB446" s="1" t="str">
        <v>Furniture</v>
      </c>
      <c r="AC446" s="1">
        <v>2043.99</v>
      </c>
      <c r="AD446" s="1" t="str">
        <v>Kimberly Carey</v>
      </c>
      <c r="AE446" s="1">
        <v>24961</v>
      </c>
      <c r="AF446" s="1">
        <v>45891</v>
      </c>
      <c r="AG446" s="1">
        <v>4.74</v>
      </c>
      <c r="AH446" s="1">
        <v>96.885126000000014</v>
      </c>
      <c r="AI446" s="1">
        <v>1947.1048740000001</v>
      </c>
    </row>
    <row r="447" spans="1:35" x14ac:dyDescent="0.35">
      <c r="A447" s="1">
        <v>1445</v>
      </c>
      <c r="B447" s="2">
        <v>45577</v>
      </c>
      <c r="C447" s="1" t="s">
        <v>35</v>
      </c>
      <c r="D447" s="1" t="s">
        <v>44</v>
      </c>
      <c r="E447" s="1" t="s">
        <v>16</v>
      </c>
      <c r="F447" s="1">
        <v>1813.32</v>
      </c>
      <c r="G447" s="1" t="s">
        <v>269</v>
      </c>
      <c r="H447" s="2">
        <v>30976</v>
      </c>
      <c r="I447" s="2">
        <v>45585</v>
      </c>
      <c r="J447" s="1">
        <v>22.45</v>
      </c>
      <c r="K447" s="1">
        <f t="shared" si="18"/>
        <v>407.09033999999997</v>
      </c>
      <c r="L447" s="1">
        <f t="shared" si="19"/>
        <v>1406.22966</v>
      </c>
      <c r="U447">
        <v>2663.2919739999998</v>
      </c>
      <c r="X447" s="1">
        <v>1607</v>
      </c>
      <c r="Y447" s="2">
        <v>45642</v>
      </c>
      <c r="Z447" s="1" t="str">
        <v>West</v>
      </c>
      <c r="AA447" s="1" t="str">
        <v>Wheat</v>
      </c>
      <c r="AB447" s="1" t="str">
        <v>Groceries</v>
      </c>
      <c r="AC447" s="1">
        <v>3540.67</v>
      </c>
      <c r="AD447" s="1" t="str">
        <v>Daniel Cabrera</v>
      </c>
      <c r="AE447" s="1">
        <v>24033</v>
      </c>
      <c r="AF447" s="1">
        <v>45652</v>
      </c>
      <c r="AG447" s="1">
        <v>24.78</v>
      </c>
      <c r="AH447" s="1">
        <v>877.37802600000009</v>
      </c>
      <c r="AI447" s="1">
        <v>2663.2919739999998</v>
      </c>
    </row>
    <row r="448" spans="1:35" x14ac:dyDescent="0.35">
      <c r="A448" s="1">
        <v>1446</v>
      </c>
      <c r="B448" s="2">
        <v>45785</v>
      </c>
      <c r="C448" s="1" t="s">
        <v>14</v>
      </c>
      <c r="D448" s="1" t="s">
        <v>30</v>
      </c>
      <c r="E448" s="1" t="s">
        <v>31</v>
      </c>
      <c r="F448" s="1">
        <v>3713.98</v>
      </c>
      <c r="G448" s="1" t="s">
        <v>130</v>
      </c>
      <c r="H448" s="2">
        <v>38750</v>
      </c>
      <c r="I448" s="2">
        <v>45798</v>
      </c>
      <c r="J448" s="1">
        <v>43.09</v>
      </c>
      <c r="K448" s="1">
        <f t="shared" si="18"/>
        <v>1600.3539820000003</v>
      </c>
      <c r="L448" s="1">
        <f t="shared" si="19"/>
        <v>2113.6260179999999</v>
      </c>
      <c r="U448">
        <v>1614.0888709999999</v>
      </c>
      <c r="X448" s="1">
        <v>1608</v>
      </c>
      <c r="Y448" s="2">
        <v>45403</v>
      </c>
      <c r="Z448" s="1" t="str">
        <v>South</v>
      </c>
      <c r="AA448" s="1" t="str">
        <v>Jeans</v>
      </c>
      <c r="AB448" s="1" t="str">
        <v>Clothing</v>
      </c>
      <c r="AC448" s="1">
        <v>2213.81</v>
      </c>
      <c r="AD448" s="1" t="str">
        <v>Lisa Clark</v>
      </c>
      <c r="AE448" s="1">
        <v>27879</v>
      </c>
      <c r="AF448" s="1">
        <v>45414</v>
      </c>
      <c r="AG448" s="1">
        <v>27.09</v>
      </c>
      <c r="AH448" s="1">
        <v>599.72112899999991</v>
      </c>
      <c r="AI448" s="1">
        <v>1614.0888709999999</v>
      </c>
    </row>
    <row r="449" spans="1:35" x14ac:dyDescent="0.35">
      <c r="A449" s="1">
        <v>1447</v>
      </c>
      <c r="B449" s="2">
        <v>45287</v>
      </c>
      <c r="C449" s="1" t="s">
        <v>35</v>
      </c>
      <c r="D449" s="1" t="s">
        <v>88</v>
      </c>
      <c r="E449" s="1" t="s">
        <v>16</v>
      </c>
      <c r="F449" s="1">
        <v>432.26</v>
      </c>
      <c r="G449" s="1" t="s">
        <v>270</v>
      </c>
      <c r="H449" s="2">
        <v>23245</v>
      </c>
      <c r="I449" s="2">
        <v>45288</v>
      </c>
      <c r="J449" s="1">
        <v>8.39</v>
      </c>
      <c r="K449" s="1">
        <f t="shared" si="18"/>
        <v>36.266613999999997</v>
      </c>
      <c r="L449" s="1">
        <f t="shared" si="19"/>
        <v>395.99338599999999</v>
      </c>
      <c r="U449">
        <v>3592.6337350000003</v>
      </c>
      <c r="X449" s="1">
        <v>1609</v>
      </c>
      <c r="Y449" s="2">
        <v>45381</v>
      </c>
      <c r="Z449" s="1" t="str">
        <v>North</v>
      </c>
      <c r="AA449" s="1" t="str">
        <v>Chair</v>
      </c>
      <c r="AB449" s="1" t="str">
        <v>Furniture</v>
      </c>
      <c r="AC449" s="1">
        <v>4495.8500000000004</v>
      </c>
      <c r="AD449" s="1" t="str">
        <v>Bradley Lindsey</v>
      </c>
      <c r="AE449" s="1">
        <v>24322</v>
      </c>
      <c r="AF449" s="1">
        <v>45384</v>
      </c>
      <c r="AG449" s="1">
        <v>20.09</v>
      </c>
      <c r="AH449" s="1">
        <v>903.21626500000002</v>
      </c>
      <c r="AI449" s="1">
        <v>3592.6337350000003</v>
      </c>
    </row>
    <row r="450" spans="1:35" x14ac:dyDescent="0.35">
      <c r="A450" s="1">
        <v>1448</v>
      </c>
      <c r="B450" s="2">
        <v>44839</v>
      </c>
      <c r="C450" s="1" t="s">
        <v>21</v>
      </c>
      <c r="D450" s="1" t="s">
        <v>53</v>
      </c>
      <c r="E450" s="1" t="s">
        <v>28</v>
      </c>
      <c r="F450" s="1">
        <v>1693.45</v>
      </c>
      <c r="G450" s="1" t="s">
        <v>205</v>
      </c>
      <c r="H450" s="2">
        <v>27526</v>
      </c>
      <c r="I450" s="2">
        <v>44844</v>
      </c>
      <c r="J450" s="1">
        <v>23.61</v>
      </c>
      <c r="K450" s="1">
        <f t="shared" si="18"/>
        <v>399.82354500000002</v>
      </c>
      <c r="L450" s="1">
        <f t="shared" si="19"/>
        <v>1293.6264550000001</v>
      </c>
      <c r="U450">
        <v>1048.141556</v>
      </c>
      <c r="X450" s="1">
        <v>1610</v>
      </c>
      <c r="Y450" s="2">
        <v>45786</v>
      </c>
      <c r="Z450" s="1" t="str">
        <v>North</v>
      </c>
      <c r="AA450" s="1" t="str">
        <v>Table</v>
      </c>
      <c r="AB450" s="1" t="str">
        <v>Furniture</v>
      </c>
      <c r="AC450" s="1">
        <v>1801.24</v>
      </c>
      <c r="AD450" s="1" t="str">
        <v>Benjamin Travis</v>
      </c>
      <c r="AE450" s="1">
        <v>33354</v>
      </c>
      <c r="AF450" s="1">
        <v>45796</v>
      </c>
      <c r="AG450" s="1">
        <v>41.81</v>
      </c>
      <c r="AH450" s="1">
        <v>753.09844400000009</v>
      </c>
      <c r="AI450" s="1">
        <v>1048.141556</v>
      </c>
    </row>
    <row r="451" spans="1:35" x14ac:dyDescent="0.35">
      <c r="A451" s="1">
        <v>1449</v>
      </c>
      <c r="B451" s="2">
        <v>44700</v>
      </c>
      <c r="C451" s="1" t="s">
        <v>21</v>
      </c>
      <c r="D451" s="1" t="s">
        <v>15</v>
      </c>
      <c r="E451" s="1" t="s">
        <v>16</v>
      </c>
      <c r="F451" s="1">
        <v>1889.02</v>
      </c>
      <c r="G451" s="1" t="s">
        <v>271</v>
      </c>
      <c r="H451" s="2">
        <v>22796</v>
      </c>
      <c r="I451" s="2">
        <v>44709</v>
      </c>
      <c r="J451" s="1">
        <v>2.15</v>
      </c>
      <c r="K451" s="1">
        <f t="shared" ref="K451:K514" si="20">F451*J451%</f>
        <v>40.613929999999996</v>
      </c>
      <c r="L451" s="1">
        <f t="shared" ref="L451:L514" si="21">F451-K451</f>
        <v>1848.40607</v>
      </c>
      <c r="U451">
        <v>2941.1333639999998</v>
      </c>
      <c r="X451" s="1">
        <v>1611</v>
      </c>
      <c r="Y451" s="2">
        <v>44397</v>
      </c>
      <c r="Z451" s="1" t="str">
        <v>South</v>
      </c>
      <c r="AA451" s="1" t="str">
        <v>Basketball</v>
      </c>
      <c r="AB451" s="1" t="str">
        <v>Sports</v>
      </c>
      <c r="AC451" s="1">
        <v>2961.27</v>
      </c>
      <c r="AD451" s="1" t="str">
        <v>Holly Wolfe</v>
      </c>
      <c r="AE451" s="1">
        <v>38934</v>
      </c>
      <c r="AF451" s="1">
        <v>44399</v>
      </c>
      <c r="AG451" s="1">
        <v>0.68</v>
      </c>
      <c r="AH451" s="1">
        <v>20.136636000000003</v>
      </c>
      <c r="AI451" s="1">
        <v>2941.1333639999998</v>
      </c>
    </row>
    <row r="452" spans="1:35" x14ac:dyDescent="0.35">
      <c r="A452" s="1">
        <v>1450</v>
      </c>
      <c r="B452" s="2">
        <v>44831</v>
      </c>
      <c r="C452" s="1" t="s">
        <v>21</v>
      </c>
      <c r="D452" s="1" t="s">
        <v>71</v>
      </c>
      <c r="E452" s="1" t="s">
        <v>31</v>
      </c>
      <c r="F452" s="1">
        <v>2427.5100000000002</v>
      </c>
      <c r="G452" s="1" t="s">
        <v>101</v>
      </c>
      <c r="H452" s="2">
        <v>31331</v>
      </c>
      <c r="I452" s="2">
        <v>44842</v>
      </c>
      <c r="J452" s="1">
        <v>21.39</v>
      </c>
      <c r="K452" s="1">
        <f t="shared" si="20"/>
        <v>519.24438900000007</v>
      </c>
      <c r="L452" s="1">
        <f t="shared" si="21"/>
        <v>1908.2656110000003</v>
      </c>
      <c r="U452">
        <v>4003.504375</v>
      </c>
      <c r="X452" s="1">
        <v>1612</v>
      </c>
      <c r="Y452" s="2">
        <v>45577</v>
      </c>
      <c r="Z452" s="1" t="str">
        <v>West</v>
      </c>
      <c r="AA452" s="1" t="str">
        <v>Wheat</v>
      </c>
      <c r="AB452" s="1" t="str">
        <v>Groceries</v>
      </c>
      <c r="AC452" s="1">
        <v>4247.75</v>
      </c>
      <c r="AD452" s="1" t="str">
        <v>Brandon Ross</v>
      </c>
      <c r="AE452" s="1">
        <v>29792</v>
      </c>
      <c r="AF452" s="1">
        <v>45584</v>
      </c>
      <c r="AG452" s="1">
        <v>5.75</v>
      </c>
      <c r="AH452" s="1">
        <v>244.24562500000002</v>
      </c>
      <c r="AI452" s="1">
        <v>4003.504375</v>
      </c>
    </row>
    <row r="453" spans="1:35" x14ac:dyDescent="0.35">
      <c r="A453" s="1">
        <v>1451</v>
      </c>
      <c r="B453" s="2">
        <v>44962</v>
      </c>
      <c r="C453" s="1" t="s">
        <v>26</v>
      </c>
      <c r="D453" s="1" t="s">
        <v>18</v>
      </c>
      <c r="E453" s="1" t="s">
        <v>19</v>
      </c>
      <c r="F453" s="1">
        <v>1645.22</v>
      </c>
      <c r="G453" s="1" t="s">
        <v>272</v>
      </c>
      <c r="H453" s="2">
        <v>27832</v>
      </c>
      <c r="I453" s="2">
        <v>44972</v>
      </c>
      <c r="J453" s="1">
        <v>7.75</v>
      </c>
      <c r="K453" s="1">
        <f t="shared" si="20"/>
        <v>127.50454999999999</v>
      </c>
      <c r="L453" s="1">
        <f t="shared" si="21"/>
        <v>1517.7154500000001</v>
      </c>
      <c r="U453">
        <v>1215.1864869999999</v>
      </c>
      <c r="X453" s="1">
        <v>1613</v>
      </c>
      <c r="Y453" s="2">
        <v>44391</v>
      </c>
      <c r="Z453" s="1" t="str">
        <v>West</v>
      </c>
      <c r="AA453" s="1" t="str">
        <v>Oil</v>
      </c>
      <c r="AB453" s="1" t="str">
        <v>Groceries</v>
      </c>
      <c r="AC453" s="1">
        <v>1981.39</v>
      </c>
      <c r="AD453" s="1" t="str">
        <v>Michelle Davis</v>
      </c>
      <c r="AE453" s="1">
        <v>34367</v>
      </c>
      <c r="AF453" s="1">
        <v>44402</v>
      </c>
      <c r="AG453" s="1">
        <v>38.67</v>
      </c>
      <c r="AH453" s="1">
        <v>766.20351300000016</v>
      </c>
      <c r="AI453" s="1">
        <v>1215.1864869999999</v>
      </c>
    </row>
    <row r="454" spans="1:35" x14ac:dyDescent="0.35">
      <c r="A454" s="1">
        <v>1452</v>
      </c>
      <c r="B454" s="2">
        <v>45342</v>
      </c>
      <c r="C454" s="1" t="s">
        <v>26</v>
      </c>
      <c r="D454" s="1" t="s">
        <v>61</v>
      </c>
      <c r="E454" s="1" t="s">
        <v>19</v>
      </c>
      <c r="F454" s="1">
        <v>2271.75</v>
      </c>
      <c r="G454" s="1" t="s">
        <v>96</v>
      </c>
      <c r="H454" s="2">
        <v>36236</v>
      </c>
      <c r="I454" s="2">
        <v>45348</v>
      </c>
      <c r="J454" s="1">
        <v>15.35</v>
      </c>
      <c r="K454" s="1">
        <f t="shared" si="20"/>
        <v>348.71362499999998</v>
      </c>
      <c r="L454" s="1">
        <f t="shared" si="21"/>
        <v>1923.0363750000001</v>
      </c>
      <c r="U454">
        <v>4447.64624</v>
      </c>
      <c r="X454" s="1">
        <v>1615</v>
      </c>
      <c r="Y454" s="2">
        <v>44232</v>
      </c>
      <c r="Z454" s="1" t="str">
        <v>South</v>
      </c>
      <c r="AA454" s="1" t="str">
        <v>Headphones</v>
      </c>
      <c r="AB454" s="1" t="str">
        <v>Electronics</v>
      </c>
      <c r="AC454" s="1">
        <v>4743.6499999999996</v>
      </c>
      <c r="AD454" s="1" t="str">
        <v>April Morgan</v>
      </c>
      <c r="AE454" s="1">
        <v>22870</v>
      </c>
      <c r="AF454" s="1">
        <v>44246</v>
      </c>
      <c r="AG454" s="1">
        <v>6.24</v>
      </c>
      <c r="AH454" s="1">
        <v>296.00376</v>
      </c>
      <c r="AI454" s="1">
        <v>4447.64624</v>
      </c>
    </row>
    <row r="455" spans="1:35" x14ac:dyDescent="0.35">
      <c r="A455" s="1">
        <v>1453</v>
      </c>
      <c r="B455" s="2">
        <v>45834</v>
      </c>
      <c r="C455" s="1" t="s">
        <v>35</v>
      </c>
      <c r="D455" s="1" t="s">
        <v>33</v>
      </c>
      <c r="E455" s="1" t="s">
        <v>16</v>
      </c>
      <c r="F455" s="1">
        <v>2430.6999999999998</v>
      </c>
      <c r="G455" s="1" t="s">
        <v>273</v>
      </c>
      <c r="H455" s="2">
        <v>30822</v>
      </c>
      <c r="I455" s="2">
        <v>45840</v>
      </c>
      <c r="J455" s="1">
        <v>45.83</v>
      </c>
      <c r="K455" s="1">
        <f t="shared" si="20"/>
        <v>1113.9898099999998</v>
      </c>
      <c r="L455" s="1">
        <f t="shared" si="21"/>
        <v>1316.71019</v>
      </c>
      <c r="U455">
        <v>3963.1599100000003</v>
      </c>
      <c r="X455" s="1">
        <v>1616</v>
      </c>
      <c r="Y455" s="2">
        <v>44472</v>
      </c>
      <c r="Z455" s="1" t="str">
        <v>Central</v>
      </c>
      <c r="AA455" s="1" t="str">
        <v>Laptop</v>
      </c>
      <c r="AB455" s="1" t="str">
        <v>Electronics</v>
      </c>
      <c r="AC455" s="1">
        <v>4597.1000000000004</v>
      </c>
      <c r="AD455" s="1" t="str">
        <v>Bruce Miller</v>
      </c>
      <c r="AE455" s="1">
        <v>31775</v>
      </c>
      <c r="AF455" s="1">
        <v>44482</v>
      </c>
      <c r="AG455" s="1">
        <v>13.79</v>
      </c>
      <c r="AH455" s="1">
        <v>633.94009000000005</v>
      </c>
      <c r="AI455" s="1">
        <v>3963.1599100000003</v>
      </c>
    </row>
    <row r="456" spans="1:35" x14ac:dyDescent="0.35">
      <c r="A456" s="1">
        <v>1454</v>
      </c>
      <c r="B456" s="2">
        <v>45380</v>
      </c>
      <c r="C456" s="1" t="s">
        <v>35</v>
      </c>
      <c r="D456" s="1" t="s">
        <v>18</v>
      </c>
      <c r="E456" s="1" t="s">
        <v>19</v>
      </c>
      <c r="F456" s="1">
        <v>4543.08</v>
      </c>
      <c r="G456" s="1" t="s">
        <v>166</v>
      </c>
      <c r="H456" s="2">
        <v>27879</v>
      </c>
      <c r="I456" s="2">
        <v>45381</v>
      </c>
      <c r="J456" s="1">
        <v>41.7</v>
      </c>
      <c r="K456" s="1">
        <f t="shared" si="20"/>
        <v>1894.4643600000002</v>
      </c>
      <c r="L456" s="1">
        <f t="shared" si="21"/>
        <v>2648.61564</v>
      </c>
      <c r="U456">
        <v>2686.7995839999999</v>
      </c>
      <c r="X456" s="1">
        <v>1617</v>
      </c>
      <c r="Y456" s="2">
        <v>44533</v>
      </c>
      <c r="Z456" s="1" t="str">
        <v>South</v>
      </c>
      <c r="AA456" s="1" t="str">
        <v>T-Shirt</v>
      </c>
      <c r="AB456" s="1" t="str">
        <v>Clothing</v>
      </c>
      <c r="AC456" s="1">
        <v>3648.56</v>
      </c>
      <c r="AD456" s="1" t="str">
        <v>Mark Swanson</v>
      </c>
      <c r="AE456" s="1">
        <v>36099</v>
      </c>
      <c r="AF456" s="1">
        <v>44539</v>
      </c>
      <c r="AG456" s="1">
        <v>26.36</v>
      </c>
      <c r="AH456" s="1">
        <v>961.76041599999996</v>
      </c>
      <c r="AI456" s="1">
        <v>2686.7995839999999</v>
      </c>
    </row>
    <row r="457" spans="1:35" x14ac:dyDescent="0.35">
      <c r="A457" s="1">
        <v>1455</v>
      </c>
      <c r="B457" s="2">
        <v>45583</v>
      </c>
      <c r="C457" s="1" t="s">
        <v>35</v>
      </c>
      <c r="D457" s="1" t="s">
        <v>53</v>
      </c>
      <c r="E457" s="1" t="s">
        <v>28</v>
      </c>
      <c r="F457" s="1">
        <v>4094.7</v>
      </c>
      <c r="G457" s="1" t="s">
        <v>274</v>
      </c>
      <c r="H457" s="2">
        <v>34557</v>
      </c>
      <c r="I457" s="2">
        <v>45595</v>
      </c>
      <c r="J457" s="1">
        <v>11.99</v>
      </c>
      <c r="K457" s="1">
        <f t="shared" si="20"/>
        <v>490.95452999999998</v>
      </c>
      <c r="L457" s="1">
        <f t="shared" si="21"/>
        <v>3603.7454699999998</v>
      </c>
      <c r="U457">
        <v>1600.718028</v>
      </c>
      <c r="X457" s="1">
        <v>1618</v>
      </c>
      <c r="Y457" s="2">
        <v>44117</v>
      </c>
      <c r="Z457" s="1" t="str">
        <v>East</v>
      </c>
      <c r="AA457" s="1" t="str">
        <v>Football</v>
      </c>
      <c r="AB457" s="1" t="str">
        <v>Sports</v>
      </c>
      <c r="AC457" s="1">
        <v>2586.81</v>
      </c>
      <c r="AD457" s="1" t="str">
        <v>Tracy Wood</v>
      </c>
      <c r="AE457" s="1">
        <v>23245</v>
      </c>
      <c r="AF457" s="1">
        <v>44122</v>
      </c>
      <c r="AG457" s="1">
        <v>38.119999999999997</v>
      </c>
      <c r="AH457" s="1">
        <v>986.09197199999994</v>
      </c>
      <c r="AI457" s="1">
        <v>1600.718028</v>
      </c>
    </row>
    <row r="458" spans="1:35" x14ac:dyDescent="0.35">
      <c r="A458" s="1">
        <v>1456</v>
      </c>
      <c r="B458" s="2">
        <v>44685</v>
      </c>
      <c r="C458" s="1" t="s">
        <v>35</v>
      </c>
      <c r="D458" s="1" t="s">
        <v>44</v>
      </c>
      <c r="E458" s="1" t="s">
        <v>16</v>
      </c>
      <c r="F458" s="1">
        <v>598.49</v>
      </c>
      <c r="G458" s="1" t="s">
        <v>138</v>
      </c>
      <c r="H458" s="2">
        <v>25948</v>
      </c>
      <c r="I458" s="2">
        <v>44688</v>
      </c>
      <c r="J458" s="1">
        <v>39.99</v>
      </c>
      <c r="K458" s="1">
        <f t="shared" si="20"/>
        <v>239.33615100000003</v>
      </c>
      <c r="L458" s="1">
        <f t="shared" si="21"/>
        <v>359.15384899999998</v>
      </c>
      <c r="U458">
        <v>1690.9141</v>
      </c>
      <c r="X458" s="1">
        <v>1619</v>
      </c>
      <c r="Y458" s="2">
        <v>44190</v>
      </c>
      <c r="Z458" s="1" t="str">
        <v>East</v>
      </c>
      <c r="AA458" s="1" t="str">
        <v>Laptop</v>
      </c>
      <c r="AB458" s="1" t="str">
        <v>Electronics</v>
      </c>
      <c r="AC458" s="1">
        <v>3181.4</v>
      </c>
      <c r="AD458" s="1" t="str">
        <v>Deanna Stephenson</v>
      </c>
      <c r="AE458" s="1">
        <v>31685</v>
      </c>
      <c r="AF458" s="1">
        <v>44198</v>
      </c>
      <c r="AG458" s="1">
        <v>46.85</v>
      </c>
      <c r="AH458" s="1">
        <v>1490.4859000000001</v>
      </c>
      <c r="AI458" s="1">
        <v>1690.9141</v>
      </c>
    </row>
    <row r="459" spans="1:35" x14ac:dyDescent="0.35">
      <c r="A459" s="1">
        <v>1457</v>
      </c>
      <c r="B459" s="2">
        <v>44901</v>
      </c>
      <c r="C459" s="1" t="s">
        <v>14</v>
      </c>
      <c r="D459" s="1" t="s">
        <v>49</v>
      </c>
      <c r="E459" s="1" t="s">
        <v>12</v>
      </c>
      <c r="F459" s="1">
        <v>4913.41</v>
      </c>
      <c r="G459" s="1" t="s">
        <v>70</v>
      </c>
      <c r="H459" s="2">
        <v>30887</v>
      </c>
      <c r="I459" s="2">
        <v>44903</v>
      </c>
      <c r="J459" s="1">
        <v>20.73</v>
      </c>
      <c r="K459" s="1">
        <f t="shared" si="20"/>
        <v>1018.549893</v>
      </c>
      <c r="L459" s="1">
        <f t="shared" si="21"/>
        <v>3894.860107</v>
      </c>
      <c r="U459">
        <v>2644.5012200000001</v>
      </c>
      <c r="X459" s="1">
        <v>1620</v>
      </c>
      <c r="Y459" s="2">
        <v>44638</v>
      </c>
      <c r="Z459" s="1" t="str">
        <v>Central</v>
      </c>
      <c r="AA459" s="1" t="str">
        <v>Wheat</v>
      </c>
      <c r="AB459" s="1" t="str">
        <v>Groceries</v>
      </c>
      <c r="AC459" s="1">
        <v>4939.3</v>
      </c>
      <c r="AD459" s="1" t="str">
        <v>Melissa Douglas</v>
      </c>
      <c r="AE459" s="1">
        <v>33386</v>
      </c>
      <c r="AF459" s="1">
        <v>44650</v>
      </c>
      <c r="AG459" s="1">
        <v>46.46</v>
      </c>
      <c r="AH459" s="1">
        <v>2294.7987800000001</v>
      </c>
      <c r="AI459" s="1">
        <v>2644.5012200000001</v>
      </c>
    </row>
    <row r="460" spans="1:35" x14ac:dyDescent="0.35">
      <c r="A460" s="1">
        <v>1458</v>
      </c>
      <c r="B460" s="2">
        <v>45343</v>
      </c>
      <c r="C460" s="1" t="s">
        <v>14</v>
      </c>
      <c r="D460" s="1" t="s">
        <v>55</v>
      </c>
      <c r="E460" s="1" t="s">
        <v>31</v>
      </c>
      <c r="F460" s="1">
        <v>4584.32</v>
      </c>
      <c r="G460" s="1" t="s">
        <v>275</v>
      </c>
      <c r="H460" s="2">
        <v>38510</v>
      </c>
      <c r="I460" s="2">
        <v>45349</v>
      </c>
      <c r="J460" s="1">
        <v>4.4800000000000004</v>
      </c>
      <c r="K460" s="1">
        <f t="shared" si="20"/>
        <v>205.37753600000002</v>
      </c>
      <c r="L460" s="1">
        <f t="shared" si="21"/>
        <v>4378.9424639999997</v>
      </c>
      <c r="U460">
        <v>3134.934064</v>
      </c>
      <c r="X460" s="1">
        <v>1621</v>
      </c>
      <c r="Y460" s="2">
        <v>45283</v>
      </c>
      <c r="Z460" s="1" t="str">
        <v>South</v>
      </c>
      <c r="AA460" s="1" t="str">
        <v>Headphones</v>
      </c>
      <c r="AB460" s="1" t="str">
        <v>Electronics</v>
      </c>
      <c r="AC460" s="1">
        <v>3704.72</v>
      </c>
      <c r="AD460" s="1" t="str">
        <v>Melissa Douglas</v>
      </c>
      <c r="AE460" s="1">
        <v>33386</v>
      </c>
      <c r="AF460" s="1">
        <v>45285</v>
      </c>
      <c r="AG460" s="1">
        <v>15.38</v>
      </c>
      <c r="AH460" s="1">
        <v>569.78593599999999</v>
      </c>
      <c r="AI460" s="1">
        <v>3134.934064</v>
      </c>
    </row>
    <row r="461" spans="1:35" x14ac:dyDescent="0.35">
      <c r="A461" s="1">
        <v>1459</v>
      </c>
      <c r="B461" s="2">
        <v>45180</v>
      </c>
      <c r="C461" s="1" t="s">
        <v>10</v>
      </c>
      <c r="D461" s="1" t="s">
        <v>58</v>
      </c>
      <c r="E461" s="1" t="s">
        <v>31</v>
      </c>
      <c r="F461" s="1">
        <v>846.48</v>
      </c>
      <c r="G461" s="1" t="s">
        <v>276</v>
      </c>
      <c r="H461" s="2">
        <v>33394</v>
      </c>
      <c r="I461" s="2">
        <v>45184</v>
      </c>
      <c r="J461" s="1">
        <v>11.6</v>
      </c>
      <c r="K461" s="1">
        <f t="shared" si="20"/>
        <v>98.191679999999991</v>
      </c>
      <c r="L461" s="1">
        <f t="shared" si="21"/>
        <v>748.28832</v>
      </c>
      <c r="U461">
        <v>1118.9499900000001</v>
      </c>
      <c r="X461" s="1">
        <v>1622</v>
      </c>
      <c r="Y461" s="2">
        <v>45784</v>
      </c>
      <c r="Z461" s="1" t="str">
        <v>South</v>
      </c>
      <c r="AA461" s="1" t="str">
        <v>Shoes</v>
      </c>
      <c r="AB461" s="1" t="str">
        <v>Clothing</v>
      </c>
      <c r="AC461" s="1">
        <v>2113.2199999999998</v>
      </c>
      <c r="AD461" s="1" t="str">
        <v>Lee Hobbs</v>
      </c>
      <c r="AE461" s="1">
        <v>30299</v>
      </c>
      <c r="AF461" s="1">
        <v>45789</v>
      </c>
      <c r="AG461" s="1">
        <v>47.05</v>
      </c>
      <c r="AH461" s="1">
        <v>994.27000999999984</v>
      </c>
      <c r="AI461" s="1">
        <v>1118.9499900000001</v>
      </c>
    </row>
    <row r="462" spans="1:35" x14ac:dyDescent="0.35">
      <c r="A462" s="1">
        <v>1460</v>
      </c>
      <c r="B462" s="2">
        <v>45646</v>
      </c>
      <c r="C462" s="1" t="s">
        <v>21</v>
      </c>
      <c r="D462" s="1" t="s">
        <v>11</v>
      </c>
      <c r="E462" s="1" t="s">
        <v>12</v>
      </c>
      <c r="F462" s="1">
        <v>1781.6</v>
      </c>
      <c r="G462" s="1" t="s">
        <v>48</v>
      </c>
      <c r="H462" s="2">
        <v>22315</v>
      </c>
      <c r="I462" s="2">
        <v>45652</v>
      </c>
      <c r="J462" s="1">
        <v>25.14</v>
      </c>
      <c r="K462" s="1">
        <f t="shared" si="20"/>
        <v>447.89424000000002</v>
      </c>
      <c r="L462" s="1">
        <f t="shared" si="21"/>
        <v>1333.7057599999998</v>
      </c>
      <c r="U462">
        <v>2448.2842919999998</v>
      </c>
      <c r="X462" s="1">
        <v>1623</v>
      </c>
      <c r="Y462" s="2">
        <v>44110</v>
      </c>
      <c r="Z462" s="1" t="str">
        <v>East</v>
      </c>
      <c r="AA462" s="1" t="str">
        <v>Oil</v>
      </c>
      <c r="AB462" s="1" t="str">
        <v>Groceries</v>
      </c>
      <c r="AC462" s="1">
        <v>3514.62</v>
      </c>
      <c r="AD462" s="1" t="str">
        <v>Douglas Williams</v>
      </c>
      <c r="AE462" s="1">
        <v>38826</v>
      </c>
      <c r="AF462" s="1">
        <v>44121</v>
      </c>
      <c r="AG462" s="1">
        <v>30.34</v>
      </c>
      <c r="AH462" s="1">
        <v>1066.3357080000001</v>
      </c>
      <c r="AI462" s="1">
        <v>2448.2842919999998</v>
      </c>
    </row>
    <row r="463" spans="1:35" x14ac:dyDescent="0.35">
      <c r="A463" s="1">
        <v>1461</v>
      </c>
      <c r="B463" s="2">
        <v>44214</v>
      </c>
      <c r="C463" s="1" t="s">
        <v>21</v>
      </c>
      <c r="D463" s="1" t="s">
        <v>33</v>
      </c>
      <c r="E463" s="1" t="s">
        <v>16</v>
      </c>
      <c r="F463" s="1">
        <v>2176.2399999999998</v>
      </c>
      <c r="G463" s="1" t="s">
        <v>86</v>
      </c>
      <c r="H463" s="2">
        <v>37858</v>
      </c>
      <c r="I463" s="2">
        <v>44215</v>
      </c>
      <c r="J463" s="1">
        <v>21.69</v>
      </c>
      <c r="K463" s="1">
        <f t="shared" si="20"/>
        <v>472.026456</v>
      </c>
      <c r="L463" s="1">
        <f t="shared" si="21"/>
        <v>1704.2135439999997</v>
      </c>
      <c r="U463">
        <v>3355.2656899999997</v>
      </c>
      <c r="X463" s="1">
        <v>1625</v>
      </c>
      <c r="Y463" s="2">
        <v>45113</v>
      </c>
      <c r="Z463" s="1" t="str">
        <v>North</v>
      </c>
      <c r="AA463" s="1" t="str">
        <v>Laptop</v>
      </c>
      <c r="AB463" s="1" t="str">
        <v>Electronics</v>
      </c>
      <c r="AC463" s="1">
        <v>4914.7</v>
      </c>
      <c r="AD463" s="1" t="str">
        <v>Laura Fowler DVM</v>
      </c>
      <c r="AE463" s="1">
        <v>35559</v>
      </c>
      <c r="AF463" s="1">
        <v>45127</v>
      </c>
      <c r="AG463" s="1">
        <v>31.73</v>
      </c>
      <c r="AH463" s="1">
        <v>1559.4343100000001</v>
      </c>
      <c r="AI463" s="1">
        <v>3355.2656899999997</v>
      </c>
    </row>
    <row r="464" spans="1:35" x14ac:dyDescent="0.35">
      <c r="A464" s="1">
        <v>1462</v>
      </c>
      <c r="B464" s="2">
        <v>45270</v>
      </c>
      <c r="C464" s="1" t="s">
        <v>21</v>
      </c>
      <c r="D464" s="1" t="s">
        <v>40</v>
      </c>
      <c r="E464" s="1" t="s">
        <v>16</v>
      </c>
      <c r="F464" s="1">
        <v>2972.65</v>
      </c>
      <c r="G464" s="1" t="s">
        <v>120</v>
      </c>
      <c r="H464" s="2">
        <v>30820</v>
      </c>
      <c r="I464" s="2">
        <v>45283</v>
      </c>
      <c r="J464" s="1">
        <v>44.56</v>
      </c>
      <c r="K464" s="1">
        <f t="shared" si="20"/>
        <v>1324.61284</v>
      </c>
      <c r="L464" s="1">
        <f t="shared" si="21"/>
        <v>1648.0371600000001</v>
      </c>
      <c r="U464">
        <v>3621.7308029999999</v>
      </c>
      <c r="X464" s="1">
        <v>1626</v>
      </c>
      <c r="Y464" s="2">
        <v>44331</v>
      </c>
      <c r="Z464" s="1" t="str">
        <v>Central</v>
      </c>
      <c r="AA464" s="1" t="str">
        <v>Camera</v>
      </c>
      <c r="AB464" s="1" t="str">
        <v>Electronics</v>
      </c>
      <c r="AC464" s="1">
        <v>3711.17</v>
      </c>
      <c r="AD464" s="1" t="str">
        <v>William Robles</v>
      </c>
      <c r="AE464" s="1">
        <v>30786</v>
      </c>
      <c r="AF464" s="1">
        <v>44333</v>
      </c>
      <c r="AG464" s="1">
        <v>2.41</v>
      </c>
      <c r="AH464" s="1">
        <v>89.439197000000007</v>
      </c>
      <c r="AI464" s="1">
        <v>3621.7308029999999</v>
      </c>
    </row>
    <row r="465" spans="1:35" x14ac:dyDescent="0.35">
      <c r="A465" s="1">
        <v>1463</v>
      </c>
      <c r="B465" s="2">
        <v>45786</v>
      </c>
      <c r="C465" s="1" t="s">
        <v>35</v>
      </c>
      <c r="D465" s="1" t="s">
        <v>69</v>
      </c>
      <c r="E465" s="1" t="s">
        <v>31</v>
      </c>
      <c r="F465" s="1">
        <v>4085.17</v>
      </c>
      <c r="G465" s="1" t="s">
        <v>277</v>
      </c>
      <c r="H465" s="2">
        <v>35224</v>
      </c>
      <c r="I465" s="2">
        <v>45797</v>
      </c>
      <c r="J465" s="1">
        <v>9.56</v>
      </c>
      <c r="K465" s="1">
        <f t="shared" si="20"/>
        <v>390.54225200000002</v>
      </c>
      <c r="L465" s="1">
        <f t="shared" si="21"/>
        <v>3694.6277479999999</v>
      </c>
      <c r="U465">
        <v>3521.8584809999998</v>
      </c>
      <c r="X465" s="1">
        <v>1631</v>
      </c>
      <c r="Y465" s="2">
        <v>45537</v>
      </c>
      <c r="Z465" s="1" t="str">
        <v>East</v>
      </c>
      <c r="AA465" s="1" t="str">
        <v>Bed</v>
      </c>
      <c r="AB465" s="1" t="str">
        <v>Furniture</v>
      </c>
      <c r="AC465" s="1">
        <v>3800.43</v>
      </c>
      <c r="AD465" s="1" t="str">
        <v>Douglas Garrison</v>
      </c>
      <c r="AE465" s="1">
        <v>37490</v>
      </c>
      <c r="AF465" s="1">
        <v>45538</v>
      </c>
      <c r="AG465" s="1">
        <v>7.33</v>
      </c>
      <c r="AH465" s="1">
        <v>278.57151900000002</v>
      </c>
      <c r="AI465" s="1">
        <v>3521.8584809999998</v>
      </c>
    </row>
    <row r="466" spans="1:35" x14ac:dyDescent="0.35">
      <c r="A466" s="1">
        <v>1464</v>
      </c>
      <c r="B466" s="2">
        <v>44365</v>
      </c>
      <c r="C466" s="1" t="s">
        <v>35</v>
      </c>
      <c r="D466" s="1" t="s">
        <v>102</v>
      </c>
      <c r="E466" s="1" t="s">
        <v>12</v>
      </c>
      <c r="F466" s="1">
        <v>189.34</v>
      </c>
      <c r="G466" s="1" t="s">
        <v>139</v>
      </c>
      <c r="H466" s="2">
        <v>29381</v>
      </c>
      <c r="I466" s="2">
        <v>44367</v>
      </c>
      <c r="J466" s="1">
        <v>36.89</v>
      </c>
      <c r="K466" s="1">
        <f t="shared" si="20"/>
        <v>69.847526000000002</v>
      </c>
      <c r="L466" s="1">
        <f t="shared" si="21"/>
        <v>119.492474</v>
      </c>
      <c r="U466">
        <v>2350.2783399999998</v>
      </c>
      <c r="X466" s="1">
        <v>1632</v>
      </c>
      <c r="Y466" s="2">
        <v>44856</v>
      </c>
      <c r="Z466" s="1" t="str">
        <v>North</v>
      </c>
      <c r="AA466" s="1" t="str">
        <v>Table</v>
      </c>
      <c r="AB466" s="1" t="str">
        <v>Furniture</v>
      </c>
      <c r="AC466" s="1">
        <v>3721.15</v>
      </c>
      <c r="AD466" s="1" t="str">
        <v>Antonio David</v>
      </c>
      <c r="AE466" s="1">
        <v>24580</v>
      </c>
      <c r="AF466" s="1">
        <v>44862</v>
      </c>
      <c r="AG466" s="1">
        <v>36.840000000000003</v>
      </c>
      <c r="AH466" s="1">
        <v>1370.8716600000002</v>
      </c>
      <c r="AI466" s="1">
        <v>2350.2783399999998</v>
      </c>
    </row>
    <row r="467" spans="1:35" x14ac:dyDescent="0.35">
      <c r="A467" s="1">
        <v>1465</v>
      </c>
      <c r="B467" s="2">
        <v>44609</v>
      </c>
      <c r="C467" s="1" t="s">
        <v>21</v>
      </c>
      <c r="D467" s="1" t="s">
        <v>102</v>
      </c>
      <c r="E467" s="1" t="s">
        <v>12</v>
      </c>
      <c r="F467" s="1">
        <v>2924.35</v>
      </c>
      <c r="G467" s="1" t="s">
        <v>156</v>
      </c>
      <c r="H467" s="2">
        <v>38693</v>
      </c>
      <c r="I467" s="2">
        <v>44610</v>
      </c>
      <c r="J467" s="1">
        <v>27.69</v>
      </c>
      <c r="K467" s="1">
        <f t="shared" si="20"/>
        <v>809.75251500000013</v>
      </c>
      <c r="L467" s="1">
        <f t="shared" si="21"/>
        <v>2114.5974849999998</v>
      </c>
      <c r="U467">
        <v>3264.971724</v>
      </c>
      <c r="X467" s="1">
        <v>1633</v>
      </c>
      <c r="Y467" s="2">
        <v>45644</v>
      </c>
      <c r="Z467" s="1" t="str">
        <v>Central</v>
      </c>
      <c r="AA467" s="1" t="str">
        <v>Table</v>
      </c>
      <c r="AB467" s="1" t="str">
        <v>Furniture</v>
      </c>
      <c r="AC467" s="1">
        <v>4920.09</v>
      </c>
      <c r="AD467" s="1" t="str">
        <v>Sylvia Landry</v>
      </c>
      <c r="AE467" s="1">
        <v>35642</v>
      </c>
      <c r="AF467" s="1">
        <v>45645</v>
      </c>
      <c r="AG467" s="1">
        <v>33.64</v>
      </c>
      <c r="AH467" s="1">
        <v>1655.1182760000002</v>
      </c>
      <c r="AI467" s="1">
        <v>3264.971724</v>
      </c>
    </row>
    <row r="468" spans="1:35" x14ac:dyDescent="0.35">
      <c r="A468" s="1">
        <v>1466</v>
      </c>
      <c r="B468" s="2">
        <v>45195</v>
      </c>
      <c r="C468" s="1" t="s">
        <v>21</v>
      </c>
      <c r="D468" s="1" t="s">
        <v>53</v>
      </c>
      <c r="E468" s="1" t="s">
        <v>28</v>
      </c>
      <c r="F468" s="1">
        <v>599.16</v>
      </c>
      <c r="G468" s="1" t="s">
        <v>278</v>
      </c>
      <c r="H468" s="2">
        <v>36036</v>
      </c>
      <c r="I468" s="2">
        <v>45209</v>
      </c>
      <c r="J468" s="1">
        <v>7.16</v>
      </c>
      <c r="K468" s="1">
        <f t="shared" si="20"/>
        <v>42.899855999999993</v>
      </c>
      <c r="L468" s="1">
        <f t="shared" si="21"/>
        <v>556.26014399999997</v>
      </c>
      <c r="U468">
        <v>1107.027975</v>
      </c>
      <c r="X468" s="1">
        <v>1634</v>
      </c>
      <c r="Y468" s="2">
        <v>44307</v>
      </c>
      <c r="Z468" s="1" t="str">
        <v>South</v>
      </c>
      <c r="AA468" s="1" t="str">
        <v>Wardrobe</v>
      </c>
      <c r="AB468" s="1" t="str">
        <v>Furniture</v>
      </c>
      <c r="AC468" s="1">
        <v>2036.85</v>
      </c>
      <c r="AD468" s="1" t="str">
        <v>Brian Carson</v>
      </c>
      <c r="AE468" s="1">
        <v>30232</v>
      </c>
      <c r="AF468" s="1">
        <v>44315</v>
      </c>
      <c r="AG468" s="1">
        <v>45.65</v>
      </c>
      <c r="AH468" s="1">
        <v>929.82202499999983</v>
      </c>
      <c r="AI468" s="1">
        <v>1107.027975</v>
      </c>
    </row>
    <row r="469" spans="1:35" x14ac:dyDescent="0.35">
      <c r="A469" s="1">
        <v>1467</v>
      </c>
      <c r="B469" s="2">
        <v>44414</v>
      </c>
      <c r="C469" s="1" t="s">
        <v>26</v>
      </c>
      <c r="D469" s="1" t="s">
        <v>55</v>
      </c>
      <c r="E469" s="1" t="s">
        <v>31</v>
      </c>
      <c r="F469" s="1">
        <v>3973.82</v>
      </c>
      <c r="G469" s="1" t="s">
        <v>107</v>
      </c>
      <c r="H469" s="2">
        <v>26671</v>
      </c>
      <c r="I469" s="2">
        <v>44423</v>
      </c>
      <c r="J469" s="1">
        <v>32.340000000000003</v>
      </c>
      <c r="K469" s="1">
        <f t="shared" si="20"/>
        <v>1285.1333880000002</v>
      </c>
      <c r="L469" s="1">
        <f t="shared" si="21"/>
        <v>2688.686612</v>
      </c>
      <c r="U469">
        <v>1764.655485</v>
      </c>
      <c r="X469" s="1">
        <v>1636</v>
      </c>
      <c r="Y469" s="2">
        <v>45358</v>
      </c>
      <c r="Z469" s="1" t="str">
        <v>North</v>
      </c>
      <c r="AA469" s="1" t="str">
        <v>Wheat</v>
      </c>
      <c r="AB469" s="1" t="str">
        <v>Groceries</v>
      </c>
      <c r="AC469" s="1">
        <v>2263.83</v>
      </c>
      <c r="AD469" s="1" t="str">
        <v>David Blevins</v>
      </c>
      <c r="AE469" s="1">
        <v>30410</v>
      </c>
      <c r="AF469" s="1">
        <v>45367</v>
      </c>
      <c r="AG469" s="1">
        <v>22.05</v>
      </c>
      <c r="AH469" s="1">
        <v>499.17451499999999</v>
      </c>
      <c r="AI469" s="1">
        <v>1764.655485</v>
      </c>
    </row>
    <row r="470" spans="1:35" x14ac:dyDescent="0.35">
      <c r="A470" s="1">
        <v>1468</v>
      </c>
      <c r="B470" s="2">
        <v>45292</v>
      </c>
      <c r="C470" s="1" t="s">
        <v>10</v>
      </c>
      <c r="D470" s="1" t="s">
        <v>65</v>
      </c>
      <c r="E470" s="1" t="s">
        <v>19</v>
      </c>
      <c r="F470" s="1">
        <v>3282.15</v>
      </c>
      <c r="G470" s="1" t="s">
        <v>59</v>
      </c>
      <c r="H470" s="2">
        <v>25166</v>
      </c>
      <c r="I470" s="2">
        <v>45294</v>
      </c>
      <c r="J470" s="1">
        <v>46.01</v>
      </c>
      <c r="K470" s="1">
        <f t="shared" si="20"/>
        <v>1510.117215</v>
      </c>
      <c r="L470" s="1">
        <f t="shared" si="21"/>
        <v>1772.0327850000001</v>
      </c>
      <c r="U470">
        <v>2049.7647940000002</v>
      </c>
      <c r="X470" s="1">
        <v>1638</v>
      </c>
      <c r="Y470" s="2">
        <v>45552</v>
      </c>
      <c r="Z470" s="1" t="str">
        <v>North</v>
      </c>
      <c r="AA470" s="1" t="str">
        <v>Milk</v>
      </c>
      <c r="AB470" s="1" t="str">
        <v>Groceries</v>
      </c>
      <c r="AC470" s="1">
        <v>2138.29</v>
      </c>
      <c r="AD470" s="1" t="str">
        <v>Beth Landry</v>
      </c>
      <c r="AE470" s="1">
        <v>34954</v>
      </c>
      <c r="AF470" s="1">
        <v>45558</v>
      </c>
      <c r="AG470" s="1">
        <v>4.1399999999999997</v>
      </c>
      <c r="AH470" s="1">
        <v>88.525205999999997</v>
      </c>
      <c r="AI470" s="1">
        <v>2049.7647940000002</v>
      </c>
    </row>
    <row r="471" spans="1:35" x14ac:dyDescent="0.35">
      <c r="A471" s="1">
        <v>1469</v>
      </c>
      <c r="B471" s="2">
        <v>45516</v>
      </c>
      <c r="C471" s="1" t="s">
        <v>35</v>
      </c>
      <c r="D471" s="1" t="s">
        <v>44</v>
      </c>
      <c r="E471" s="1" t="s">
        <v>16</v>
      </c>
      <c r="F471" s="1">
        <v>542.1</v>
      </c>
      <c r="G471" s="1" t="s">
        <v>104</v>
      </c>
      <c r="H471" s="2">
        <v>24852</v>
      </c>
      <c r="I471" s="2">
        <v>45527</v>
      </c>
      <c r="J471" s="1">
        <v>0.99</v>
      </c>
      <c r="K471" s="1">
        <f t="shared" si="20"/>
        <v>5.3667899999999999</v>
      </c>
      <c r="L471" s="1">
        <f t="shared" si="21"/>
        <v>536.73320999999999</v>
      </c>
      <c r="U471">
        <v>1526.497069</v>
      </c>
      <c r="X471" s="1">
        <v>1639</v>
      </c>
      <c r="Y471" s="2">
        <v>44586</v>
      </c>
      <c r="Z471" s="1" t="str">
        <v>South</v>
      </c>
      <c r="AA471" s="1" t="str">
        <v>Camera</v>
      </c>
      <c r="AB471" s="1" t="str">
        <v>Electronics</v>
      </c>
      <c r="AC471" s="1">
        <v>2315.33</v>
      </c>
      <c r="AD471" s="1" t="str">
        <v>Jacqueline Chen</v>
      </c>
      <c r="AE471" s="1">
        <v>25163</v>
      </c>
      <c r="AF471" s="1">
        <v>44597</v>
      </c>
      <c r="AG471" s="1">
        <v>34.07</v>
      </c>
      <c r="AH471" s="1">
        <v>788.83293100000003</v>
      </c>
      <c r="AI471" s="1">
        <v>1526.497069</v>
      </c>
    </row>
    <row r="472" spans="1:35" x14ac:dyDescent="0.35">
      <c r="A472" s="1">
        <v>1470</v>
      </c>
      <c r="B472" s="2">
        <v>45209</v>
      </c>
      <c r="C472" s="1" t="s">
        <v>14</v>
      </c>
      <c r="D472" s="1" t="s">
        <v>36</v>
      </c>
      <c r="E472" s="1" t="s">
        <v>28</v>
      </c>
      <c r="F472" s="1">
        <v>1541</v>
      </c>
      <c r="G472" s="1" t="s">
        <v>111</v>
      </c>
      <c r="H472" s="2">
        <v>34704</v>
      </c>
      <c r="I472" s="2">
        <v>45222</v>
      </c>
      <c r="J472" s="1">
        <v>33.85</v>
      </c>
      <c r="K472" s="1">
        <f t="shared" si="20"/>
        <v>521.62850000000003</v>
      </c>
      <c r="L472" s="1">
        <f t="shared" si="21"/>
        <v>1019.3715</v>
      </c>
      <c r="U472">
        <v>3541.9814100000003</v>
      </c>
      <c r="X472" s="1">
        <v>1640</v>
      </c>
      <c r="Y472" s="2">
        <v>45661</v>
      </c>
      <c r="Z472" s="1" t="str">
        <v>Central</v>
      </c>
      <c r="AA472" s="1" t="str">
        <v>Milk</v>
      </c>
      <c r="AB472" s="1" t="str">
        <v>Groceries</v>
      </c>
      <c r="AC472" s="1">
        <v>3804.9</v>
      </c>
      <c r="AD472" s="1" t="str">
        <v>David Blevins</v>
      </c>
      <c r="AE472" s="1">
        <v>30410</v>
      </c>
      <c r="AF472" s="1">
        <v>45663</v>
      </c>
      <c r="AG472" s="1">
        <v>6.91</v>
      </c>
      <c r="AH472" s="1">
        <v>262.91858999999999</v>
      </c>
      <c r="AI472" s="1">
        <v>3541.9814100000003</v>
      </c>
    </row>
    <row r="473" spans="1:35" x14ac:dyDescent="0.35">
      <c r="A473" s="1">
        <v>1471</v>
      </c>
      <c r="B473" s="2">
        <v>45744</v>
      </c>
      <c r="C473" s="1" t="s">
        <v>10</v>
      </c>
      <c r="D473" s="1" t="s">
        <v>22</v>
      </c>
      <c r="E473" s="1" t="s">
        <v>19</v>
      </c>
      <c r="F473" s="1">
        <v>2582.08</v>
      </c>
      <c r="G473" s="1" t="s">
        <v>150</v>
      </c>
      <c r="H473" s="2">
        <v>31231</v>
      </c>
      <c r="I473" s="2">
        <v>45752</v>
      </c>
      <c r="J473" s="1">
        <v>38.43</v>
      </c>
      <c r="K473" s="1">
        <f t="shared" si="20"/>
        <v>992.29334399999993</v>
      </c>
      <c r="L473" s="1">
        <f t="shared" si="21"/>
        <v>1589.786656</v>
      </c>
      <c r="U473">
        <v>1145.3206600000001</v>
      </c>
      <c r="X473" s="1">
        <v>1641</v>
      </c>
      <c r="Y473" s="2">
        <v>45770</v>
      </c>
      <c r="Z473" s="1" t="str">
        <v>East</v>
      </c>
      <c r="AA473" s="1" t="str">
        <v>Wheat</v>
      </c>
      <c r="AB473" s="1" t="str">
        <v>Groceries</v>
      </c>
      <c r="AC473" s="1">
        <v>1233.6500000000001</v>
      </c>
      <c r="AD473" s="1" t="str">
        <v>Douglas Williams</v>
      </c>
      <c r="AE473" s="1">
        <v>38826</v>
      </c>
      <c r="AF473" s="1">
        <v>45782</v>
      </c>
      <c r="AG473" s="1">
        <v>7.16</v>
      </c>
      <c r="AH473" s="1">
        <v>88.329340000000002</v>
      </c>
      <c r="AI473" s="1">
        <v>1145.3206600000001</v>
      </c>
    </row>
    <row r="474" spans="1:35" x14ac:dyDescent="0.35">
      <c r="A474" s="1">
        <v>1472</v>
      </c>
      <c r="B474" s="2">
        <v>45397</v>
      </c>
      <c r="C474" s="1" t="s">
        <v>35</v>
      </c>
      <c r="D474" s="1" t="s">
        <v>11</v>
      </c>
      <c r="E474" s="1" t="s">
        <v>12</v>
      </c>
      <c r="F474" s="1">
        <v>4856.3100000000004</v>
      </c>
      <c r="G474" s="1" t="s">
        <v>279</v>
      </c>
      <c r="H474" s="2">
        <v>38934</v>
      </c>
      <c r="I474" s="2">
        <v>45405</v>
      </c>
      <c r="J474" s="1">
        <v>11.87</v>
      </c>
      <c r="K474" s="1">
        <f t="shared" si="20"/>
        <v>576.44399699999997</v>
      </c>
      <c r="L474" s="1">
        <f t="shared" si="21"/>
        <v>4279.8660030000001</v>
      </c>
      <c r="U474">
        <v>2243.221344</v>
      </c>
      <c r="X474" s="1">
        <v>1642</v>
      </c>
      <c r="Y474" s="2">
        <v>45094</v>
      </c>
      <c r="Z474" s="1" t="str">
        <v>Central</v>
      </c>
      <c r="AA474" s="1" t="str">
        <v>Wheat</v>
      </c>
      <c r="AB474" s="1" t="str">
        <v>Groceries</v>
      </c>
      <c r="AC474" s="1">
        <v>2282.48</v>
      </c>
      <c r="AD474" s="1" t="str">
        <v>Regina Gay</v>
      </c>
      <c r="AE474" s="1">
        <v>34571</v>
      </c>
      <c r="AF474" s="1">
        <v>45095</v>
      </c>
      <c r="AG474" s="1">
        <v>1.72</v>
      </c>
      <c r="AH474" s="1">
        <v>39.258656000000002</v>
      </c>
      <c r="AI474" s="1">
        <v>2243.221344</v>
      </c>
    </row>
    <row r="475" spans="1:35" x14ac:dyDescent="0.35">
      <c r="A475" s="1">
        <v>1473</v>
      </c>
      <c r="B475" s="2">
        <v>44625</v>
      </c>
      <c r="C475" s="1" t="s">
        <v>26</v>
      </c>
      <c r="D475" s="1" t="s">
        <v>47</v>
      </c>
      <c r="E475" s="1" t="s">
        <v>12</v>
      </c>
      <c r="F475" s="1">
        <v>3734</v>
      </c>
      <c r="G475" s="1" t="s">
        <v>279</v>
      </c>
      <c r="H475" s="2">
        <v>38934</v>
      </c>
      <c r="I475" s="2">
        <v>44634</v>
      </c>
      <c r="J475" s="1">
        <v>37.909999999999997</v>
      </c>
      <c r="K475" s="1">
        <f t="shared" si="20"/>
        <v>1415.5593999999999</v>
      </c>
      <c r="L475" s="1">
        <f t="shared" si="21"/>
        <v>2318.4405999999999</v>
      </c>
      <c r="U475">
        <v>2872.1789790000003</v>
      </c>
      <c r="X475" s="1">
        <v>1643</v>
      </c>
      <c r="Y475" s="2">
        <v>44347</v>
      </c>
      <c r="Z475" s="1" t="str">
        <v>East</v>
      </c>
      <c r="AA475" s="1" t="str">
        <v>Jeans</v>
      </c>
      <c r="AB475" s="1" t="str">
        <v>Clothing</v>
      </c>
      <c r="AC475" s="1">
        <v>4221.93</v>
      </c>
      <c r="AD475" s="1" t="str">
        <v>Derek Boyle</v>
      </c>
      <c r="AE475" s="1">
        <v>27534</v>
      </c>
      <c r="AF475" s="1">
        <v>44356</v>
      </c>
      <c r="AG475" s="1">
        <v>31.97</v>
      </c>
      <c r="AH475" s="1">
        <v>1349.751021</v>
      </c>
      <c r="AI475" s="1">
        <v>2872.1789790000003</v>
      </c>
    </row>
    <row r="476" spans="1:35" x14ac:dyDescent="0.35">
      <c r="A476" s="1">
        <v>1474</v>
      </c>
      <c r="B476" s="2">
        <v>45823</v>
      </c>
      <c r="C476" s="1" t="s">
        <v>10</v>
      </c>
      <c r="D476" s="1" t="s">
        <v>22</v>
      </c>
      <c r="E476" s="1" t="s">
        <v>19</v>
      </c>
      <c r="F476" s="1">
        <v>366.94</v>
      </c>
      <c r="G476" s="1" t="s">
        <v>191</v>
      </c>
      <c r="H476" s="2">
        <v>37495</v>
      </c>
      <c r="I476" s="2">
        <v>45829</v>
      </c>
      <c r="J476" s="1">
        <v>48.35</v>
      </c>
      <c r="K476" s="1">
        <f t="shared" si="20"/>
        <v>177.41549000000001</v>
      </c>
      <c r="L476" s="1">
        <f t="shared" si="21"/>
        <v>189.52450999999999</v>
      </c>
      <c r="U476">
        <v>1551.9140490000002</v>
      </c>
      <c r="X476" s="1">
        <v>1644</v>
      </c>
      <c r="Y476" s="2">
        <v>44353</v>
      </c>
      <c r="Z476" s="1" t="str">
        <v>West</v>
      </c>
      <c r="AA476" s="1" t="str">
        <v>Smartphone</v>
      </c>
      <c r="AB476" s="1" t="str">
        <v>Electronics</v>
      </c>
      <c r="AC476" s="1">
        <v>2669.73</v>
      </c>
      <c r="AD476" s="1" t="str">
        <v>Bruce Miller</v>
      </c>
      <c r="AE476" s="1">
        <v>31775</v>
      </c>
      <c r="AF476" s="1">
        <v>44358</v>
      </c>
      <c r="AG476" s="1">
        <v>41.87</v>
      </c>
      <c r="AH476" s="1">
        <v>1117.8159509999998</v>
      </c>
      <c r="AI476" s="1">
        <v>1551.9140490000002</v>
      </c>
    </row>
    <row r="477" spans="1:35" x14ac:dyDescent="0.35">
      <c r="A477" s="1">
        <v>1475</v>
      </c>
      <c r="B477" s="2">
        <v>45168</v>
      </c>
      <c r="C477" s="1" t="s">
        <v>14</v>
      </c>
      <c r="D477" s="1" t="s">
        <v>33</v>
      </c>
      <c r="E477" s="1" t="s">
        <v>16</v>
      </c>
      <c r="F477" s="1">
        <v>4233.49</v>
      </c>
      <c r="G477" s="1" t="s">
        <v>190</v>
      </c>
      <c r="H477" s="2">
        <v>33354</v>
      </c>
      <c r="I477" s="2">
        <v>45172</v>
      </c>
      <c r="J477" s="1">
        <v>48.48</v>
      </c>
      <c r="K477" s="1">
        <f t="shared" si="20"/>
        <v>2052.3959519999999</v>
      </c>
      <c r="L477" s="1">
        <f t="shared" si="21"/>
        <v>2181.0940479999999</v>
      </c>
      <c r="U477">
        <v>1437.429744</v>
      </c>
      <c r="X477" s="1">
        <v>1645</v>
      </c>
      <c r="Y477" s="2">
        <v>44100</v>
      </c>
      <c r="Z477" s="1" t="str">
        <v>South</v>
      </c>
      <c r="AA477" s="1" t="str">
        <v>Sofa</v>
      </c>
      <c r="AB477" s="1" t="str">
        <v>Furniture</v>
      </c>
      <c r="AC477" s="1">
        <v>1691.89</v>
      </c>
      <c r="AD477" s="1" t="str">
        <v>Rebecca Fletcher</v>
      </c>
      <c r="AE477" s="1">
        <v>37495</v>
      </c>
      <c r="AF477" s="1">
        <v>44107</v>
      </c>
      <c r="AG477" s="1">
        <v>15.04</v>
      </c>
      <c r="AH477" s="1">
        <v>254.46025599999999</v>
      </c>
      <c r="AI477" s="1">
        <v>1437.429744</v>
      </c>
    </row>
    <row r="478" spans="1:35" x14ac:dyDescent="0.35">
      <c r="A478" s="1">
        <v>1476</v>
      </c>
      <c r="B478" s="2">
        <v>44568</v>
      </c>
      <c r="C478" s="1" t="s">
        <v>35</v>
      </c>
      <c r="D478" s="1" t="s">
        <v>69</v>
      </c>
      <c r="E478" s="1" t="s">
        <v>12</v>
      </c>
      <c r="F478" s="1">
        <v>644.57000000000005</v>
      </c>
      <c r="G478" s="1" t="s">
        <v>194</v>
      </c>
      <c r="H478" s="2">
        <v>22210</v>
      </c>
      <c r="I478" s="2">
        <v>44576</v>
      </c>
      <c r="J478" s="1">
        <v>26.36</v>
      </c>
      <c r="K478" s="1">
        <f t="shared" si="20"/>
        <v>169.90865200000002</v>
      </c>
      <c r="L478" s="1">
        <f t="shared" si="21"/>
        <v>474.66134800000003</v>
      </c>
      <c r="U478">
        <v>1787.1408670000001</v>
      </c>
      <c r="X478" s="1">
        <v>1647</v>
      </c>
      <c r="Y478" s="2">
        <v>45397</v>
      </c>
      <c r="Z478" s="1" t="str">
        <v>West</v>
      </c>
      <c r="AA478" s="1" t="str">
        <v>Wardrobe</v>
      </c>
      <c r="AB478" s="1" t="str">
        <v>Furniture</v>
      </c>
      <c r="AC478" s="1">
        <v>3017.29</v>
      </c>
      <c r="AD478" s="1" t="str">
        <v>David Noble</v>
      </c>
      <c r="AE478" s="1">
        <v>22594</v>
      </c>
      <c r="AF478" s="1">
        <v>45408</v>
      </c>
      <c r="AG478" s="1">
        <v>40.770000000000003</v>
      </c>
      <c r="AH478" s="1">
        <v>1230.1491329999999</v>
      </c>
      <c r="AI478" s="1">
        <v>1787.1408670000001</v>
      </c>
    </row>
    <row r="479" spans="1:35" x14ac:dyDescent="0.35">
      <c r="A479" s="1">
        <v>1477</v>
      </c>
      <c r="B479" s="2">
        <v>44919</v>
      </c>
      <c r="C479" s="1" t="s">
        <v>35</v>
      </c>
      <c r="D479" s="1" t="s">
        <v>22</v>
      </c>
      <c r="E479" s="1" t="s">
        <v>19</v>
      </c>
      <c r="F479" s="1">
        <v>4592.13</v>
      </c>
      <c r="G479" s="1" t="s">
        <v>213</v>
      </c>
      <c r="H479" s="2">
        <v>34345</v>
      </c>
      <c r="I479" s="2">
        <v>44925</v>
      </c>
      <c r="J479" s="1">
        <v>11.9</v>
      </c>
      <c r="K479" s="1">
        <f t="shared" si="20"/>
        <v>546.46347000000003</v>
      </c>
      <c r="L479" s="1">
        <f t="shared" si="21"/>
        <v>4045.66653</v>
      </c>
      <c r="U479">
        <v>4454.3549140000005</v>
      </c>
      <c r="X479" s="1">
        <v>1649</v>
      </c>
      <c r="Y479" s="2">
        <v>44132</v>
      </c>
      <c r="Z479" s="1" t="str">
        <v>Central</v>
      </c>
      <c r="AA479" s="1" t="str">
        <v>Table</v>
      </c>
      <c r="AB479" s="1" t="str">
        <v>Furniture</v>
      </c>
      <c r="AC479" s="1">
        <v>4753.34</v>
      </c>
      <c r="AD479" s="1" t="str">
        <v>Jeffery Smith</v>
      </c>
      <c r="AE479" s="1">
        <v>28619</v>
      </c>
      <c r="AF479" s="1">
        <v>44140</v>
      </c>
      <c r="AG479" s="1">
        <v>6.29</v>
      </c>
      <c r="AH479" s="1">
        <v>298.98508600000002</v>
      </c>
      <c r="AI479" s="1">
        <v>4454.3549140000005</v>
      </c>
    </row>
    <row r="480" spans="1:35" x14ac:dyDescent="0.35">
      <c r="A480" s="1">
        <v>1478</v>
      </c>
      <c r="B480" s="2">
        <v>44951</v>
      </c>
      <c r="C480" s="1" t="s">
        <v>35</v>
      </c>
      <c r="D480" s="1" t="s">
        <v>33</v>
      </c>
      <c r="E480" s="1" t="s">
        <v>16</v>
      </c>
      <c r="F480" s="1">
        <v>3161.42</v>
      </c>
      <c r="G480" s="1" t="s">
        <v>124</v>
      </c>
      <c r="H480" s="2">
        <v>30786</v>
      </c>
      <c r="I480" s="2">
        <v>44952</v>
      </c>
      <c r="J480" s="1">
        <v>47.23</v>
      </c>
      <c r="K480" s="1">
        <f t="shared" si="20"/>
        <v>1493.1386659999998</v>
      </c>
      <c r="L480" s="1">
        <f t="shared" si="21"/>
        <v>1668.2813340000002</v>
      </c>
      <c r="U480">
        <v>1322.7284719999998</v>
      </c>
      <c r="X480" s="1">
        <v>1653</v>
      </c>
      <c r="Y480" s="2">
        <v>44374</v>
      </c>
      <c r="Z480" s="1" t="str">
        <v>North</v>
      </c>
      <c r="AA480" s="1" t="str">
        <v>Wardrobe</v>
      </c>
      <c r="AB480" s="1" t="str">
        <v>Furniture</v>
      </c>
      <c r="AC480" s="1">
        <v>1898.29</v>
      </c>
      <c r="AD480" s="1" t="str">
        <v>Jimmy Lopez</v>
      </c>
      <c r="AE480" s="1">
        <v>36246</v>
      </c>
      <c r="AF480" s="1">
        <v>44386</v>
      </c>
      <c r="AG480" s="1">
        <v>30.32</v>
      </c>
      <c r="AH480" s="1">
        <v>575.56152800000007</v>
      </c>
      <c r="AI480" s="1">
        <v>1322.7284719999998</v>
      </c>
    </row>
    <row r="481" spans="1:35" x14ac:dyDescent="0.35">
      <c r="A481" s="1">
        <v>1479</v>
      </c>
      <c r="B481" s="2">
        <v>45434</v>
      </c>
      <c r="C481" s="1" t="s">
        <v>14</v>
      </c>
      <c r="D481" s="1" t="s">
        <v>30</v>
      </c>
      <c r="E481" s="1" t="s">
        <v>31</v>
      </c>
      <c r="F481" s="1">
        <v>1196.3599999999999</v>
      </c>
      <c r="G481" s="1" t="s">
        <v>179</v>
      </c>
      <c r="H481" s="2">
        <v>30356</v>
      </c>
      <c r="I481" s="2">
        <v>45447</v>
      </c>
      <c r="J481" s="1">
        <v>23.7</v>
      </c>
      <c r="K481" s="1">
        <f t="shared" si="20"/>
        <v>283.53731999999997</v>
      </c>
      <c r="L481" s="1">
        <f t="shared" si="21"/>
        <v>912.82267999999999</v>
      </c>
      <c r="U481">
        <v>2114.6724480000003</v>
      </c>
      <c r="X481" s="1">
        <v>1654</v>
      </c>
      <c r="Y481" s="2">
        <v>44437</v>
      </c>
      <c r="Z481" s="1" t="str">
        <v>East</v>
      </c>
      <c r="AA481" s="1" t="str">
        <v>Jeans</v>
      </c>
      <c r="AB481" s="1" t="str">
        <v>Clothing</v>
      </c>
      <c r="AC481" s="1">
        <v>2209.92</v>
      </c>
      <c r="AD481" s="1" t="str">
        <v>Timothy Castaneda</v>
      </c>
      <c r="AE481" s="1">
        <v>31880</v>
      </c>
      <c r="AF481" s="1">
        <v>44450</v>
      </c>
      <c r="AG481" s="1">
        <v>4.3099999999999996</v>
      </c>
      <c r="AH481" s="1">
        <v>95.247551999999999</v>
      </c>
      <c r="AI481" s="1">
        <v>2114.6724480000003</v>
      </c>
    </row>
    <row r="482" spans="1:35" x14ac:dyDescent="0.35">
      <c r="A482" s="1">
        <v>1480</v>
      </c>
      <c r="B482" s="2">
        <v>45117</v>
      </c>
      <c r="C482" s="1" t="s">
        <v>14</v>
      </c>
      <c r="D482" s="1" t="s">
        <v>102</v>
      </c>
      <c r="E482" s="1" t="s">
        <v>12</v>
      </c>
      <c r="F482" s="1">
        <v>4459.7700000000004</v>
      </c>
      <c r="G482" s="1" t="s">
        <v>223</v>
      </c>
      <c r="H482" s="2">
        <v>35407</v>
      </c>
      <c r="I482" s="2">
        <v>45127</v>
      </c>
      <c r="J482" s="1">
        <v>48.71</v>
      </c>
      <c r="K482" s="1">
        <f t="shared" si="20"/>
        <v>2172.3539670000005</v>
      </c>
      <c r="L482" s="1">
        <f t="shared" si="21"/>
        <v>2287.416033</v>
      </c>
      <c r="U482">
        <v>1452.107622</v>
      </c>
      <c r="X482" s="1">
        <v>1655</v>
      </c>
      <c r="Y482" s="2">
        <v>44345</v>
      </c>
      <c r="Z482" s="1" t="str">
        <v>East</v>
      </c>
      <c r="AA482" s="1" t="str">
        <v>Headphones</v>
      </c>
      <c r="AB482" s="1" t="str">
        <v>Electronics</v>
      </c>
      <c r="AC482" s="1">
        <v>2307.13</v>
      </c>
      <c r="AD482" s="1" t="str">
        <v>Nicole Cantu</v>
      </c>
      <c r="AE482" s="1">
        <v>31261</v>
      </c>
      <c r="AF482" s="1">
        <v>44354</v>
      </c>
      <c r="AG482" s="1">
        <v>37.06</v>
      </c>
      <c r="AH482" s="1">
        <v>855.02237800000012</v>
      </c>
      <c r="AI482" s="1">
        <v>1452.107622</v>
      </c>
    </row>
    <row r="483" spans="1:35" x14ac:dyDescent="0.35">
      <c r="A483" s="1">
        <v>1481</v>
      </c>
      <c r="B483" s="2">
        <v>45763</v>
      </c>
      <c r="C483" s="1" t="s">
        <v>14</v>
      </c>
      <c r="D483" s="1" t="s">
        <v>15</v>
      </c>
      <c r="E483" s="1" t="s">
        <v>16</v>
      </c>
      <c r="F483" s="1">
        <v>4811.79</v>
      </c>
      <c r="G483" s="1" t="s">
        <v>94</v>
      </c>
      <c r="H483" s="2">
        <v>25516</v>
      </c>
      <c r="I483" s="2">
        <v>45774</v>
      </c>
      <c r="J483" s="1">
        <v>37.81</v>
      </c>
      <c r="K483" s="1">
        <f t="shared" si="20"/>
        <v>1819.3377990000001</v>
      </c>
      <c r="L483" s="1">
        <f t="shared" si="21"/>
        <v>2992.4522010000001</v>
      </c>
      <c r="U483">
        <v>2261.6339900000003</v>
      </c>
      <c r="X483" s="1">
        <v>1658</v>
      </c>
      <c r="Y483" s="2">
        <v>44430</v>
      </c>
      <c r="Z483" s="1" t="str">
        <v>Central</v>
      </c>
      <c r="AA483" s="1" t="str">
        <v>Football</v>
      </c>
      <c r="AB483" s="1" t="str">
        <v>Sports</v>
      </c>
      <c r="AC483" s="1">
        <v>2670.17</v>
      </c>
      <c r="AD483" s="1" t="str">
        <v>Megan Wagner</v>
      </c>
      <c r="AE483" s="1">
        <v>29810</v>
      </c>
      <c r="AF483" s="1">
        <v>44441</v>
      </c>
      <c r="AG483" s="1">
        <v>15.3</v>
      </c>
      <c r="AH483" s="1">
        <v>408.53600999999998</v>
      </c>
      <c r="AI483" s="1">
        <v>2261.6339900000003</v>
      </c>
    </row>
    <row r="484" spans="1:35" x14ac:dyDescent="0.35">
      <c r="A484" s="1">
        <v>1482</v>
      </c>
      <c r="B484" s="2">
        <v>44567</v>
      </c>
      <c r="C484" s="1" t="s">
        <v>14</v>
      </c>
      <c r="D484" s="1" t="s">
        <v>58</v>
      </c>
      <c r="E484" s="1" t="s">
        <v>31</v>
      </c>
      <c r="F484" s="1">
        <v>4964.8</v>
      </c>
      <c r="G484" s="1" t="s">
        <v>216</v>
      </c>
      <c r="H484" s="2">
        <v>31419</v>
      </c>
      <c r="I484" s="2">
        <v>44577</v>
      </c>
      <c r="J484" s="1">
        <v>23.65</v>
      </c>
      <c r="K484" s="1">
        <f t="shared" si="20"/>
        <v>1174.1751999999999</v>
      </c>
      <c r="L484" s="1">
        <f t="shared" si="21"/>
        <v>3790.6248000000005</v>
      </c>
      <c r="U484">
        <v>2059.3807420000003</v>
      </c>
      <c r="X484" s="1">
        <v>1659</v>
      </c>
      <c r="Y484" s="2">
        <v>45036</v>
      </c>
      <c r="Z484" s="1" t="str">
        <v>South</v>
      </c>
      <c r="AA484" s="1" t="str">
        <v>T-Shirt</v>
      </c>
      <c r="AB484" s="1" t="str">
        <v>Clothing</v>
      </c>
      <c r="AC484" s="1">
        <v>2555.38</v>
      </c>
      <c r="AD484" s="1" t="str">
        <v>Kelsey Huber</v>
      </c>
      <c r="AE484" s="1">
        <v>21940</v>
      </c>
      <c r="AF484" s="1">
        <v>45041</v>
      </c>
      <c r="AG484" s="1">
        <v>19.41</v>
      </c>
      <c r="AH484" s="1">
        <v>495.999258</v>
      </c>
      <c r="AI484" s="1">
        <v>2059.3807420000003</v>
      </c>
    </row>
    <row r="485" spans="1:35" x14ac:dyDescent="0.35">
      <c r="A485" s="1">
        <v>1483</v>
      </c>
      <c r="B485" s="2">
        <v>44525</v>
      </c>
      <c r="C485" s="1" t="s">
        <v>21</v>
      </c>
      <c r="D485" s="1" t="s">
        <v>73</v>
      </c>
      <c r="E485" s="1" t="s">
        <v>28</v>
      </c>
      <c r="F485" s="1">
        <v>4165.84</v>
      </c>
      <c r="G485" s="1" t="s">
        <v>75</v>
      </c>
      <c r="H485" s="2">
        <v>25853</v>
      </c>
      <c r="I485" s="2">
        <v>44538</v>
      </c>
      <c r="J485" s="1">
        <v>19.77</v>
      </c>
      <c r="K485" s="1">
        <f t="shared" si="20"/>
        <v>823.58656799999994</v>
      </c>
      <c r="L485" s="1">
        <f t="shared" si="21"/>
        <v>3342.2534320000004</v>
      </c>
      <c r="U485">
        <v>3896.0409599999998</v>
      </c>
      <c r="X485" s="1">
        <v>1660</v>
      </c>
      <c r="Y485" s="2">
        <v>44120</v>
      </c>
      <c r="Z485" s="1" t="str">
        <v>East</v>
      </c>
      <c r="AA485" s="1" t="str">
        <v>Jacket</v>
      </c>
      <c r="AB485" s="1" t="str">
        <v>Clothing</v>
      </c>
      <c r="AC485" s="1">
        <v>4831.3999999999996</v>
      </c>
      <c r="AD485" s="1" t="str">
        <v>Dorothy Thomas</v>
      </c>
      <c r="AE485" s="1">
        <v>30364</v>
      </c>
      <c r="AF485" s="1">
        <v>44127</v>
      </c>
      <c r="AG485" s="1">
        <v>19.36</v>
      </c>
      <c r="AH485" s="1">
        <v>935.35903999999994</v>
      </c>
      <c r="AI485" s="1">
        <v>3896.0409599999998</v>
      </c>
    </row>
    <row r="486" spans="1:35" x14ac:dyDescent="0.35">
      <c r="A486" s="1">
        <v>1484</v>
      </c>
      <c r="B486" s="2">
        <v>45568</v>
      </c>
      <c r="C486" s="1" t="s">
        <v>35</v>
      </c>
      <c r="D486" s="1" t="s">
        <v>44</v>
      </c>
      <c r="E486" s="1" t="s">
        <v>16</v>
      </c>
      <c r="F486" s="1">
        <v>1868.61</v>
      </c>
      <c r="G486" s="1" t="s">
        <v>280</v>
      </c>
      <c r="H486" s="2">
        <v>29181</v>
      </c>
      <c r="I486" s="2">
        <v>45576</v>
      </c>
      <c r="J486" s="1">
        <v>41.34</v>
      </c>
      <c r="K486" s="1">
        <f t="shared" si="20"/>
        <v>772.48337400000003</v>
      </c>
      <c r="L486" s="1">
        <f t="shared" si="21"/>
        <v>1096.1266259999998</v>
      </c>
      <c r="U486">
        <v>3999.5401599999996</v>
      </c>
      <c r="X486" s="1">
        <v>1661</v>
      </c>
      <c r="Y486" s="2">
        <v>45816</v>
      </c>
      <c r="Z486" s="1" t="str">
        <v>North</v>
      </c>
      <c r="AA486" s="1" t="str">
        <v>Headphones</v>
      </c>
      <c r="AB486" s="1" t="str">
        <v>Electronics</v>
      </c>
      <c r="AC486" s="1">
        <v>4672.3599999999997</v>
      </c>
      <c r="AD486" s="1" t="str">
        <v>Lisa Vega</v>
      </c>
      <c r="AE486" s="1">
        <v>34164</v>
      </c>
      <c r="AF486" s="1">
        <v>45827</v>
      </c>
      <c r="AG486" s="1">
        <v>14.4</v>
      </c>
      <c r="AH486" s="1">
        <v>672.81984</v>
      </c>
      <c r="AI486" s="1">
        <v>3999.5401599999996</v>
      </c>
    </row>
    <row r="487" spans="1:35" x14ac:dyDescent="0.35">
      <c r="A487" s="1">
        <v>1485</v>
      </c>
      <c r="B487" s="2">
        <v>45096</v>
      </c>
      <c r="C487" s="1" t="s">
        <v>26</v>
      </c>
      <c r="D487" s="1" t="s">
        <v>88</v>
      </c>
      <c r="E487" s="1" t="s">
        <v>16</v>
      </c>
      <c r="F487" s="1">
        <v>960.82</v>
      </c>
      <c r="G487" s="1" t="s">
        <v>159</v>
      </c>
      <c r="H487" s="2">
        <v>38194</v>
      </c>
      <c r="I487" s="2">
        <v>45099</v>
      </c>
      <c r="J487" s="1">
        <v>40.98</v>
      </c>
      <c r="K487" s="1">
        <f t="shared" si="20"/>
        <v>393.74403599999994</v>
      </c>
      <c r="L487" s="1">
        <f t="shared" si="21"/>
        <v>567.07596400000011</v>
      </c>
      <c r="U487">
        <v>3472.206416</v>
      </c>
      <c r="X487" s="1">
        <v>1665</v>
      </c>
      <c r="Y487" s="2">
        <v>44583</v>
      </c>
      <c r="Z487" s="1" t="str">
        <v>East</v>
      </c>
      <c r="AA487" s="1" t="str">
        <v>Basketball</v>
      </c>
      <c r="AB487" s="1" t="str">
        <v>Sports</v>
      </c>
      <c r="AC487" s="1">
        <v>4882.18</v>
      </c>
      <c r="AD487" s="1" t="str">
        <v>Harold Williams</v>
      </c>
      <c r="AE487" s="1">
        <v>37894</v>
      </c>
      <c r="AF487" s="1">
        <v>44590</v>
      </c>
      <c r="AG487" s="1">
        <v>28.88</v>
      </c>
      <c r="AH487" s="1">
        <v>1409.9735840000001</v>
      </c>
      <c r="AI487" s="1">
        <v>3472.206416</v>
      </c>
    </row>
    <row r="488" spans="1:35" x14ac:dyDescent="0.35">
      <c r="A488" s="1">
        <v>1486</v>
      </c>
      <c r="B488" s="2">
        <v>45010</v>
      </c>
      <c r="C488" s="1" t="s">
        <v>26</v>
      </c>
      <c r="D488" s="1" t="s">
        <v>44</v>
      </c>
      <c r="E488" s="1" t="s">
        <v>16</v>
      </c>
      <c r="F488" s="1">
        <v>4628</v>
      </c>
      <c r="G488" s="1" t="s">
        <v>50</v>
      </c>
      <c r="H488" s="2">
        <v>22594</v>
      </c>
      <c r="I488" s="2">
        <v>45014</v>
      </c>
      <c r="J488" s="1">
        <v>44.68</v>
      </c>
      <c r="K488" s="1">
        <f t="shared" si="20"/>
        <v>2067.7903999999999</v>
      </c>
      <c r="L488" s="1">
        <f t="shared" si="21"/>
        <v>2560.2096000000001</v>
      </c>
      <c r="U488">
        <v>1510.804386</v>
      </c>
      <c r="X488" s="1">
        <v>1667</v>
      </c>
      <c r="Y488" s="2">
        <v>44932</v>
      </c>
      <c r="Z488" s="1" t="str">
        <v>Central</v>
      </c>
      <c r="AA488" s="1" t="str">
        <v>Camera</v>
      </c>
      <c r="AB488" s="1" t="str">
        <v>Electronics</v>
      </c>
      <c r="AC488" s="1">
        <v>2188.62</v>
      </c>
      <c r="AD488" s="1" t="str">
        <v>Aaron Ramirez</v>
      </c>
      <c r="AE488" s="1">
        <v>23704</v>
      </c>
      <c r="AF488" s="1">
        <v>44942</v>
      </c>
      <c r="AG488" s="1">
        <v>30.97</v>
      </c>
      <c r="AH488" s="1">
        <v>677.81561399999987</v>
      </c>
      <c r="AI488" s="1">
        <v>1510.804386</v>
      </c>
    </row>
    <row r="489" spans="1:35" x14ac:dyDescent="0.35">
      <c r="A489" s="1">
        <v>1487</v>
      </c>
      <c r="B489" s="2">
        <v>45153</v>
      </c>
      <c r="C489" s="1" t="s">
        <v>35</v>
      </c>
      <c r="D489" s="1" t="s">
        <v>30</v>
      </c>
      <c r="E489" s="1" t="s">
        <v>31</v>
      </c>
      <c r="F489" s="1">
        <v>4033.32</v>
      </c>
      <c r="G489" s="1" t="s">
        <v>187</v>
      </c>
      <c r="H489" s="2">
        <v>30778</v>
      </c>
      <c r="I489" s="2">
        <v>45162</v>
      </c>
      <c r="J489" s="1">
        <v>36.51</v>
      </c>
      <c r="K489" s="1">
        <f t="shared" si="20"/>
        <v>1472.5651319999999</v>
      </c>
      <c r="L489" s="1">
        <f t="shared" si="21"/>
        <v>2560.754868</v>
      </c>
      <c r="U489">
        <v>2122.7536849999997</v>
      </c>
      <c r="X489" s="1">
        <v>1669</v>
      </c>
      <c r="Y489" s="2">
        <v>44270</v>
      </c>
      <c r="Z489" s="1" t="str">
        <v>East</v>
      </c>
      <c r="AA489" s="1" t="str">
        <v>Smartphone</v>
      </c>
      <c r="AB489" s="1" t="str">
        <v>Electronics</v>
      </c>
      <c r="AC489" s="1">
        <v>3669.41</v>
      </c>
      <c r="AD489" s="1" t="str">
        <v>Mrs. Vanessa Liu</v>
      </c>
      <c r="AE489" s="1">
        <v>23988</v>
      </c>
      <c r="AF489" s="1">
        <v>44284</v>
      </c>
      <c r="AG489" s="1">
        <v>42.15</v>
      </c>
      <c r="AH489" s="1">
        <v>1546.6563149999999</v>
      </c>
      <c r="AI489" s="1">
        <v>2122.7536849999997</v>
      </c>
    </row>
    <row r="490" spans="1:35" x14ac:dyDescent="0.35">
      <c r="A490" s="1">
        <v>1488</v>
      </c>
      <c r="B490" s="2">
        <v>45427</v>
      </c>
      <c r="C490" s="1" t="s">
        <v>14</v>
      </c>
      <c r="D490" s="1" t="s">
        <v>49</v>
      </c>
      <c r="E490" s="1" t="s">
        <v>12</v>
      </c>
      <c r="F490" s="1">
        <v>2543.13</v>
      </c>
      <c r="G490" s="1" t="s">
        <v>63</v>
      </c>
      <c r="H490" s="2">
        <v>25430</v>
      </c>
      <c r="I490" s="2">
        <v>45441</v>
      </c>
      <c r="J490" s="1">
        <v>15.97</v>
      </c>
      <c r="K490" s="1">
        <f t="shared" si="20"/>
        <v>406.13786100000004</v>
      </c>
      <c r="L490" s="1">
        <f t="shared" si="21"/>
        <v>2136.992139</v>
      </c>
      <c r="U490">
        <v>1963.9851910000002</v>
      </c>
      <c r="X490" s="1">
        <v>1670</v>
      </c>
      <c r="Y490" s="2">
        <v>45041</v>
      </c>
      <c r="Z490" s="1" t="str">
        <v>South</v>
      </c>
      <c r="AA490" s="1" t="str">
        <v>Shoes</v>
      </c>
      <c r="AB490" s="1" t="str">
        <v>Clothing</v>
      </c>
      <c r="AC490" s="1">
        <v>2238.67</v>
      </c>
      <c r="AD490" s="1" t="str">
        <v>Kyle Thomas</v>
      </c>
      <c r="AE490" s="1">
        <v>29541</v>
      </c>
      <c r="AF490" s="1">
        <v>45049</v>
      </c>
      <c r="AG490" s="1">
        <v>12.27</v>
      </c>
      <c r="AH490" s="1">
        <v>274.68480899999997</v>
      </c>
      <c r="AI490" s="1">
        <v>1963.9851910000002</v>
      </c>
    </row>
    <row r="491" spans="1:35" x14ac:dyDescent="0.35">
      <c r="A491" s="1">
        <v>1489</v>
      </c>
      <c r="B491" s="2">
        <v>45218</v>
      </c>
      <c r="C491" s="1" t="s">
        <v>14</v>
      </c>
      <c r="D491" s="1" t="s">
        <v>65</v>
      </c>
      <c r="E491" s="1" t="s">
        <v>19</v>
      </c>
      <c r="F491" s="1">
        <v>640.26</v>
      </c>
      <c r="G491" s="1" t="s">
        <v>253</v>
      </c>
      <c r="H491" s="2">
        <v>27131</v>
      </c>
      <c r="I491" s="2">
        <v>45230</v>
      </c>
      <c r="J491" s="1">
        <v>21</v>
      </c>
      <c r="K491" s="1">
        <f t="shared" si="20"/>
        <v>134.4546</v>
      </c>
      <c r="L491" s="1">
        <f t="shared" si="21"/>
        <v>505.80539999999996</v>
      </c>
      <c r="U491">
        <v>1347.3388499999999</v>
      </c>
      <c r="X491" s="1">
        <v>1673</v>
      </c>
      <c r="Y491" s="2">
        <v>44190</v>
      </c>
      <c r="Z491" s="1" t="str">
        <v>Central</v>
      </c>
      <c r="AA491" s="1" t="str">
        <v>Wheat</v>
      </c>
      <c r="AB491" s="1" t="str">
        <v>Groceries</v>
      </c>
      <c r="AC491" s="1">
        <v>1502.05</v>
      </c>
      <c r="AD491" s="1" t="str">
        <v>Joe Rivera</v>
      </c>
      <c r="AE491" s="1">
        <v>25821</v>
      </c>
      <c r="AF491" s="1">
        <v>44201</v>
      </c>
      <c r="AG491" s="1">
        <v>10.3</v>
      </c>
      <c r="AH491" s="1">
        <v>154.71115</v>
      </c>
      <c r="AI491" s="1">
        <v>1347.3388499999999</v>
      </c>
    </row>
    <row r="492" spans="1:35" x14ac:dyDescent="0.35">
      <c r="A492" s="1">
        <v>1490</v>
      </c>
      <c r="B492" s="2">
        <v>45262</v>
      </c>
      <c r="C492" s="1" t="s">
        <v>35</v>
      </c>
      <c r="D492" s="1" t="s">
        <v>55</v>
      </c>
      <c r="E492" s="1" t="s">
        <v>31</v>
      </c>
      <c r="F492" s="1">
        <v>3779.96</v>
      </c>
      <c r="G492" s="1" t="s">
        <v>281</v>
      </c>
      <c r="H492" s="2">
        <v>37927</v>
      </c>
      <c r="I492" s="2">
        <v>45266</v>
      </c>
      <c r="J492" s="1">
        <v>32.18</v>
      </c>
      <c r="K492" s="1">
        <f t="shared" si="20"/>
        <v>1216.391128</v>
      </c>
      <c r="L492" s="1">
        <f t="shared" si="21"/>
        <v>2563.5688719999998</v>
      </c>
      <c r="U492">
        <v>4375.0783580000007</v>
      </c>
      <c r="X492" s="1">
        <v>1677</v>
      </c>
      <c r="Y492" s="2">
        <v>44508</v>
      </c>
      <c r="Z492" s="1" t="str">
        <v>Central</v>
      </c>
      <c r="AA492" s="1" t="str">
        <v>Cap</v>
      </c>
      <c r="AB492" s="1" t="str">
        <v>Clothing</v>
      </c>
      <c r="AC492" s="1">
        <v>4727.7700000000004</v>
      </c>
      <c r="AD492" s="1" t="str">
        <v>Kevin Miller</v>
      </c>
      <c r="AE492" s="1">
        <v>30321</v>
      </c>
      <c r="AF492" s="1">
        <v>44513</v>
      </c>
      <c r="AG492" s="1">
        <v>7.46</v>
      </c>
      <c r="AH492" s="1">
        <v>352.69164200000006</v>
      </c>
      <c r="AI492" s="1">
        <v>4375.0783580000007</v>
      </c>
    </row>
    <row r="493" spans="1:35" x14ac:dyDescent="0.35">
      <c r="A493" s="1">
        <v>1491</v>
      </c>
      <c r="B493" s="2">
        <v>44682</v>
      </c>
      <c r="C493" s="1" t="s">
        <v>21</v>
      </c>
      <c r="D493" s="1" t="s">
        <v>24</v>
      </c>
      <c r="E493" s="1" t="s">
        <v>19</v>
      </c>
      <c r="F493" s="1">
        <v>2268.23</v>
      </c>
      <c r="G493" s="1" t="s">
        <v>226</v>
      </c>
      <c r="H493" s="2">
        <v>33332</v>
      </c>
      <c r="I493" s="2">
        <v>44689</v>
      </c>
      <c r="J493" s="1">
        <v>40.47</v>
      </c>
      <c r="K493" s="1">
        <f t="shared" si="20"/>
        <v>917.95268099999998</v>
      </c>
      <c r="L493" s="1">
        <f t="shared" si="21"/>
        <v>1350.277319</v>
      </c>
      <c r="U493">
        <v>2853.888872</v>
      </c>
      <c r="X493" s="1">
        <v>1679</v>
      </c>
      <c r="Y493" s="2">
        <v>44505</v>
      </c>
      <c r="Z493" s="1" t="str">
        <v>Central</v>
      </c>
      <c r="AA493" s="1" t="str">
        <v>Jacket</v>
      </c>
      <c r="AB493" s="1" t="str">
        <v>Clothing</v>
      </c>
      <c r="AC493" s="1">
        <v>4303.21</v>
      </c>
      <c r="AD493" s="1" t="str">
        <v>Melissa Holt</v>
      </c>
      <c r="AE493" s="1">
        <v>29381</v>
      </c>
      <c r="AF493" s="1">
        <v>44512</v>
      </c>
      <c r="AG493" s="1">
        <v>33.68</v>
      </c>
      <c r="AH493" s="1">
        <v>1449.321128</v>
      </c>
      <c r="AI493" s="1">
        <v>2853.888872</v>
      </c>
    </row>
    <row r="494" spans="1:35" x14ac:dyDescent="0.35">
      <c r="A494" s="1">
        <v>1492</v>
      </c>
      <c r="B494" s="2">
        <v>44582</v>
      </c>
      <c r="C494" s="1" t="s">
        <v>35</v>
      </c>
      <c r="D494" s="1" t="s">
        <v>69</v>
      </c>
      <c r="E494" s="1" t="s">
        <v>31</v>
      </c>
      <c r="F494" s="1">
        <v>857.98</v>
      </c>
      <c r="G494" s="1" t="s">
        <v>202</v>
      </c>
      <c r="H494" s="2">
        <v>24802</v>
      </c>
      <c r="I494" s="2">
        <v>44595</v>
      </c>
      <c r="J494" s="1">
        <v>8.44</v>
      </c>
      <c r="K494" s="1">
        <f t="shared" si="20"/>
        <v>72.413511999999997</v>
      </c>
      <c r="L494" s="1">
        <f t="shared" si="21"/>
        <v>785.56648800000005</v>
      </c>
      <c r="U494">
        <v>2898.0126460000001</v>
      </c>
      <c r="X494" s="1">
        <v>1680</v>
      </c>
      <c r="Y494" s="2">
        <v>45161</v>
      </c>
      <c r="Z494" s="1" t="str">
        <v>Central</v>
      </c>
      <c r="AA494" s="1" t="str">
        <v>T-Shirt</v>
      </c>
      <c r="AB494" s="1" t="str">
        <v>Clothing</v>
      </c>
      <c r="AC494" s="1">
        <v>4991.41</v>
      </c>
      <c r="AD494" s="1" t="str">
        <v>Jeffrey Harris</v>
      </c>
      <c r="AE494" s="1">
        <v>35336</v>
      </c>
      <c r="AF494" s="1">
        <v>45167</v>
      </c>
      <c r="AG494" s="1">
        <v>41.94</v>
      </c>
      <c r="AH494" s="1">
        <v>2093.3973539999997</v>
      </c>
      <c r="AI494" s="1">
        <v>2898.0126460000001</v>
      </c>
    </row>
    <row r="495" spans="1:35" x14ac:dyDescent="0.35">
      <c r="A495" s="1">
        <v>1493</v>
      </c>
      <c r="B495" s="2">
        <v>44415</v>
      </c>
      <c r="C495" s="1" t="s">
        <v>14</v>
      </c>
      <c r="D495" s="1" t="s">
        <v>38</v>
      </c>
      <c r="E495" s="1" t="s">
        <v>28</v>
      </c>
      <c r="F495" s="1">
        <v>4476.6400000000003</v>
      </c>
      <c r="G495" s="1" t="s">
        <v>221</v>
      </c>
      <c r="H495" s="2">
        <v>35658</v>
      </c>
      <c r="I495" s="2">
        <v>44417</v>
      </c>
      <c r="J495" s="1">
        <v>13.84</v>
      </c>
      <c r="K495" s="1">
        <f t="shared" si="20"/>
        <v>619.56697600000007</v>
      </c>
      <c r="L495" s="1">
        <f t="shared" si="21"/>
        <v>3857.0730240000003</v>
      </c>
      <c r="U495">
        <v>3076.745911</v>
      </c>
      <c r="X495" s="1">
        <v>1681</v>
      </c>
      <c r="Y495" s="2">
        <v>44233</v>
      </c>
      <c r="Z495" s="1" t="str">
        <v>East</v>
      </c>
      <c r="AA495" s="1" t="str">
        <v>Shoes</v>
      </c>
      <c r="AB495" s="1" t="str">
        <v>Sports</v>
      </c>
      <c r="AC495" s="1">
        <v>3113.17</v>
      </c>
      <c r="AD495" s="1" t="str">
        <v>Andrew Weaver</v>
      </c>
      <c r="AE495" s="1">
        <v>33394</v>
      </c>
      <c r="AF495" s="1">
        <v>44244</v>
      </c>
      <c r="AG495" s="1">
        <v>1.17</v>
      </c>
      <c r="AH495" s="1">
        <v>36.424088999999995</v>
      </c>
      <c r="AI495" s="1">
        <v>3076.745911</v>
      </c>
    </row>
    <row r="496" spans="1:35" x14ac:dyDescent="0.35">
      <c r="A496" s="1">
        <v>1494</v>
      </c>
      <c r="B496" s="2">
        <v>44484</v>
      </c>
      <c r="C496" s="1" t="s">
        <v>10</v>
      </c>
      <c r="D496" s="1" t="s">
        <v>88</v>
      </c>
      <c r="E496" s="1" t="s">
        <v>16</v>
      </c>
      <c r="F496" s="1">
        <v>3755.32</v>
      </c>
      <c r="G496" s="1" t="s">
        <v>282</v>
      </c>
      <c r="H496" s="2">
        <v>38073</v>
      </c>
      <c r="I496" s="2">
        <v>44489</v>
      </c>
      <c r="J496" s="1">
        <v>39.659999999999997</v>
      </c>
      <c r="K496" s="1">
        <f t="shared" si="20"/>
        <v>1489.3599119999999</v>
      </c>
      <c r="L496" s="1">
        <f t="shared" si="21"/>
        <v>2265.9600880000003</v>
      </c>
      <c r="U496">
        <v>1707.3402659999999</v>
      </c>
      <c r="X496" s="1">
        <v>1683</v>
      </c>
      <c r="Y496" s="2">
        <v>44229</v>
      </c>
      <c r="Z496" s="1" t="str">
        <v>Central</v>
      </c>
      <c r="AA496" s="1" t="str">
        <v>Tablet</v>
      </c>
      <c r="AB496" s="1" t="str">
        <v>Electronics</v>
      </c>
      <c r="AC496" s="1">
        <v>2109.39</v>
      </c>
      <c r="AD496" s="1" t="str">
        <v>Donald Harris</v>
      </c>
      <c r="AE496" s="1">
        <v>23920</v>
      </c>
      <c r="AF496" s="1">
        <v>44235</v>
      </c>
      <c r="AG496" s="1">
        <v>19.059999999999999</v>
      </c>
      <c r="AH496" s="1">
        <v>402.04973399999994</v>
      </c>
      <c r="AI496" s="1">
        <v>1707.3402659999999</v>
      </c>
    </row>
    <row r="497" spans="1:35" x14ac:dyDescent="0.35">
      <c r="A497" s="1">
        <v>1495</v>
      </c>
      <c r="B497" s="2">
        <v>45829</v>
      </c>
      <c r="C497" s="1" t="s">
        <v>21</v>
      </c>
      <c r="D497" s="1" t="s">
        <v>11</v>
      </c>
      <c r="E497" s="1" t="s">
        <v>12</v>
      </c>
      <c r="F497" s="1">
        <v>4164.7700000000004</v>
      </c>
      <c r="G497" s="1" t="s">
        <v>264</v>
      </c>
      <c r="H497" s="2">
        <v>30232</v>
      </c>
      <c r="I497" s="2">
        <v>45832</v>
      </c>
      <c r="J497" s="1">
        <v>40.119999999999997</v>
      </c>
      <c r="K497" s="1">
        <f t="shared" si="20"/>
        <v>1670.9057240000002</v>
      </c>
      <c r="L497" s="1">
        <f t="shared" si="21"/>
        <v>2493.8642760000002</v>
      </c>
      <c r="U497">
        <v>2877.4857000000002</v>
      </c>
      <c r="X497" s="1">
        <v>1684</v>
      </c>
      <c r="Y497" s="2">
        <v>45114</v>
      </c>
      <c r="Z497" s="1" t="str">
        <v>South</v>
      </c>
      <c r="AA497" s="1" t="str">
        <v>Milk</v>
      </c>
      <c r="AB497" s="1" t="str">
        <v>Groceries</v>
      </c>
      <c r="AC497" s="1">
        <v>3439.5</v>
      </c>
      <c r="AD497" s="1" t="str">
        <v>Mrs. Vanessa Henson</v>
      </c>
      <c r="AE497" s="1">
        <v>32375</v>
      </c>
      <c r="AF497" s="1">
        <v>45126</v>
      </c>
      <c r="AG497" s="1">
        <v>16.34</v>
      </c>
      <c r="AH497" s="1">
        <v>562.01429999999993</v>
      </c>
      <c r="AI497" s="1">
        <v>2877.4857000000002</v>
      </c>
    </row>
    <row r="498" spans="1:35" x14ac:dyDescent="0.35">
      <c r="A498" s="1">
        <v>1496</v>
      </c>
      <c r="B498" s="2">
        <v>45316</v>
      </c>
      <c r="C498" s="1" t="s">
        <v>35</v>
      </c>
      <c r="D498" s="1" t="s">
        <v>102</v>
      </c>
      <c r="E498" s="1" t="s">
        <v>12</v>
      </c>
      <c r="F498" s="1">
        <v>897.52</v>
      </c>
      <c r="G498" s="1" t="s">
        <v>108</v>
      </c>
      <c r="H498" s="2">
        <v>33413</v>
      </c>
      <c r="I498" s="2">
        <v>45326</v>
      </c>
      <c r="J498" s="1">
        <v>8.91</v>
      </c>
      <c r="K498" s="1">
        <f t="shared" si="20"/>
        <v>79.969031999999999</v>
      </c>
      <c r="L498" s="1">
        <f t="shared" si="21"/>
        <v>817.55096800000001</v>
      </c>
      <c r="U498">
        <v>3935.7267699999998</v>
      </c>
      <c r="X498" s="1">
        <v>1685</v>
      </c>
      <c r="Y498" s="2">
        <v>44226</v>
      </c>
      <c r="Z498" s="1" t="str">
        <v>North</v>
      </c>
      <c r="AA498" s="1" t="str">
        <v>Laptop</v>
      </c>
      <c r="AB498" s="1" t="str">
        <v>Electronics</v>
      </c>
      <c r="AC498" s="1">
        <v>3971.47</v>
      </c>
      <c r="AD498" s="1" t="str">
        <v>Jonathan Gillespie MD</v>
      </c>
      <c r="AE498" s="1">
        <v>23838</v>
      </c>
      <c r="AF498" s="1">
        <v>44227</v>
      </c>
      <c r="AG498" s="1">
        <v>0.9</v>
      </c>
      <c r="AH498" s="1">
        <v>35.743230000000004</v>
      </c>
      <c r="AI498" s="1">
        <v>3935.7267699999998</v>
      </c>
    </row>
    <row r="499" spans="1:35" x14ac:dyDescent="0.35">
      <c r="A499" s="1">
        <v>1497</v>
      </c>
      <c r="B499" s="2">
        <v>44840</v>
      </c>
      <c r="C499" s="1" t="s">
        <v>35</v>
      </c>
      <c r="D499" s="1" t="s">
        <v>73</v>
      </c>
      <c r="E499" s="1" t="s">
        <v>28</v>
      </c>
      <c r="F499" s="1">
        <v>4921.43</v>
      </c>
      <c r="G499" s="1" t="s">
        <v>67</v>
      </c>
      <c r="H499" s="2">
        <v>34016</v>
      </c>
      <c r="I499" s="2">
        <v>44843</v>
      </c>
      <c r="J499" s="1">
        <v>16.77</v>
      </c>
      <c r="K499" s="1">
        <f t="shared" si="20"/>
        <v>825.32381099999998</v>
      </c>
      <c r="L499" s="1">
        <f t="shared" si="21"/>
        <v>4096.1061890000001</v>
      </c>
      <c r="U499">
        <v>2150.5252599999999</v>
      </c>
      <c r="X499" s="1">
        <v>1687</v>
      </c>
      <c r="Y499" s="2">
        <v>45763</v>
      </c>
      <c r="Z499" s="1" t="str">
        <v>South</v>
      </c>
      <c r="AA499" s="1" t="str">
        <v>Shoes</v>
      </c>
      <c r="AB499" s="1" t="str">
        <v>Sports</v>
      </c>
      <c r="AC499" s="1">
        <v>2262.52</v>
      </c>
      <c r="AD499" s="1" t="str">
        <v>Angela Wilkins</v>
      </c>
      <c r="AE499" s="1">
        <v>30474</v>
      </c>
      <c r="AF499" s="1">
        <v>45775</v>
      </c>
      <c r="AG499" s="1">
        <v>4.95</v>
      </c>
      <c r="AH499" s="1">
        <v>111.99474000000001</v>
      </c>
      <c r="AI499" s="1">
        <v>2150.5252599999999</v>
      </c>
    </row>
    <row r="500" spans="1:35" x14ac:dyDescent="0.35">
      <c r="A500" s="1">
        <v>1498</v>
      </c>
      <c r="B500" s="2">
        <v>44528</v>
      </c>
      <c r="C500" s="1" t="s">
        <v>14</v>
      </c>
      <c r="D500" s="1" t="s">
        <v>18</v>
      </c>
      <c r="E500" s="1" t="s">
        <v>19</v>
      </c>
      <c r="F500" s="1">
        <v>216.97</v>
      </c>
      <c r="G500" s="1" t="s">
        <v>265</v>
      </c>
      <c r="H500" s="2">
        <v>38899</v>
      </c>
      <c r="I500" s="2">
        <v>44537</v>
      </c>
      <c r="J500" s="1">
        <v>41.44</v>
      </c>
      <c r="K500" s="1">
        <f t="shared" si="20"/>
        <v>89.912368000000001</v>
      </c>
      <c r="L500" s="1">
        <f t="shared" si="21"/>
        <v>127.057632</v>
      </c>
      <c r="U500">
        <v>2817.6235800000004</v>
      </c>
      <c r="X500" s="1">
        <v>1688</v>
      </c>
      <c r="Y500" s="2">
        <v>44973</v>
      </c>
      <c r="Z500" s="1" t="str">
        <v>South</v>
      </c>
      <c r="AA500" s="1" t="str">
        <v>T-Shirt</v>
      </c>
      <c r="AB500" s="1" t="str">
        <v>Clothing</v>
      </c>
      <c r="AC500" s="1">
        <v>4036.71</v>
      </c>
      <c r="AD500" s="1" t="str">
        <v>Marissa Johnson</v>
      </c>
      <c r="AE500" s="1">
        <v>38628</v>
      </c>
      <c r="AF500" s="1">
        <v>44976</v>
      </c>
      <c r="AG500" s="1">
        <v>30.2</v>
      </c>
      <c r="AH500" s="1">
        <v>1219.0864199999999</v>
      </c>
      <c r="AI500" s="1">
        <v>2817.6235800000004</v>
      </c>
    </row>
    <row r="501" spans="1:35" x14ac:dyDescent="0.35">
      <c r="A501" s="1">
        <v>1499</v>
      </c>
      <c r="B501" s="2">
        <v>44540</v>
      </c>
      <c r="C501" s="1" t="s">
        <v>10</v>
      </c>
      <c r="D501" s="1" t="s">
        <v>44</v>
      </c>
      <c r="E501" s="1" t="s">
        <v>16</v>
      </c>
      <c r="F501" s="1">
        <v>2393.89</v>
      </c>
      <c r="G501" s="1" t="s">
        <v>283</v>
      </c>
      <c r="H501" s="2">
        <v>30117</v>
      </c>
      <c r="I501" s="2">
        <v>44551</v>
      </c>
      <c r="J501" s="1">
        <v>10.87</v>
      </c>
      <c r="K501" s="1">
        <f t="shared" si="20"/>
        <v>260.21584299999995</v>
      </c>
      <c r="L501" s="1">
        <f t="shared" si="21"/>
        <v>2133.6741569999999</v>
      </c>
      <c r="U501">
        <v>2160.6763860000001</v>
      </c>
      <c r="X501" s="1">
        <v>1689</v>
      </c>
      <c r="Y501" s="2">
        <v>44624</v>
      </c>
      <c r="Z501" s="1" t="str">
        <v>North</v>
      </c>
      <c r="AA501" s="1" t="str">
        <v>Chair</v>
      </c>
      <c r="AB501" s="1" t="str">
        <v>Furniture</v>
      </c>
      <c r="AC501" s="1">
        <v>2762.66</v>
      </c>
      <c r="AD501" s="1" t="str">
        <v>Meagan Russell</v>
      </c>
      <c r="AE501" s="1">
        <v>23309</v>
      </c>
      <c r="AF501" s="1">
        <v>44631</v>
      </c>
      <c r="AG501" s="1">
        <v>21.79</v>
      </c>
      <c r="AH501" s="1">
        <v>601.98361399999987</v>
      </c>
      <c r="AI501" s="1">
        <v>2160.6763860000001</v>
      </c>
    </row>
    <row r="502" spans="1:35" x14ac:dyDescent="0.35">
      <c r="A502" s="1">
        <v>1500</v>
      </c>
      <c r="B502" s="2">
        <v>45298</v>
      </c>
      <c r="C502" s="1" t="s">
        <v>35</v>
      </c>
      <c r="D502" s="1" t="s">
        <v>88</v>
      </c>
      <c r="E502" s="1" t="s">
        <v>16</v>
      </c>
      <c r="F502" s="1">
        <v>3767.29</v>
      </c>
      <c r="G502" s="1" t="s">
        <v>215</v>
      </c>
      <c r="H502" s="2">
        <v>31386</v>
      </c>
      <c r="I502" s="2">
        <v>45310</v>
      </c>
      <c r="J502" s="1">
        <v>15.91</v>
      </c>
      <c r="K502" s="1">
        <f t="shared" si="20"/>
        <v>599.37583899999993</v>
      </c>
      <c r="L502" s="1">
        <f t="shared" si="21"/>
        <v>3167.9141610000001</v>
      </c>
      <c r="U502">
        <v>2381.5205259999998</v>
      </c>
      <c r="X502" s="1">
        <v>1690</v>
      </c>
      <c r="Y502" s="2">
        <v>44526</v>
      </c>
      <c r="Z502" s="1" t="str">
        <v>North</v>
      </c>
      <c r="AA502" s="1" t="str">
        <v>Camera</v>
      </c>
      <c r="AB502" s="1" t="str">
        <v>Electronics</v>
      </c>
      <c r="AC502" s="1">
        <v>2795.54</v>
      </c>
      <c r="AD502" s="1" t="str">
        <v>Wesley Olson</v>
      </c>
      <c r="AE502" s="1">
        <v>27166</v>
      </c>
      <c r="AF502" s="1">
        <v>44537</v>
      </c>
      <c r="AG502" s="1">
        <v>14.81</v>
      </c>
      <c r="AH502" s="1">
        <v>414.019474</v>
      </c>
      <c r="AI502" s="1">
        <v>2381.5205259999998</v>
      </c>
    </row>
    <row r="503" spans="1:35" x14ac:dyDescent="0.35">
      <c r="A503" s="1">
        <v>1501</v>
      </c>
      <c r="B503" s="2">
        <v>45230</v>
      </c>
      <c r="C503" s="1" t="s">
        <v>21</v>
      </c>
      <c r="D503" s="1" t="s">
        <v>30</v>
      </c>
      <c r="E503" s="1" t="s">
        <v>31</v>
      </c>
      <c r="F503" s="1">
        <v>1246.26</v>
      </c>
      <c r="G503" s="1" t="s">
        <v>155</v>
      </c>
      <c r="H503" s="2">
        <v>27688</v>
      </c>
      <c r="I503" s="2">
        <v>45232</v>
      </c>
      <c r="J503" s="1">
        <v>7.94</v>
      </c>
      <c r="K503" s="1">
        <f t="shared" si="20"/>
        <v>98.953043999999991</v>
      </c>
      <c r="L503" s="1">
        <f t="shared" si="21"/>
        <v>1147.3069559999999</v>
      </c>
      <c r="U503">
        <v>2050.8096</v>
      </c>
      <c r="X503" s="1">
        <v>1691</v>
      </c>
      <c r="Y503" s="2">
        <v>44396</v>
      </c>
      <c r="Z503" s="1" t="str">
        <v>South</v>
      </c>
      <c r="AA503" s="1" t="str">
        <v>Laptop</v>
      </c>
      <c r="AB503" s="1" t="str">
        <v>Electronics</v>
      </c>
      <c r="AC503" s="1">
        <v>2136.2600000000002</v>
      </c>
      <c r="AD503" s="1" t="str">
        <v>Brian Carson</v>
      </c>
      <c r="AE503" s="1">
        <v>30232</v>
      </c>
      <c r="AF503" s="1">
        <v>44404</v>
      </c>
      <c r="AG503" s="1">
        <v>4</v>
      </c>
      <c r="AH503" s="1">
        <v>85.450400000000016</v>
      </c>
      <c r="AI503" s="1">
        <v>2050.8096</v>
      </c>
    </row>
    <row r="504" spans="1:35" x14ac:dyDescent="0.35">
      <c r="A504" s="1">
        <v>1502</v>
      </c>
      <c r="B504" s="2">
        <v>44328</v>
      </c>
      <c r="C504" s="1" t="s">
        <v>10</v>
      </c>
      <c r="D504" s="1" t="s">
        <v>22</v>
      </c>
      <c r="E504" s="1" t="s">
        <v>19</v>
      </c>
      <c r="F504" s="1">
        <v>1825.7</v>
      </c>
      <c r="G504" s="1" t="s">
        <v>284</v>
      </c>
      <c r="H504" s="2">
        <v>34338</v>
      </c>
      <c r="I504" s="2">
        <v>44340</v>
      </c>
      <c r="J504" s="1">
        <v>34.07</v>
      </c>
      <c r="K504" s="1">
        <f t="shared" si="20"/>
        <v>622.01598999999999</v>
      </c>
      <c r="L504" s="1">
        <f t="shared" si="21"/>
        <v>1203.6840099999999</v>
      </c>
      <c r="U504">
        <v>2239.8418280000005</v>
      </c>
      <c r="X504" s="1">
        <v>1692</v>
      </c>
      <c r="Y504" s="2">
        <v>45302</v>
      </c>
      <c r="Z504" s="1" t="str">
        <v>South</v>
      </c>
      <c r="AA504" s="1" t="str">
        <v>Rice</v>
      </c>
      <c r="AB504" s="1" t="str">
        <v>Groceries</v>
      </c>
      <c r="AC504" s="1">
        <v>4150.93</v>
      </c>
      <c r="AD504" s="1" t="str">
        <v>Cynthia Brown</v>
      </c>
      <c r="AE504" s="1">
        <v>35407</v>
      </c>
      <c r="AF504" s="1">
        <v>45315</v>
      </c>
      <c r="AG504" s="1">
        <v>46.04</v>
      </c>
      <c r="AH504" s="1">
        <v>1911.088172</v>
      </c>
      <c r="AI504" s="1">
        <v>2239.8418280000005</v>
      </c>
    </row>
    <row r="505" spans="1:35" x14ac:dyDescent="0.35">
      <c r="A505" s="1">
        <v>1503</v>
      </c>
      <c r="B505" s="2">
        <v>44961</v>
      </c>
      <c r="C505" s="1" t="s">
        <v>26</v>
      </c>
      <c r="D505" s="1" t="s">
        <v>38</v>
      </c>
      <c r="E505" s="1" t="s">
        <v>28</v>
      </c>
      <c r="F505" s="1">
        <v>1119.8599999999999</v>
      </c>
      <c r="G505" s="1" t="s">
        <v>166</v>
      </c>
      <c r="H505" s="2">
        <v>27879</v>
      </c>
      <c r="I505" s="2">
        <v>44968</v>
      </c>
      <c r="J505" s="1">
        <v>7.51</v>
      </c>
      <c r="K505" s="1">
        <f t="shared" si="20"/>
        <v>84.101485999999994</v>
      </c>
      <c r="L505" s="1">
        <f t="shared" si="21"/>
        <v>1035.7585139999999</v>
      </c>
      <c r="U505">
        <v>2090.5331999999999</v>
      </c>
      <c r="X505" s="1">
        <v>1693</v>
      </c>
      <c r="Y505" s="2">
        <v>44528</v>
      </c>
      <c r="Z505" s="1" t="str">
        <v>South</v>
      </c>
      <c r="AA505" s="1" t="str">
        <v>Rice</v>
      </c>
      <c r="AB505" s="1" t="str">
        <v>Groceries</v>
      </c>
      <c r="AC505" s="1">
        <v>3648.4</v>
      </c>
      <c r="AD505" s="1" t="str">
        <v>Matthew Baird</v>
      </c>
      <c r="AE505" s="1">
        <v>35658</v>
      </c>
      <c r="AF505" s="1">
        <v>44542</v>
      </c>
      <c r="AG505" s="1">
        <v>42.7</v>
      </c>
      <c r="AH505" s="1">
        <v>1557.8668000000002</v>
      </c>
      <c r="AI505" s="1">
        <v>2090.5331999999999</v>
      </c>
    </row>
    <row r="506" spans="1:35" x14ac:dyDescent="0.35">
      <c r="A506" s="1">
        <v>1504</v>
      </c>
      <c r="B506" s="2">
        <v>44975</v>
      </c>
      <c r="C506" s="1" t="s">
        <v>21</v>
      </c>
      <c r="D506" s="1" t="s">
        <v>102</v>
      </c>
      <c r="E506" s="1" t="s">
        <v>12</v>
      </c>
      <c r="F506" s="1">
        <v>1079.6199999999999</v>
      </c>
      <c r="G506" s="1" t="s">
        <v>120</v>
      </c>
      <c r="H506" s="2">
        <v>30820</v>
      </c>
      <c r="I506" s="2">
        <v>44988</v>
      </c>
      <c r="J506" s="1">
        <v>18.41</v>
      </c>
      <c r="K506" s="1">
        <f t="shared" si="20"/>
        <v>198.75804199999999</v>
      </c>
      <c r="L506" s="1">
        <f t="shared" si="21"/>
        <v>880.86195799999996</v>
      </c>
      <c r="U506">
        <v>3993.0395040000003</v>
      </c>
      <c r="X506" s="1">
        <v>1694</v>
      </c>
      <c r="Y506" s="2">
        <v>45503</v>
      </c>
      <c r="Z506" s="1" t="str">
        <v>East</v>
      </c>
      <c r="AA506" s="1" t="str">
        <v>Milk</v>
      </c>
      <c r="AB506" s="1" t="str">
        <v>Groceries</v>
      </c>
      <c r="AC506" s="1">
        <v>4655.5200000000004</v>
      </c>
      <c r="AD506" s="1" t="str">
        <v>Katie Parker</v>
      </c>
      <c r="AE506" s="1">
        <v>37961</v>
      </c>
      <c r="AF506" s="1">
        <v>45516</v>
      </c>
      <c r="AG506" s="1">
        <v>14.23</v>
      </c>
      <c r="AH506" s="1">
        <v>662.48049600000013</v>
      </c>
      <c r="AI506" s="1">
        <v>3993.0395040000003</v>
      </c>
    </row>
    <row r="507" spans="1:35" x14ac:dyDescent="0.35">
      <c r="A507" s="1">
        <v>1505</v>
      </c>
      <c r="B507" s="2">
        <v>44953</v>
      </c>
      <c r="C507" s="1" t="s">
        <v>21</v>
      </c>
      <c r="D507" s="1" t="s">
        <v>65</v>
      </c>
      <c r="E507" s="1" t="s">
        <v>19</v>
      </c>
      <c r="F507" s="1">
        <v>989.3</v>
      </c>
      <c r="G507" s="1" t="s">
        <v>236</v>
      </c>
      <c r="H507" s="2">
        <v>36099</v>
      </c>
      <c r="I507" s="2">
        <v>44967</v>
      </c>
      <c r="J507" s="1">
        <v>9.18</v>
      </c>
      <c r="K507" s="1">
        <f t="shared" si="20"/>
        <v>90.817739999999986</v>
      </c>
      <c r="L507" s="1">
        <f t="shared" si="21"/>
        <v>898.48226</v>
      </c>
      <c r="U507">
        <v>1159.861296</v>
      </c>
      <c r="X507" s="1">
        <v>1695</v>
      </c>
      <c r="Y507" s="2">
        <v>44766</v>
      </c>
      <c r="Z507" s="1" t="str">
        <v>West</v>
      </c>
      <c r="AA507" s="1" t="str">
        <v>Sofa</v>
      </c>
      <c r="AB507" s="1" t="str">
        <v>Furniture</v>
      </c>
      <c r="AC507" s="1">
        <v>1621.73</v>
      </c>
      <c r="AD507" s="1" t="str">
        <v>Martha Harris</v>
      </c>
      <c r="AE507" s="1">
        <v>27455</v>
      </c>
      <c r="AF507" s="1">
        <v>44773</v>
      </c>
      <c r="AG507" s="1">
        <v>28.48</v>
      </c>
      <c r="AH507" s="1">
        <v>461.86870399999998</v>
      </c>
      <c r="AI507" s="1">
        <v>1159.861296</v>
      </c>
    </row>
    <row r="508" spans="1:35" x14ac:dyDescent="0.35">
      <c r="A508" s="1">
        <v>1506</v>
      </c>
      <c r="B508" s="2">
        <v>44372</v>
      </c>
      <c r="C508" s="1" t="s">
        <v>10</v>
      </c>
      <c r="D508" s="1" t="s">
        <v>18</v>
      </c>
      <c r="E508" s="1" t="s">
        <v>19</v>
      </c>
      <c r="F508" s="1">
        <v>4408.54</v>
      </c>
      <c r="G508" s="1" t="s">
        <v>208</v>
      </c>
      <c r="H508" s="2">
        <v>32188</v>
      </c>
      <c r="I508" s="2">
        <v>44382</v>
      </c>
      <c r="J508" s="1">
        <v>12.47</v>
      </c>
      <c r="K508" s="1">
        <f t="shared" si="20"/>
        <v>549.74493800000005</v>
      </c>
      <c r="L508" s="1">
        <f t="shared" si="21"/>
        <v>3858.7950620000001</v>
      </c>
      <c r="U508">
        <v>4614.5750639999997</v>
      </c>
      <c r="X508" s="1">
        <v>1696</v>
      </c>
      <c r="Y508" s="2">
        <v>44546</v>
      </c>
      <c r="Z508" s="1" t="str">
        <v>North</v>
      </c>
      <c r="AA508" s="1" t="str">
        <v>Table</v>
      </c>
      <c r="AB508" s="1" t="str">
        <v>Furniture</v>
      </c>
      <c r="AC508" s="1">
        <v>4970.46</v>
      </c>
      <c r="AD508" s="1" t="str">
        <v>Jackie Foster</v>
      </c>
      <c r="AE508" s="1">
        <v>22796</v>
      </c>
      <c r="AF508" s="1">
        <v>44554</v>
      </c>
      <c r="AG508" s="1">
        <v>7.16</v>
      </c>
      <c r="AH508" s="1">
        <v>355.88493599999998</v>
      </c>
      <c r="AI508" s="1">
        <v>4614.5750639999997</v>
      </c>
    </row>
    <row r="509" spans="1:35" x14ac:dyDescent="0.35">
      <c r="A509" s="1">
        <v>1507</v>
      </c>
      <c r="B509" s="2">
        <v>45596</v>
      </c>
      <c r="C509" s="1" t="s">
        <v>21</v>
      </c>
      <c r="D509" s="1" t="s">
        <v>33</v>
      </c>
      <c r="E509" s="1" t="s">
        <v>16</v>
      </c>
      <c r="F509" s="1">
        <v>308.79000000000002</v>
      </c>
      <c r="G509" s="1" t="s">
        <v>117</v>
      </c>
      <c r="H509" s="2">
        <v>23513</v>
      </c>
      <c r="I509" s="2">
        <v>45603</v>
      </c>
      <c r="J509" s="1">
        <v>15.92</v>
      </c>
      <c r="K509" s="1">
        <f t="shared" si="20"/>
        <v>49.159368000000008</v>
      </c>
      <c r="L509" s="1">
        <f t="shared" si="21"/>
        <v>259.63063199999999</v>
      </c>
      <c r="U509">
        <v>2813.5571040000004</v>
      </c>
      <c r="X509" s="1">
        <v>1697</v>
      </c>
      <c r="Y509" s="2">
        <v>44208</v>
      </c>
      <c r="Z509" s="1" t="str">
        <v>East</v>
      </c>
      <c r="AA509" s="1" t="str">
        <v>Football</v>
      </c>
      <c r="AB509" s="1" t="str">
        <v>Sports</v>
      </c>
      <c r="AC509" s="1">
        <v>3077.28</v>
      </c>
      <c r="AD509" s="1" t="str">
        <v>Donald Mckenzie</v>
      </c>
      <c r="AE509" s="1">
        <v>33482</v>
      </c>
      <c r="AF509" s="1">
        <v>44211</v>
      </c>
      <c r="AG509" s="1">
        <v>8.57</v>
      </c>
      <c r="AH509" s="1">
        <v>263.72289599999999</v>
      </c>
      <c r="AI509" s="1">
        <v>2813.5571040000004</v>
      </c>
    </row>
    <row r="510" spans="1:35" x14ac:dyDescent="0.35">
      <c r="A510" s="1">
        <v>1508</v>
      </c>
      <c r="B510" s="2">
        <v>44487</v>
      </c>
      <c r="C510" s="1" t="s">
        <v>14</v>
      </c>
      <c r="D510" s="1" t="s">
        <v>15</v>
      </c>
      <c r="E510" s="1" t="s">
        <v>16</v>
      </c>
      <c r="F510" s="1">
        <v>2775.54</v>
      </c>
      <c r="G510" s="1" t="s">
        <v>129</v>
      </c>
      <c r="H510" s="2">
        <v>26668</v>
      </c>
      <c r="I510" s="2">
        <v>44494</v>
      </c>
      <c r="J510" s="1">
        <v>22.41</v>
      </c>
      <c r="K510" s="1">
        <f t="shared" si="20"/>
        <v>621.998514</v>
      </c>
      <c r="L510" s="1">
        <f t="shared" si="21"/>
        <v>2153.5414860000001</v>
      </c>
      <c r="U510">
        <v>4381.0565839999999</v>
      </c>
      <c r="X510" s="1">
        <v>1698</v>
      </c>
      <c r="Y510" s="2">
        <v>45490</v>
      </c>
      <c r="Z510" s="1" t="str">
        <v>West</v>
      </c>
      <c r="AA510" s="1" t="str">
        <v>Table</v>
      </c>
      <c r="AB510" s="1" t="str">
        <v>Furniture</v>
      </c>
      <c r="AC510" s="1">
        <v>4876.51</v>
      </c>
      <c r="AD510" s="1" t="str">
        <v>Antonio David</v>
      </c>
      <c r="AE510" s="1">
        <v>24580</v>
      </c>
      <c r="AF510" s="1">
        <v>45501</v>
      </c>
      <c r="AG510" s="1">
        <v>10.16</v>
      </c>
      <c r="AH510" s="1">
        <v>495.453416</v>
      </c>
      <c r="AI510" s="1">
        <v>4381.0565839999999</v>
      </c>
    </row>
    <row r="511" spans="1:35" x14ac:dyDescent="0.35">
      <c r="A511" s="1">
        <v>1509</v>
      </c>
      <c r="B511" s="2">
        <v>44557</v>
      </c>
      <c r="C511" s="1" t="s">
        <v>21</v>
      </c>
      <c r="D511" s="1" t="s">
        <v>36</v>
      </c>
      <c r="E511" s="1" t="s">
        <v>28</v>
      </c>
      <c r="F511" s="1">
        <v>2170.37</v>
      </c>
      <c r="G511" s="1" t="s">
        <v>285</v>
      </c>
      <c r="H511" s="2">
        <v>26988</v>
      </c>
      <c r="I511" s="2">
        <v>44559</v>
      </c>
      <c r="J511" s="1">
        <v>27.89</v>
      </c>
      <c r="K511" s="1">
        <f t="shared" si="20"/>
        <v>605.31619299999988</v>
      </c>
      <c r="L511" s="1">
        <f t="shared" si="21"/>
        <v>1565.053807</v>
      </c>
      <c r="U511">
        <v>1885.2766239999999</v>
      </c>
      <c r="X511" s="1">
        <v>1702</v>
      </c>
      <c r="Y511" s="2">
        <v>44907</v>
      </c>
      <c r="Z511" s="1" t="str">
        <v>North</v>
      </c>
      <c r="AA511" s="1" t="str">
        <v>Laptop</v>
      </c>
      <c r="AB511" s="1" t="str">
        <v>Electronics</v>
      </c>
      <c r="AC511" s="1">
        <v>1928.08</v>
      </c>
      <c r="AD511" s="1" t="str">
        <v>Nicole Church</v>
      </c>
      <c r="AE511" s="1">
        <v>24348</v>
      </c>
      <c r="AF511" s="1">
        <v>44908</v>
      </c>
      <c r="AG511" s="1">
        <v>2.2200000000000002</v>
      </c>
      <c r="AH511" s="1">
        <v>42.803376</v>
      </c>
      <c r="AI511" s="1">
        <v>1885.2766239999999</v>
      </c>
    </row>
    <row r="512" spans="1:35" x14ac:dyDescent="0.35">
      <c r="A512" s="1">
        <v>1510</v>
      </c>
      <c r="B512" s="2">
        <v>44078</v>
      </c>
      <c r="C512" s="1" t="s">
        <v>14</v>
      </c>
      <c r="D512" s="1" t="s">
        <v>61</v>
      </c>
      <c r="E512" s="1" t="s">
        <v>19</v>
      </c>
      <c r="F512" s="1">
        <v>948.94</v>
      </c>
      <c r="G512" s="1" t="s">
        <v>173</v>
      </c>
      <c r="H512" s="2">
        <v>22016</v>
      </c>
      <c r="I512" s="2">
        <v>44090</v>
      </c>
      <c r="J512" s="1">
        <v>21.04</v>
      </c>
      <c r="K512" s="1">
        <f t="shared" si="20"/>
        <v>199.65697600000001</v>
      </c>
      <c r="L512" s="1">
        <f t="shared" si="21"/>
        <v>749.28302400000007</v>
      </c>
      <c r="U512">
        <v>1089.4683890000001</v>
      </c>
      <c r="X512" s="1">
        <v>1704</v>
      </c>
      <c r="Y512" s="2">
        <v>44120</v>
      </c>
      <c r="Z512" s="1" t="str">
        <v>South</v>
      </c>
      <c r="AA512" s="1" t="str">
        <v>Wardrobe</v>
      </c>
      <c r="AB512" s="1" t="str">
        <v>Furniture</v>
      </c>
      <c r="AC512" s="1">
        <v>1451.27</v>
      </c>
      <c r="AD512" s="1" t="str">
        <v>Harry Holmes</v>
      </c>
      <c r="AE512" s="1">
        <v>25712</v>
      </c>
      <c r="AF512" s="1">
        <v>44128</v>
      </c>
      <c r="AG512" s="1">
        <v>24.93</v>
      </c>
      <c r="AH512" s="1">
        <v>361.80161099999998</v>
      </c>
      <c r="AI512" s="1">
        <v>1089.4683890000001</v>
      </c>
    </row>
    <row r="513" spans="1:35" x14ac:dyDescent="0.35">
      <c r="A513" s="1">
        <v>1511</v>
      </c>
      <c r="B513" s="2">
        <v>44328</v>
      </c>
      <c r="C513" s="1" t="s">
        <v>26</v>
      </c>
      <c r="D513" s="1" t="s">
        <v>55</v>
      </c>
      <c r="E513" s="1" t="s">
        <v>31</v>
      </c>
      <c r="F513" s="1">
        <v>3452.36</v>
      </c>
      <c r="G513" s="1" t="s">
        <v>17</v>
      </c>
      <c r="H513" s="2">
        <v>26484</v>
      </c>
      <c r="I513" s="2">
        <v>44333</v>
      </c>
      <c r="J513" s="1">
        <v>26.13</v>
      </c>
      <c r="K513" s="1">
        <f t="shared" si="20"/>
        <v>902.1016679999999</v>
      </c>
      <c r="L513" s="1">
        <f t="shared" si="21"/>
        <v>2550.2583320000003</v>
      </c>
      <c r="U513">
        <v>3587.11339</v>
      </c>
      <c r="X513" s="1">
        <v>1705</v>
      </c>
      <c r="Y513" s="2">
        <v>45019</v>
      </c>
      <c r="Z513" s="1" t="str">
        <v>South</v>
      </c>
      <c r="AA513" s="1" t="str">
        <v>Jacket</v>
      </c>
      <c r="AB513" s="1" t="str">
        <v>Clothing</v>
      </c>
      <c r="AC513" s="1">
        <v>4397.05</v>
      </c>
      <c r="AD513" s="1" t="str">
        <v>Laura Wood</v>
      </c>
      <c r="AE513" s="1">
        <v>31419</v>
      </c>
      <c r="AF513" s="1">
        <v>45022</v>
      </c>
      <c r="AG513" s="1">
        <v>18.420000000000002</v>
      </c>
      <c r="AH513" s="1">
        <v>809.9366100000002</v>
      </c>
      <c r="AI513" s="1">
        <v>3587.11339</v>
      </c>
    </row>
    <row r="514" spans="1:35" x14ac:dyDescent="0.35">
      <c r="A514" s="1">
        <v>1512</v>
      </c>
      <c r="B514" s="2">
        <v>44119</v>
      </c>
      <c r="C514" s="1" t="s">
        <v>35</v>
      </c>
      <c r="D514" s="1" t="s">
        <v>24</v>
      </c>
      <c r="E514" s="1" t="s">
        <v>19</v>
      </c>
      <c r="F514" s="1">
        <v>4036.97</v>
      </c>
      <c r="G514" s="1" t="s">
        <v>228</v>
      </c>
      <c r="H514" s="2">
        <v>25811</v>
      </c>
      <c r="I514" s="2">
        <v>44128</v>
      </c>
      <c r="J514" s="1">
        <v>10.38</v>
      </c>
      <c r="K514" s="1">
        <f t="shared" si="20"/>
        <v>419.037486</v>
      </c>
      <c r="L514" s="1">
        <f t="shared" si="21"/>
        <v>3617.9325139999996</v>
      </c>
      <c r="U514">
        <v>1661.04576</v>
      </c>
      <c r="X514" s="1">
        <v>1706</v>
      </c>
      <c r="Y514" s="2">
        <v>45165</v>
      </c>
      <c r="Z514" s="1" t="str">
        <v>Central</v>
      </c>
      <c r="AA514" s="1" t="str">
        <v>Sofa</v>
      </c>
      <c r="AB514" s="1" t="str">
        <v>Furniture</v>
      </c>
      <c r="AC514" s="1">
        <v>3244.23</v>
      </c>
      <c r="AD514" s="1" t="str">
        <v>Benjamin Smith</v>
      </c>
      <c r="AE514" s="1">
        <v>38073</v>
      </c>
      <c r="AF514" s="1">
        <v>45171</v>
      </c>
      <c r="AG514" s="1">
        <v>48.8</v>
      </c>
      <c r="AH514" s="1">
        <v>1583.18424</v>
      </c>
      <c r="AI514" s="1">
        <v>1661.04576</v>
      </c>
    </row>
    <row r="515" spans="1:35" x14ac:dyDescent="0.35">
      <c r="A515" s="1">
        <v>1513</v>
      </c>
      <c r="B515" s="2">
        <v>44590</v>
      </c>
      <c r="C515" s="1" t="s">
        <v>35</v>
      </c>
      <c r="D515" s="1" t="s">
        <v>24</v>
      </c>
      <c r="E515" s="1" t="s">
        <v>19</v>
      </c>
      <c r="F515" s="1">
        <v>492.46</v>
      </c>
      <c r="G515" s="1" t="s">
        <v>213</v>
      </c>
      <c r="H515" s="2">
        <v>34345</v>
      </c>
      <c r="I515" s="2">
        <v>44602</v>
      </c>
      <c r="J515" s="1">
        <v>44.35</v>
      </c>
      <c r="K515" s="1">
        <f t="shared" ref="K515:K578" si="22">F515*J515%</f>
        <v>218.40600999999998</v>
      </c>
      <c r="L515" s="1">
        <f t="shared" ref="L515:L578" si="23">F515-K515</f>
        <v>274.05399</v>
      </c>
      <c r="U515">
        <v>2368.8799920000001</v>
      </c>
      <c r="X515" s="1">
        <v>1708</v>
      </c>
      <c r="Y515" s="2">
        <v>45285</v>
      </c>
      <c r="Z515" s="1" t="str">
        <v>East</v>
      </c>
      <c r="AA515" s="1" t="str">
        <v>Cap</v>
      </c>
      <c r="AB515" s="1" t="str">
        <v>Clothing</v>
      </c>
      <c r="AC515" s="1">
        <v>4234.68</v>
      </c>
      <c r="AD515" s="1" t="str">
        <v>Kevin Rosario</v>
      </c>
      <c r="AE515" s="1">
        <v>36012</v>
      </c>
      <c r="AF515" s="1">
        <v>45299</v>
      </c>
      <c r="AG515" s="1">
        <v>44.06</v>
      </c>
      <c r="AH515" s="1">
        <v>1865.8000080000004</v>
      </c>
      <c r="AI515" s="1">
        <v>2368.8799920000001</v>
      </c>
    </row>
    <row r="516" spans="1:35" x14ac:dyDescent="0.35">
      <c r="A516" s="1">
        <v>1514</v>
      </c>
      <c r="B516" s="2">
        <v>44426</v>
      </c>
      <c r="C516" s="1" t="s">
        <v>35</v>
      </c>
      <c r="D516" s="1" t="s">
        <v>53</v>
      </c>
      <c r="E516" s="1" t="s">
        <v>28</v>
      </c>
      <c r="F516" s="1">
        <v>4324.25</v>
      </c>
      <c r="G516" s="1" t="s">
        <v>267</v>
      </c>
      <c r="H516" s="2">
        <v>38039</v>
      </c>
      <c r="I516" s="2">
        <v>44439</v>
      </c>
      <c r="J516" s="1">
        <v>17.28</v>
      </c>
      <c r="K516" s="1">
        <f t="shared" si="22"/>
        <v>747.23040000000003</v>
      </c>
      <c r="L516" s="1">
        <f t="shared" si="23"/>
        <v>3577.0196000000001</v>
      </c>
      <c r="U516">
        <v>4033.2412360000003</v>
      </c>
      <c r="X516" s="1">
        <v>1710</v>
      </c>
      <c r="Y516" s="2">
        <v>44386</v>
      </c>
      <c r="Z516" s="1" t="str">
        <v>North</v>
      </c>
      <c r="AA516" s="1" t="str">
        <v>Wardrobe</v>
      </c>
      <c r="AB516" s="1" t="str">
        <v>Furniture</v>
      </c>
      <c r="AC516" s="1">
        <v>4680.0200000000004</v>
      </c>
      <c r="AD516" s="1" t="str">
        <v>Sylvia Landry</v>
      </c>
      <c r="AE516" s="1">
        <v>35642</v>
      </c>
      <c r="AF516" s="1">
        <v>44400</v>
      </c>
      <c r="AG516" s="1">
        <v>13.82</v>
      </c>
      <c r="AH516" s="1">
        <v>646.77876400000002</v>
      </c>
      <c r="AI516" s="1">
        <v>4033.2412360000003</v>
      </c>
    </row>
    <row r="517" spans="1:35" x14ac:dyDescent="0.35">
      <c r="A517" s="1">
        <v>1515</v>
      </c>
      <c r="B517" s="2">
        <v>44823</v>
      </c>
      <c r="C517" s="1" t="s">
        <v>21</v>
      </c>
      <c r="D517" s="1" t="s">
        <v>11</v>
      </c>
      <c r="E517" s="1" t="s">
        <v>12</v>
      </c>
      <c r="F517" s="1">
        <v>1005.2</v>
      </c>
      <c r="G517" s="1" t="s">
        <v>286</v>
      </c>
      <c r="H517" s="2">
        <v>33430</v>
      </c>
      <c r="I517" s="2">
        <v>44828</v>
      </c>
      <c r="J517" s="1">
        <v>17.05</v>
      </c>
      <c r="K517" s="1">
        <f t="shared" si="22"/>
        <v>171.38660000000002</v>
      </c>
      <c r="L517" s="1">
        <f t="shared" si="23"/>
        <v>833.8134</v>
      </c>
      <c r="U517">
        <v>2142.5893999999998</v>
      </c>
      <c r="X517" s="1">
        <v>1711</v>
      </c>
      <c r="Y517" s="2">
        <v>44813</v>
      </c>
      <c r="Z517" s="1" t="str">
        <v>North</v>
      </c>
      <c r="AA517" s="1" t="str">
        <v>Wheat</v>
      </c>
      <c r="AB517" s="1" t="str">
        <v>Groceries</v>
      </c>
      <c r="AC517" s="1">
        <v>2860.6</v>
      </c>
      <c r="AD517" s="1" t="str">
        <v>Margaret Reynolds</v>
      </c>
      <c r="AE517" s="1">
        <v>38118</v>
      </c>
      <c r="AF517" s="1">
        <v>44826</v>
      </c>
      <c r="AG517" s="1">
        <v>25.1</v>
      </c>
      <c r="AH517" s="1">
        <v>718.01059999999995</v>
      </c>
      <c r="AI517" s="1">
        <v>2142.5893999999998</v>
      </c>
    </row>
    <row r="518" spans="1:35" x14ac:dyDescent="0.35">
      <c r="A518" s="1">
        <v>1516</v>
      </c>
      <c r="B518" s="2">
        <v>45407</v>
      </c>
      <c r="C518" s="1" t="s">
        <v>35</v>
      </c>
      <c r="D518" s="1" t="s">
        <v>53</v>
      </c>
      <c r="E518" s="1" t="s">
        <v>28</v>
      </c>
      <c r="F518" s="1">
        <v>4842.41</v>
      </c>
      <c r="G518" s="1" t="s">
        <v>111</v>
      </c>
      <c r="H518" s="2">
        <v>34704</v>
      </c>
      <c r="I518" s="2">
        <v>45416</v>
      </c>
      <c r="J518" s="1">
        <v>30.21</v>
      </c>
      <c r="K518" s="1">
        <f t="shared" si="22"/>
        <v>1462.8920610000002</v>
      </c>
      <c r="L518" s="1">
        <f t="shared" si="23"/>
        <v>3379.5179389999994</v>
      </c>
      <c r="U518">
        <v>3493.7395289999999</v>
      </c>
      <c r="X518" s="1">
        <v>1714</v>
      </c>
      <c r="Y518" s="2">
        <v>44594</v>
      </c>
      <c r="Z518" s="1" t="str">
        <v>Central</v>
      </c>
      <c r="AA518" s="1" t="str">
        <v>Smartphone</v>
      </c>
      <c r="AB518" s="1" t="str">
        <v>Electronics</v>
      </c>
      <c r="AC518" s="1">
        <v>3533.67</v>
      </c>
      <c r="AD518" s="1" t="str">
        <v>Vanessa Johnson</v>
      </c>
      <c r="AE518" s="1">
        <v>21923</v>
      </c>
      <c r="AF518" s="1">
        <v>44607</v>
      </c>
      <c r="AG518" s="1">
        <v>1.1299999999999999</v>
      </c>
      <c r="AH518" s="1">
        <v>39.930470999999997</v>
      </c>
      <c r="AI518" s="1">
        <v>3493.7395289999999</v>
      </c>
    </row>
    <row r="519" spans="1:35" x14ac:dyDescent="0.35">
      <c r="A519" s="1">
        <v>1517</v>
      </c>
      <c r="B519" s="2">
        <v>45136</v>
      </c>
      <c r="C519" s="1" t="s">
        <v>10</v>
      </c>
      <c r="D519" s="1" t="s">
        <v>40</v>
      </c>
      <c r="E519" s="1" t="s">
        <v>16</v>
      </c>
      <c r="F519" s="1">
        <v>997.82</v>
      </c>
      <c r="G519" s="1" t="s">
        <v>141</v>
      </c>
      <c r="H519" s="2">
        <v>35559</v>
      </c>
      <c r="I519" s="2">
        <v>45144</v>
      </c>
      <c r="J519" s="1">
        <v>10.050000000000001</v>
      </c>
      <c r="K519" s="1">
        <f t="shared" si="22"/>
        <v>100.28091000000001</v>
      </c>
      <c r="L519" s="1">
        <f t="shared" si="23"/>
        <v>897.53908999999999</v>
      </c>
      <c r="U519">
        <v>2156.78015</v>
      </c>
      <c r="X519" s="1">
        <v>1715</v>
      </c>
      <c r="Y519" s="2">
        <v>45049</v>
      </c>
      <c r="Z519" s="1" t="str">
        <v>North</v>
      </c>
      <c r="AA519" s="1" t="str">
        <v>Basketball</v>
      </c>
      <c r="AB519" s="1" t="str">
        <v>Sports</v>
      </c>
      <c r="AC519" s="1">
        <v>2679.23</v>
      </c>
      <c r="AD519" s="1" t="str">
        <v>Melissa Moreno</v>
      </c>
      <c r="AE519" s="1">
        <v>25579</v>
      </c>
      <c r="AF519" s="1">
        <v>45059</v>
      </c>
      <c r="AG519" s="1">
        <v>19.5</v>
      </c>
      <c r="AH519" s="1">
        <v>522.44984999999997</v>
      </c>
      <c r="AI519" s="1">
        <v>2156.78015</v>
      </c>
    </row>
    <row r="520" spans="1:35" x14ac:dyDescent="0.35">
      <c r="A520" s="1">
        <v>1518</v>
      </c>
      <c r="B520" s="2">
        <v>44854</v>
      </c>
      <c r="C520" s="1" t="s">
        <v>35</v>
      </c>
      <c r="D520" s="1" t="s">
        <v>73</v>
      </c>
      <c r="E520" s="1" t="s">
        <v>28</v>
      </c>
      <c r="F520" s="1">
        <v>1656.3</v>
      </c>
      <c r="G520" s="1" t="s">
        <v>287</v>
      </c>
      <c r="H520" s="2">
        <v>36329</v>
      </c>
      <c r="I520" s="2">
        <v>44867</v>
      </c>
      <c r="J520" s="1">
        <v>34.54</v>
      </c>
      <c r="K520" s="1">
        <f t="shared" si="22"/>
        <v>572.08601999999996</v>
      </c>
      <c r="L520" s="1">
        <f t="shared" si="23"/>
        <v>1084.21398</v>
      </c>
      <c r="U520">
        <v>2649.7444949999999</v>
      </c>
      <c r="X520" s="1">
        <v>1716</v>
      </c>
      <c r="Y520" s="2">
        <v>45214</v>
      </c>
      <c r="Z520" s="1" t="str">
        <v>South</v>
      </c>
      <c r="AA520" s="1" t="str">
        <v>Shoes</v>
      </c>
      <c r="AB520" s="1" t="str">
        <v>Clothing</v>
      </c>
      <c r="AC520" s="1">
        <v>4121.55</v>
      </c>
      <c r="AD520" s="1" t="str">
        <v>Jason Gomez</v>
      </c>
      <c r="AE520" s="1">
        <v>32685</v>
      </c>
      <c r="AF520" s="1">
        <v>45223</v>
      </c>
      <c r="AG520" s="1">
        <v>35.71</v>
      </c>
      <c r="AH520" s="1">
        <v>1471.8055050000003</v>
      </c>
      <c r="AI520" s="1">
        <v>2649.7444949999999</v>
      </c>
    </row>
    <row r="521" spans="1:35" x14ac:dyDescent="0.35">
      <c r="A521" s="1">
        <v>1519</v>
      </c>
      <c r="B521" s="2">
        <v>44420</v>
      </c>
      <c r="C521" s="1" t="s">
        <v>10</v>
      </c>
      <c r="D521" s="1" t="s">
        <v>49</v>
      </c>
      <c r="E521" s="1" t="s">
        <v>12</v>
      </c>
      <c r="F521" s="1">
        <v>3717.54</v>
      </c>
      <c r="G521" s="1" t="s">
        <v>197</v>
      </c>
      <c r="H521" s="2">
        <v>26001</v>
      </c>
      <c r="I521" s="2">
        <v>44430</v>
      </c>
      <c r="J521" s="1">
        <v>27.61</v>
      </c>
      <c r="K521" s="1">
        <f t="shared" si="22"/>
        <v>1026.4127940000001</v>
      </c>
      <c r="L521" s="1">
        <f t="shared" si="23"/>
        <v>2691.1272060000001</v>
      </c>
      <c r="U521">
        <v>3075.7971240000002</v>
      </c>
      <c r="X521" s="1">
        <v>1717</v>
      </c>
      <c r="Y521" s="2">
        <v>44535</v>
      </c>
      <c r="Z521" s="1" t="str">
        <v>South</v>
      </c>
      <c r="AA521" s="1" t="str">
        <v>Eggs</v>
      </c>
      <c r="AB521" s="1" t="str">
        <v>Groceries</v>
      </c>
      <c r="AC521" s="1">
        <v>3582.34</v>
      </c>
      <c r="AD521" s="1" t="str">
        <v>Melissa Moreno</v>
      </c>
      <c r="AE521" s="1">
        <v>25579</v>
      </c>
      <c r="AF521" s="1">
        <v>44540</v>
      </c>
      <c r="AG521" s="1">
        <v>14.14</v>
      </c>
      <c r="AH521" s="1">
        <v>506.54287600000004</v>
      </c>
      <c r="AI521" s="1">
        <v>3075.7971240000002</v>
      </c>
    </row>
    <row r="522" spans="1:35" x14ac:dyDescent="0.35">
      <c r="A522" s="1">
        <v>1520</v>
      </c>
      <c r="B522" s="2">
        <v>44433</v>
      </c>
      <c r="C522" s="1" t="s">
        <v>26</v>
      </c>
      <c r="D522" s="1" t="s">
        <v>22</v>
      </c>
      <c r="E522" s="1" t="s">
        <v>19</v>
      </c>
      <c r="F522" s="1">
        <v>2034.68</v>
      </c>
      <c r="G522" s="1" t="s">
        <v>112</v>
      </c>
      <c r="H522" s="2">
        <v>38171</v>
      </c>
      <c r="I522" s="2">
        <v>44443</v>
      </c>
      <c r="J522" s="1">
        <v>30.93</v>
      </c>
      <c r="K522" s="1">
        <f t="shared" si="22"/>
        <v>629.32652400000006</v>
      </c>
      <c r="L522" s="1">
        <f t="shared" si="23"/>
        <v>1405.353476</v>
      </c>
      <c r="U522">
        <v>1700.5927370000002</v>
      </c>
      <c r="X522" s="1">
        <v>1718</v>
      </c>
      <c r="Y522" s="2">
        <v>45287</v>
      </c>
      <c r="Z522" s="1" t="str">
        <v>South</v>
      </c>
      <c r="AA522" s="1" t="str">
        <v>Headphones</v>
      </c>
      <c r="AB522" s="1" t="str">
        <v>Electronics</v>
      </c>
      <c r="AC522" s="1">
        <v>3131.27</v>
      </c>
      <c r="AD522" s="1" t="str">
        <v>Aaron Smith</v>
      </c>
      <c r="AE522" s="1">
        <v>23470</v>
      </c>
      <c r="AF522" s="1">
        <v>45298</v>
      </c>
      <c r="AG522" s="1">
        <v>45.69</v>
      </c>
      <c r="AH522" s="1">
        <v>1430.6772629999998</v>
      </c>
      <c r="AI522" s="1">
        <v>1700.5927370000002</v>
      </c>
    </row>
    <row r="523" spans="1:35" x14ac:dyDescent="0.35">
      <c r="A523" s="1">
        <v>1521</v>
      </c>
      <c r="B523" s="2">
        <v>44931</v>
      </c>
      <c r="C523" s="1" t="s">
        <v>26</v>
      </c>
      <c r="D523" s="1" t="s">
        <v>73</v>
      </c>
      <c r="E523" s="1" t="s">
        <v>28</v>
      </c>
      <c r="F523" s="1">
        <v>1919.95</v>
      </c>
      <c r="G523" s="1" t="s">
        <v>288</v>
      </c>
      <c r="H523" s="2">
        <v>29810</v>
      </c>
      <c r="I523" s="2">
        <v>44934</v>
      </c>
      <c r="J523" s="1">
        <v>19.54</v>
      </c>
      <c r="K523" s="1">
        <f t="shared" si="22"/>
        <v>375.15823</v>
      </c>
      <c r="L523" s="1">
        <f t="shared" si="23"/>
        <v>1544.79177</v>
      </c>
      <c r="U523">
        <v>3119.477832</v>
      </c>
      <c r="X523" s="1">
        <v>1720</v>
      </c>
      <c r="Y523" s="2">
        <v>44377</v>
      </c>
      <c r="Z523" s="1" t="str">
        <v>Central</v>
      </c>
      <c r="AA523" s="1" t="str">
        <v>Basketball</v>
      </c>
      <c r="AB523" s="1" t="str">
        <v>Sports</v>
      </c>
      <c r="AC523" s="1">
        <v>3653.64</v>
      </c>
      <c r="AD523" s="1" t="str">
        <v>Daniel Pennington</v>
      </c>
      <c r="AE523" s="1">
        <v>34765</v>
      </c>
      <c r="AF523" s="1">
        <v>44380</v>
      </c>
      <c r="AG523" s="1">
        <v>14.62</v>
      </c>
      <c r="AH523" s="1">
        <v>534.16216799999995</v>
      </c>
      <c r="AI523" s="1">
        <v>3119.477832</v>
      </c>
    </row>
    <row r="524" spans="1:35" x14ac:dyDescent="0.35">
      <c r="A524" s="1">
        <v>1522</v>
      </c>
      <c r="B524" s="2">
        <v>44205</v>
      </c>
      <c r="C524" s="1" t="s">
        <v>35</v>
      </c>
      <c r="D524" s="1" t="s">
        <v>49</v>
      </c>
      <c r="E524" s="1" t="s">
        <v>12</v>
      </c>
      <c r="F524" s="1">
        <v>512.12</v>
      </c>
      <c r="G524" s="1" t="s">
        <v>289</v>
      </c>
      <c r="H524" s="2">
        <v>21923</v>
      </c>
      <c r="I524" s="2">
        <v>44219</v>
      </c>
      <c r="J524" s="1">
        <v>11.52</v>
      </c>
      <c r="K524" s="1">
        <f t="shared" si="22"/>
        <v>58.996223999999998</v>
      </c>
      <c r="L524" s="1">
        <f t="shared" si="23"/>
        <v>453.12377600000002</v>
      </c>
      <c r="U524">
        <v>4059.8578540000003</v>
      </c>
      <c r="X524" s="1">
        <v>1721</v>
      </c>
      <c r="Y524" s="2">
        <v>44779</v>
      </c>
      <c r="Z524" s="1" t="str">
        <v>South</v>
      </c>
      <c r="AA524" s="1" t="str">
        <v>Jacket</v>
      </c>
      <c r="AB524" s="1" t="str">
        <v>Clothing</v>
      </c>
      <c r="AC524" s="1">
        <v>4120.01</v>
      </c>
      <c r="AD524" s="1" t="str">
        <v>Tracy Benton</v>
      </c>
      <c r="AE524" s="1">
        <v>30117</v>
      </c>
      <c r="AF524" s="1">
        <v>44782</v>
      </c>
      <c r="AG524" s="1">
        <v>1.46</v>
      </c>
      <c r="AH524" s="1">
        <v>60.152146000000002</v>
      </c>
      <c r="AI524" s="1">
        <v>4059.8578540000003</v>
      </c>
    </row>
    <row r="525" spans="1:35" x14ac:dyDescent="0.35">
      <c r="A525" s="1">
        <v>1523</v>
      </c>
      <c r="B525" s="2">
        <v>44336</v>
      </c>
      <c r="C525" s="1" t="s">
        <v>26</v>
      </c>
      <c r="D525" s="1" t="s">
        <v>38</v>
      </c>
      <c r="E525" s="1" t="s">
        <v>28</v>
      </c>
      <c r="F525" s="1">
        <v>4331.62</v>
      </c>
      <c r="G525" s="1" t="s">
        <v>169</v>
      </c>
      <c r="H525" s="2">
        <v>37894</v>
      </c>
      <c r="I525" s="2">
        <v>44338</v>
      </c>
      <c r="J525" s="1">
        <v>42.1</v>
      </c>
      <c r="K525" s="1">
        <f t="shared" si="22"/>
        <v>1823.61202</v>
      </c>
      <c r="L525" s="1">
        <f t="shared" si="23"/>
        <v>2508.0079799999999</v>
      </c>
      <c r="U525">
        <v>1686.0471360000001</v>
      </c>
      <c r="X525" s="1">
        <v>1722</v>
      </c>
      <c r="Y525" s="2">
        <v>44813</v>
      </c>
      <c r="Z525" s="1" t="str">
        <v>North</v>
      </c>
      <c r="AA525" s="1" t="str">
        <v>Headphones</v>
      </c>
      <c r="AB525" s="1" t="str">
        <v>Electronics</v>
      </c>
      <c r="AC525" s="1">
        <v>1738.91</v>
      </c>
      <c r="AD525" s="1" t="str">
        <v>Colin Garcia</v>
      </c>
      <c r="AE525" s="1">
        <v>37783</v>
      </c>
      <c r="AF525" s="1">
        <v>44820</v>
      </c>
      <c r="AG525" s="1">
        <v>3.04</v>
      </c>
      <c r="AH525" s="1">
        <v>52.862864000000002</v>
      </c>
      <c r="AI525" s="1">
        <v>1686.0471360000001</v>
      </c>
    </row>
    <row r="526" spans="1:35" x14ac:dyDescent="0.35">
      <c r="A526" s="1">
        <v>1524</v>
      </c>
      <c r="B526" s="2">
        <v>45705</v>
      </c>
      <c r="C526" s="1" t="s">
        <v>21</v>
      </c>
      <c r="D526" s="1" t="s">
        <v>53</v>
      </c>
      <c r="E526" s="1" t="s">
        <v>28</v>
      </c>
      <c r="F526" s="1">
        <v>3743.49</v>
      </c>
      <c r="G526" s="1" t="s">
        <v>113</v>
      </c>
      <c r="H526" s="2">
        <v>25579</v>
      </c>
      <c r="I526" s="2">
        <v>45707</v>
      </c>
      <c r="J526" s="1">
        <v>41.5</v>
      </c>
      <c r="K526" s="1">
        <f t="shared" si="22"/>
        <v>1553.5483499999998</v>
      </c>
      <c r="L526" s="1">
        <f t="shared" si="23"/>
        <v>2189.9416499999998</v>
      </c>
      <c r="U526">
        <v>1593.7135019999998</v>
      </c>
      <c r="X526" s="1">
        <v>1723</v>
      </c>
      <c r="Y526" s="2">
        <v>45657</v>
      </c>
      <c r="Z526" s="1" t="str">
        <v>South</v>
      </c>
      <c r="AA526" s="1" t="str">
        <v>Wardrobe</v>
      </c>
      <c r="AB526" s="1" t="str">
        <v>Furniture</v>
      </c>
      <c r="AC526" s="1">
        <v>3158.37</v>
      </c>
      <c r="AD526" s="1" t="str">
        <v>Derek Boyle</v>
      </c>
      <c r="AE526" s="1">
        <v>27534</v>
      </c>
      <c r="AF526" s="1">
        <v>45666</v>
      </c>
      <c r="AG526" s="1">
        <v>49.54</v>
      </c>
      <c r="AH526" s="1">
        <v>1564.6564980000001</v>
      </c>
      <c r="AI526" s="1">
        <v>1593.7135019999998</v>
      </c>
    </row>
    <row r="527" spans="1:35" x14ac:dyDescent="0.35">
      <c r="A527" s="1">
        <v>1525</v>
      </c>
      <c r="B527" s="2">
        <v>44123</v>
      </c>
      <c r="C527" s="1" t="s">
        <v>35</v>
      </c>
      <c r="D527" s="1" t="s">
        <v>11</v>
      </c>
      <c r="E527" s="1" t="s">
        <v>12</v>
      </c>
      <c r="F527" s="1">
        <v>2623.35</v>
      </c>
      <c r="G527" s="1" t="s">
        <v>63</v>
      </c>
      <c r="H527" s="2">
        <v>25430</v>
      </c>
      <c r="I527" s="2">
        <v>44133</v>
      </c>
      <c r="J527" s="1">
        <v>33.46</v>
      </c>
      <c r="K527" s="1">
        <f t="shared" si="22"/>
        <v>877.77291000000002</v>
      </c>
      <c r="L527" s="1">
        <f t="shared" si="23"/>
        <v>1745.5770899999998</v>
      </c>
      <c r="U527">
        <v>2910.7362149999999</v>
      </c>
      <c r="X527" s="1">
        <v>1724</v>
      </c>
      <c r="Y527" s="2">
        <v>44535</v>
      </c>
      <c r="Z527" s="1" t="str">
        <v>West</v>
      </c>
      <c r="AA527" s="1" t="str">
        <v>Shoes</v>
      </c>
      <c r="AB527" s="1" t="str">
        <v>Clothing</v>
      </c>
      <c r="AC527" s="1">
        <v>3256.95</v>
      </c>
      <c r="AD527" s="1" t="str">
        <v>Patricia Burton</v>
      </c>
      <c r="AE527" s="1">
        <v>24673</v>
      </c>
      <c r="AF527" s="1">
        <v>44546</v>
      </c>
      <c r="AG527" s="1">
        <v>10.63</v>
      </c>
      <c r="AH527" s="1">
        <v>346.21378499999997</v>
      </c>
      <c r="AI527" s="1">
        <v>2910.7362149999999</v>
      </c>
    </row>
    <row r="528" spans="1:35" x14ac:dyDescent="0.35">
      <c r="A528" s="1">
        <v>1526</v>
      </c>
      <c r="B528" s="2">
        <v>44476</v>
      </c>
      <c r="C528" s="1" t="s">
        <v>26</v>
      </c>
      <c r="D528" s="1" t="s">
        <v>27</v>
      </c>
      <c r="E528" s="1" t="s">
        <v>28</v>
      </c>
      <c r="F528" s="1">
        <v>651.98</v>
      </c>
      <c r="G528" s="1" t="s">
        <v>190</v>
      </c>
      <c r="H528" s="2">
        <v>33354</v>
      </c>
      <c r="I528" s="2">
        <v>44487</v>
      </c>
      <c r="J528" s="1">
        <v>41.88</v>
      </c>
      <c r="K528" s="1">
        <f t="shared" si="22"/>
        <v>273.04922400000004</v>
      </c>
      <c r="L528" s="1">
        <f t="shared" si="23"/>
        <v>378.93077599999998</v>
      </c>
      <c r="U528">
        <v>1781.3795750000002</v>
      </c>
      <c r="X528" s="1">
        <v>1725</v>
      </c>
      <c r="Y528" s="2">
        <v>44333</v>
      </c>
      <c r="Z528" s="1" t="str">
        <v>North</v>
      </c>
      <c r="AA528" s="1" t="str">
        <v>Tennis Racket</v>
      </c>
      <c r="AB528" s="1" t="str">
        <v>Sports</v>
      </c>
      <c r="AC528" s="1">
        <v>1874.15</v>
      </c>
      <c r="AD528" s="1" t="str">
        <v>Lynn Johnson</v>
      </c>
      <c r="AE528" s="1">
        <v>37189</v>
      </c>
      <c r="AF528" s="1">
        <v>44339</v>
      </c>
      <c r="AG528" s="1">
        <v>4.95</v>
      </c>
      <c r="AH528" s="1">
        <v>92.770425000000003</v>
      </c>
      <c r="AI528" s="1">
        <v>1781.3795750000002</v>
      </c>
    </row>
    <row r="529" spans="1:35" x14ac:dyDescent="0.35">
      <c r="A529" s="1">
        <v>1527</v>
      </c>
      <c r="B529" s="2">
        <v>44847</v>
      </c>
      <c r="C529" s="1" t="s">
        <v>26</v>
      </c>
      <c r="D529" s="1" t="s">
        <v>30</v>
      </c>
      <c r="E529" s="1" t="s">
        <v>31</v>
      </c>
      <c r="F529" s="1">
        <v>2401.7800000000002</v>
      </c>
      <c r="G529" s="1" t="s">
        <v>154</v>
      </c>
      <c r="H529" s="2">
        <v>32146</v>
      </c>
      <c r="I529" s="2">
        <v>44849</v>
      </c>
      <c r="J529" s="1">
        <v>21.01</v>
      </c>
      <c r="K529" s="1">
        <f t="shared" si="22"/>
        <v>504.61397800000009</v>
      </c>
      <c r="L529" s="1">
        <f t="shared" si="23"/>
        <v>1897.1660220000001</v>
      </c>
      <c r="U529">
        <v>3160.8593339999998</v>
      </c>
      <c r="X529" s="1">
        <v>1727</v>
      </c>
      <c r="Y529" s="2">
        <v>45086</v>
      </c>
      <c r="Z529" s="1" t="str">
        <v>North</v>
      </c>
      <c r="AA529" s="1" t="str">
        <v>Tablet</v>
      </c>
      <c r="AB529" s="1" t="str">
        <v>Electronics</v>
      </c>
      <c r="AC529" s="1">
        <v>3947.62</v>
      </c>
      <c r="AD529" s="1" t="str">
        <v>Melissa Hubbard</v>
      </c>
      <c r="AE529" s="1">
        <v>31231</v>
      </c>
      <c r="AF529" s="1">
        <v>45090</v>
      </c>
      <c r="AG529" s="1">
        <v>19.93</v>
      </c>
      <c r="AH529" s="1">
        <v>786.76066600000001</v>
      </c>
      <c r="AI529" s="1">
        <v>3160.8593339999998</v>
      </c>
    </row>
    <row r="530" spans="1:35" x14ac:dyDescent="0.35">
      <c r="A530" s="1">
        <v>1528</v>
      </c>
      <c r="B530" s="2">
        <v>44800</v>
      </c>
      <c r="C530" s="1" t="s">
        <v>35</v>
      </c>
      <c r="D530" s="1" t="s">
        <v>15</v>
      </c>
      <c r="E530" s="1" t="s">
        <v>16</v>
      </c>
      <c r="F530" s="1">
        <v>4140.24</v>
      </c>
      <c r="G530" s="1" t="s">
        <v>290</v>
      </c>
      <c r="H530" s="2">
        <v>31764</v>
      </c>
      <c r="I530" s="2">
        <v>44810</v>
      </c>
      <c r="J530" s="1">
        <v>30.47</v>
      </c>
      <c r="K530" s="1">
        <f t="shared" si="22"/>
        <v>1261.5311279999999</v>
      </c>
      <c r="L530" s="1">
        <f t="shared" si="23"/>
        <v>2878.7088720000002</v>
      </c>
      <c r="U530">
        <v>1065.2738250000002</v>
      </c>
      <c r="X530" s="1">
        <v>1729</v>
      </c>
      <c r="Y530" s="2">
        <v>45680</v>
      </c>
      <c r="Z530" s="1" t="str">
        <v>South</v>
      </c>
      <c r="AA530" s="1" t="str">
        <v>Table</v>
      </c>
      <c r="AB530" s="1" t="str">
        <v>Furniture</v>
      </c>
      <c r="AC530" s="1">
        <v>1844.63</v>
      </c>
      <c r="AD530" s="1" t="str">
        <v>Lisa Hill</v>
      </c>
      <c r="AE530" s="1">
        <v>23469</v>
      </c>
      <c r="AF530" s="1">
        <v>45688</v>
      </c>
      <c r="AG530" s="1">
        <v>42.25</v>
      </c>
      <c r="AH530" s="1">
        <v>779.35617500000001</v>
      </c>
      <c r="AI530" s="1">
        <v>1065.2738250000002</v>
      </c>
    </row>
    <row r="531" spans="1:35" x14ac:dyDescent="0.35">
      <c r="A531" s="1">
        <v>1529</v>
      </c>
      <c r="B531" s="2">
        <v>44511</v>
      </c>
      <c r="C531" s="1" t="s">
        <v>21</v>
      </c>
      <c r="D531" s="1" t="s">
        <v>30</v>
      </c>
      <c r="E531" s="1" t="s">
        <v>31</v>
      </c>
      <c r="F531" s="1">
        <v>620.05999999999995</v>
      </c>
      <c r="G531" s="1" t="s">
        <v>188</v>
      </c>
      <c r="H531" s="2">
        <v>31467</v>
      </c>
      <c r="I531" s="2">
        <v>44514</v>
      </c>
      <c r="J531" s="1">
        <v>43.35</v>
      </c>
      <c r="K531" s="1">
        <f t="shared" si="22"/>
        <v>268.79600999999997</v>
      </c>
      <c r="L531" s="1">
        <f t="shared" si="23"/>
        <v>351.26398999999998</v>
      </c>
      <c r="U531">
        <v>2499.935692</v>
      </c>
      <c r="X531" s="1">
        <v>1730</v>
      </c>
      <c r="Y531" s="2">
        <v>45873</v>
      </c>
      <c r="Z531" s="1" t="str">
        <v>Central</v>
      </c>
      <c r="AA531" s="1" t="str">
        <v>Wardrobe</v>
      </c>
      <c r="AB531" s="1" t="str">
        <v>Furniture</v>
      </c>
      <c r="AC531" s="1">
        <v>4539.5600000000004</v>
      </c>
      <c r="AD531" s="1" t="str">
        <v>Jerry Smith</v>
      </c>
      <c r="AE531" s="1">
        <v>26027</v>
      </c>
      <c r="AF531" s="1">
        <v>45879</v>
      </c>
      <c r="AG531" s="1">
        <v>44.93</v>
      </c>
      <c r="AH531" s="1">
        <v>2039.6243080000002</v>
      </c>
      <c r="AI531" s="1">
        <v>2499.935692</v>
      </c>
    </row>
    <row r="532" spans="1:35" x14ac:dyDescent="0.35">
      <c r="A532" s="1">
        <v>1530</v>
      </c>
      <c r="B532" s="2">
        <v>44286</v>
      </c>
      <c r="C532" s="1" t="s">
        <v>26</v>
      </c>
      <c r="D532" s="1" t="s">
        <v>61</v>
      </c>
      <c r="E532" s="1" t="s">
        <v>19</v>
      </c>
      <c r="F532" s="1">
        <v>4265.28</v>
      </c>
      <c r="G532" s="1" t="s">
        <v>80</v>
      </c>
      <c r="H532" s="2">
        <v>31578</v>
      </c>
      <c r="I532" s="2">
        <v>44287</v>
      </c>
      <c r="J532" s="1">
        <v>41.11</v>
      </c>
      <c r="K532" s="1">
        <f t="shared" si="22"/>
        <v>1753.456608</v>
      </c>
      <c r="L532" s="1">
        <f t="shared" si="23"/>
        <v>2511.8233919999998</v>
      </c>
      <c r="U532">
        <v>1233.9516039999999</v>
      </c>
      <c r="X532" s="1">
        <v>1731</v>
      </c>
      <c r="Y532" s="2">
        <v>45007</v>
      </c>
      <c r="Z532" s="1" t="str">
        <v>North</v>
      </c>
      <c r="AA532" s="1" t="str">
        <v>Jacket</v>
      </c>
      <c r="AB532" s="1" t="str">
        <v>Clothing</v>
      </c>
      <c r="AC532" s="1">
        <v>2167.87</v>
      </c>
      <c r="AD532" s="1" t="str">
        <v>Danielle Perry</v>
      </c>
      <c r="AE532" s="1">
        <v>37674</v>
      </c>
      <c r="AF532" s="1">
        <v>45013</v>
      </c>
      <c r="AG532" s="1">
        <v>43.08</v>
      </c>
      <c r="AH532" s="1">
        <v>933.91839599999992</v>
      </c>
      <c r="AI532" s="1">
        <v>1233.9516039999999</v>
      </c>
    </row>
    <row r="533" spans="1:35" x14ac:dyDescent="0.35">
      <c r="A533" s="1">
        <v>1531</v>
      </c>
      <c r="B533" s="2">
        <v>45495</v>
      </c>
      <c r="C533" s="1" t="s">
        <v>14</v>
      </c>
      <c r="D533" s="1" t="s">
        <v>36</v>
      </c>
      <c r="E533" s="1" t="s">
        <v>28</v>
      </c>
      <c r="F533" s="1">
        <v>1451.33</v>
      </c>
      <c r="G533" s="1" t="s">
        <v>149</v>
      </c>
      <c r="H533" s="2">
        <v>26155</v>
      </c>
      <c r="I533" s="2">
        <v>45498</v>
      </c>
      <c r="J533" s="1">
        <v>13.34</v>
      </c>
      <c r="K533" s="1">
        <f t="shared" si="22"/>
        <v>193.60742199999999</v>
      </c>
      <c r="L533" s="1">
        <f t="shared" si="23"/>
        <v>1257.7225779999999</v>
      </c>
      <c r="U533">
        <v>3544.1440580000003</v>
      </c>
      <c r="X533" s="1">
        <v>1732</v>
      </c>
      <c r="Y533" s="2">
        <v>45568</v>
      </c>
      <c r="Z533" s="1" t="str">
        <v>East</v>
      </c>
      <c r="AA533" s="1" t="str">
        <v>Wheat</v>
      </c>
      <c r="AB533" s="1" t="str">
        <v>Groceries</v>
      </c>
      <c r="AC533" s="1">
        <v>4749.59</v>
      </c>
      <c r="AD533" s="1" t="str">
        <v>Mark Swanson</v>
      </c>
      <c r="AE533" s="1">
        <v>36099</v>
      </c>
      <c r="AF533" s="1">
        <v>45579</v>
      </c>
      <c r="AG533" s="1">
        <v>25.38</v>
      </c>
      <c r="AH533" s="1">
        <v>1205.4459419999998</v>
      </c>
      <c r="AI533" s="1">
        <v>3544.1440580000003</v>
      </c>
    </row>
    <row r="534" spans="1:35" x14ac:dyDescent="0.35">
      <c r="A534" s="1">
        <v>1532</v>
      </c>
      <c r="B534" s="2">
        <v>44104</v>
      </c>
      <c r="C534" s="1" t="s">
        <v>26</v>
      </c>
      <c r="D534" s="1" t="s">
        <v>27</v>
      </c>
      <c r="E534" s="1" t="s">
        <v>28</v>
      </c>
      <c r="F534" s="1">
        <v>4840.1400000000003</v>
      </c>
      <c r="G534" s="1" t="s">
        <v>291</v>
      </c>
      <c r="H534" s="2">
        <v>36645</v>
      </c>
      <c r="I534" s="2">
        <v>44111</v>
      </c>
      <c r="J534" s="1">
        <v>37.380000000000003</v>
      </c>
      <c r="K534" s="1">
        <f t="shared" si="22"/>
        <v>1809.2443320000002</v>
      </c>
      <c r="L534" s="1">
        <f t="shared" si="23"/>
        <v>3030.8956680000001</v>
      </c>
      <c r="U534">
        <v>2042.694066</v>
      </c>
      <c r="X534" s="1">
        <v>1733</v>
      </c>
      <c r="Y534" s="2">
        <v>44153</v>
      </c>
      <c r="Z534" s="1" t="str">
        <v>East</v>
      </c>
      <c r="AA534" s="1" t="str">
        <v>Wheat</v>
      </c>
      <c r="AB534" s="1" t="str">
        <v>Groceries</v>
      </c>
      <c r="AC534" s="1">
        <v>2900.73</v>
      </c>
      <c r="AD534" s="1" t="str">
        <v>April Wilson</v>
      </c>
      <c r="AE534" s="1">
        <v>23039</v>
      </c>
      <c r="AF534" s="1">
        <v>44165</v>
      </c>
      <c r="AG534" s="1">
        <v>29.58</v>
      </c>
      <c r="AH534" s="1">
        <v>858.035934</v>
      </c>
      <c r="AI534" s="1">
        <v>2042.694066</v>
      </c>
    </row>
    <row r="535" spans="1:35" x14ac:dyDescent="0.35">
      <c r="A535" s="1">
        <v>1533</v>
      </c>
      <c r="B535" s="2">
        <v>45442</v>
      </c>
      <c r="C535" s="1" t="s">
        <v>10</v>
      </c>
      <c r="D535" s="1" t="s">
        <v>44</v>
      </c>
      <c r="E535" s="1" t="s">
        <v>16</v>
      </c>
      <c r="F535" s="1">
        <v>342.76</v>
      </c>
      <c r="G535" s="1" t="s">
        <v>224</v>
      </c>
      <c r="H535" s="2">
        <v>35405</v>
      </c>
      <c r="I535" s="2">
        <v>45450</v>
      </c>
      <c r="J535" s="1">
        <v>4.42</v>
      </c>
      <c r="K535" s="1">
        <f t="shared" si="22"/>
        <v>15.149991999999997</v>
      </c>
      <c r="L535" s="1">
        <f t="shared" si="23"/>
        <v>327.61000799999999</v>
      </c>
      <c r="U535">
        <v>2394.1113599999999</v>
      </c>
      <c r="X535" s="1">
        <v>1734</v>
      </c>
      <c r="Y535" s="2">
        <v>45350</v>
      </c>
      <c r="Z535" s="1" t="str">
        <v>North</v>
      </c>
      <c r="AA535" s="1" t="str">
        <v>Cap</v>
      </c>
      <c r="AB535" s="1" t="str">
        <v>Clothing</v>
      </c>
      <c r="AC535" s="1">
        <v>4400.9399999999996</v>
      </c>
      <c r="AD535" s="1" t="str">
        <v>Garrett Delgado</v>
      </c>
      <c r="AE535" s="1">
        <v>38510</v>
      </c>
      <c r="AF535" s="1">
        <v>45359</v>
      </c>
      <c r="AG535" s="1">
        <v>45.6</v>
      </c>
      <c r="AH535" s="1">
        <v>2006.82864</v>
      </c>
      <c r="AI535" s="1">
        <v>2394.1113599999999</v>
      </c>
    </row>
    <row r="536" spans="1:35" x14ac:dyDescent="0.35">
      <c r="A536" s="1">
        <v>1534</v>
      </c>
      <c r="B536" s="2">
        <v>45712</v>
      </c>
      <c r="C536" s="1" t="s">
        <v>26</v>
      </c>
      <c r="D536" s="1" t="s">
        <v>88</v>
      </c>
      <c r="E536" s="1" t="s">
        <v>16</v>
      </c>
      <c r="F536" s="1">
        <v>344.01</v>
      </c>
      <c r="G536" s="1" t="s">
        <v>156</v>
      </c>
      <c r="H536" s="2">
        <v>38693</v>
      </c>
      <c r="I536" s="2">
        <v>45713</v>
      </c>
      <c r="J536" s="1">
        <v>49.39</v>
      </c>
      <c r="K536" s="1">
        <f t="shared" si="22"/>
        <v>169.90653900000001</v>
      </c>
      <c r="L536" s="1">
        <f t="shared" si="23"/>
        <v>174.10346099999998</v>
      </c>
      <c r="U536">
        <v>3644.5202760000002</v>
      </c>
      <c r="X536" s="1">
        <v>1735</v>
      </c>
      <c r="Y536" s="2">
        <v>44139</v>
      </c>
      <c r="Z536" s="1" t="str">
        <v>West</v>
      </c>
      <c r="AA536" s="1" t="str">
        <v>Milk</v>
      </c>
      <c r="AB536" s="1" t="str">
        <v>Groceries</v>
      </c>
      <c r="AC536" s="1">
        <v>4781.58</v>
      </c>
      <c r="AD536" s="1" t="str">
        <v>Elizabeth Lee MD</v>
      </c>
      <c r="AE536" s="1">
        <v>25948</v>
      </c>
      <c r="AF536" s="1">
        <v>44145</v>
      </c>
      <c r="AG536" s="1">
        <v>23.78</v>
      </c>
      <c r="AH536" s="1">
        <v>1137.059724</v>
      </c>
      <c r="AI536" s="1">
        <v>3644.5202760000002</v>
      </c>
    </row>
    <row r="537" spans="1:35" x14ac:dyDescent="0.35">
      <c r="A537" s="1">
        <v>1535</v>
      </c>
      <c r="B537" s="2">
        <v>45849</v>
      </c>
      <c r="C537" s="1" t="s">
        <v>26</v>
      </c>
      <c r="D537" s="1" t="s">
        <v>15</v>
      </c>
      <c r="E537" s="1" t="s">
        <v>16</v>
      </c>
      <c r="F537" s="1">
        <v>2039.1</v>
      </c>
      <c r="G537" s="1" t="s">
        <v>264</v>
      </c>
      <c r="H537" s="2">
        <v>30232</v>
      </c>
      <c r="I537" s="2">
        <v>45851</v>
      </c>
      <c r="J537" s="1">
        <v>27.95</v>
      </c>
      <c r="K537" s="1">
        <f t="shared" si="22"/>
        <v>569.92844999999988</v>
      </c>
      <c r="L537" s="1">
        <f t="shared" si="23"/>
        <v>1469.17155</v>
      </c>
      <c r="U537">
        <v>3758.053312</v>
      </c>
      <c r="X537" s="1">
        <v>1736</v>
      </c>
      <c r="Y537" s="2">
        <v>45336</v>
      </c>
      <c r="Z537" s="1" t="str">
        <v>North</v>
      </c>
      <c r="AA537" s="1" t="str">
        <v>Headphones</v>
      </c>
      <c r="AB537" s="1" t="str">
        <v>Electronics</v>
      </c>
      <c r="AC537" s="1">
        <v>4708.16</v>
      </c>
      <c r="AD537" s="1" t="str">
        <v>Justin Martinez</v>
      </c>
      <c r="AE537" s="1">
        <v>28555</v>
      </c>
      <c r="AF537" s="1">
        <v>45347</v>
      </c>
      <c r="AG537" s="1">
        <v>20.18</v>
      </c>
      <c r="AH537" s="1">
        <v>950.10668799999996</v>
      </c>
      <c r="AI537" s="1">
        <v>3758.053312</v>
      </c>
    </row>
    <row r="538" spans="1:35" x14ac:dyDescent="0.35">
      <c r="A538" s="1">
        <v>1536</v>
      </c>
      <c r="B538" s="2">
        <v>44997</v>
      </c>
      <c r="C538" s="1" t="s">
        <v>10</v>
      </c>
      <c r="D538" s="1" t="s">
        <v>69</v>
      </c>
      <c r="E538" s="1" t="s">
        <v>31</v>
      </c>
      <c r="F538" s="1">
        <v>3137.31</v>
      </c>
      <c r="G538" s="1" t="s">
        <v>174</v>
      </c>
      <c r="H538" s="2">
        <v>38118</v>
      </c>
      <c r="I538" s="2">
        <v>45008</v>
      </c>
      <c r="J538" s="1">
        <v>43.28</v>
      </c>
      <c r="K538" s="1">
        <f t="shared" si="22"/>
        <v>1357.8277680000001</v>
      </c>
      <c r="L538" s="1">
        <f t="shared" si="23"/>
        <v>1779.4822319999998</v>
      </c>
      <c r="U538">
        <v>2761.3227240000001</v>
      </c>
      <c r="X538" s="1">
        <v>1737</v>
      </c>
      <c r="Y538" s="2">
        <v>44907</v>
      </c>
      <c r="Z538" s="1" t="str">
        <v>North</v>
      </c>
      <c r="AA538" s="1" t="str">
        <v>Wheat</v>
      </c>
      <c r="AB538" s="1" t="str">
        <v>Groceries</v>
      </c>
      <c r="AC538" s="1">
        <v>3127.56</v>
      </c>
      <c r="AD538" s="1" t="str">
        <v>Christopher Campbell</v>
      </c>
      <c r="AE538" s="1">
        <v>26082</v>
      </c>
      <c r="AF538" s="1">
        <v>44920</v>
      </c>
      <c r="AG538" s="1">
        <v>11.71</v>
      </c>
      <c r="AH538" s="1">
        <v>366.23727600000001</v>
      </c>
      <c r="AI538" s="1">
        <v>2761.3227240000001</v>
      </c>
    </row>
    <row r="539" spans="1:35" x14ac:dyDescent="0.35">
      <c r="A539" s="1">
        <v>1537</v>
      </c>
      <c r="B539" s="2">
        <v>45670</v>
      </c>
      <c r="C539" s="1" t="s">
        <v>21</v>
      </c>
      <c r="D539" s="1" t="s">
        <v>22</v>
      </c>
      <c r="E539" s="1" t="s">
        <v>19</v>
      </c>
      <c r="F539" s="1">
        <v>4731.1400000000003</v>
      </c>
      <c r="G539" s="1" t="s">
        <v>292</v>
      </c>
      <c r="H539" s="2">
        <v>27118</v>
      </c>
      <c r="I539" s="2">
        <v>45683</v>
      </c>
      <c r="J539" s="1">
        <v>4</v>
      </c>
      <c r="K539" s="1">
        <f t="shared" si="22"/>
        <v>189.24560000000002</v>
      </c>
      <c r="L539" s="1">
        <f t="shared" si="23"/>
        <v>4541.8944000000001</v>
      </c>
      <c r="U539">
        <v>3363.2811629999997</v>
      </c>
      <c r="X539" s="1">
        <v>1739</v>
      </c>
      <c r="Y539" s="2">
        <v>45610</v>
      </c>
      <c r="Z539" s="1" t="str">
        <v>Central</v>
      </c>
      <c r="AA539" s="1" t="str">
        <v>T-Shirt</v>
      </c>
      <c r="AB539" s="1" t="str">
        <v>Clothing</v>
      </c>
      <c r="AC539" s="1">
        <v>4516.29</v>
      </c>
      <c r="AD539" s="1" t="str">
        <v>Nathaniel Gonzalez</v>
      </c>
      <c r="AE539" s="1">
        <v>31082</v>
      </c>
      <c r="AF539" s="1">
        <v>45613</v>
      </c>
      <c r="AG539" s="1">
        <v>25.53</v>
      </c>
      <c r="AH539" s="1">
        <v>1153.0088370000001</v>
      </c>
      <c r="AI539" s="1">
        <v>3363.2811629999997</v>
      </c>
    </row>
    <row r="540" spans="1:35" x14ac:dyDescent="0.35">
      <c r="A540" s="1">
        <v>1538</v>
      </c>
      <c r="B540" s="2">
        <v>45003</v>
      </c>
      <c r="C540" s="1" t="s">
        <v>35</v>
      </c>
      <c r="D540" s="1" t="s">
        <v>36</v>
      </c>
      <c r="E540" s="1" t="s">
        <v>28</v>
      </c>
      <c r="F540" s="1">
        <v>4083.61</v>
      </c>
      <c r="G540" s="1" t="s">
        <v>293</v>
      </c>
      <c r="H540" s="2">
        <v>26379</v>
      </c>
      <c r="I540" s="2">
        <v>45017</v>
      </c>
      <c r="J540" s="1">
        <v>7.1</v>
      </c>
      <c r="K540" s="1">
        <f t="shared" si="22"/>
        <v>289.93630999999999</v>
      </c>
      <c r="L540" s="1">
        <f t="shared" si="23"/>
        <v>3793.6736900000001</v>
      </c>
      <c r="U540">
        <v>2053.0706489999998</v>
      </c>
      <c r="X540" s="1">
        <v>1740</v>
      </c>
      <c r="Y540" s="2">
        <v>45856</v>
      </c>
      <c r="Z540" s="1" t="str">
        <v>West</v>
      </c>
      <c r="AA540" s="1" t="str">
        <v>Tablet</v>
      </c>
      <c r="AB540" s="1" t="str">
        <v>Electronics</v>
      </c>
      <c r="AC540" s="1">
        <v>2521.89</v>
      </c>
      <c r="AD540" s="1" t="str">
        <v>Holly Wolfe</v>
      </c>
      <c r="AE540" s="1">
        <v>38934</v>
      </c>
      <c r="AF540" s="1">
        <v>45864</v>
      </c>
      <c r="AG540" s="1">
        <v>18.59</v>
      </c>
      <c r="AH540" s="1">
        <v>468.81935099999998</v>
      </c>
      <c r="AI540" s="1">
        <v>2053.0706489999998</v>
      </c>
    </row>
    <row r="541" spans="1:35" x14ac:dyDescent="0.35">
      <c r="A541" s="1">
        <v>1539</v>
      </c>
      <c r="B541" s="2">
        <v>44926</v>
      </c>
      <c r="C541" s="1" t="s">
        <v>21</v>
      </c>
      <c r="D541" s="1" t="s">
        <v>55</v>
      </c>
      <c r="E541" s="1" t="s">
        <v>31</v>
      </c>
      <c r="F541" s="1">
        <v>1595.77</v>
      </c>
      <c r="G541" s="1" t="s">
        <v>74</v>
      </c>
      <c r="H541" s="2">
        <v>31224</v>
      </c>
      <c r="I541" s="2">
        <v>44933</v>
      </c>
      <c r="J541" s="1">
        <v>47.83</v>
      </c>
      <c r="K541" s="1">
        <f t="shared" si="22"/>
        <v>763.25679100000002</v>
      </c>
      <c r="L541" s="1">
        <f t="shared" si="23"/>
        <v>832.51320899999996</v>
      </c>
      <c r="U541">
        <v>2351.037276</v>
      </c>
      <c r="X541" s="1">
        <v>1742</v>
      </c>
      <c r="Y541" s="2">
        <v>45859</v>
      </c>
      <c r="Z541" s="1" t="str">
        <v>East</v>
      </c>
      <c r="AA541" s="1" t="str">
        <v>Tennis Racket</v>
      </c>
      <c r="AB541" s="1" t="str">
        <v>Sports</v>
      </c>
      <c r="AC541" s="1">
        <v>3946.68</v>
      </c>
      <c r="AD541" s="1" t="str">
        <v>James Stevens</v>
      </c>
      <c r="AE541" s="1">
        <v>30778</v>
      </c>
      <c r="AF541" s="1">
        <v>45865</v>
      </c>
      <c r="AG541" s="1">
        <v>40.43</v>
      </c>
      <c r="AH541" s="1">
        <v>1595.6427239999998</v>
      </c>
      <c r="AI541" s="1">
        <v>2351.037276</v>
      </c>
    </row>
    <row r="542" spans="1:35" x14ac:dyDescent="0.35">
      <c r="A542" s="1">
        <v>1540</v>
      </c>
      <c r="B542" s="2">
        <v>44137</v>
      </c>
      <c r="C542" s="1" t="s">
        <v>26</v>
      </c>
      <c r="D542" s="1" t="s">
        <v>36</v>
      </c>
      <c r="E542" s="1" t="s">
        <v>28</v>
      </c>
      <c r="F542" s="1">
        <v>2078.6</v>
      </c>
      <c r="G542" s="1" t="s">
        <v>294</v>
      </c>
      <c r="H542" s="2">
        <v>36037</v>
      </c>
      <c r="I542" s="2">
        <v>44149</v>
      </c>
      <c r="J542" s="1">
        <v>41.62</v>
      </c>
      <c r="K542" s="1">
        <f t="shared" si="22"/>
        <v>865.11331999999993</v>
      </c>
      <c r="L542" s="1">
        <f t="shared" si="23"/>
        <v>1213.48668</v>
      </c>
      <c r="U542">
        <v>2057.686596</v>
      </c>
      <c r="X542" s="1">
        <v>1743</v>
      </c>
      <c r="Y542" s="2">
        <v>44234</v>
      </c>
      <c r="Z542" s="1" t="str">
        <v>East</v>
      </c>
      <c r="AA542" s="1" t="str">
        <v>Camera</v>
      </c>
      <c r="AB542" s="1" t="str">
        <v>Electronics</v>
      </c>
      <c r="AC542" s="1">
        <v>2930.76</v>
      </c>
      <c r="AD542" s="1" t="str">
        <v>Justin Robinson</v>
      </c>
      <c r="AE542" s="1">
        <v>35629</v>
      </c>
      <c r="AF542" s="1">
        <v>44247</v>
      </c>
      <c r="AG542" s="1">
        <v>29.79</v>
      </c>
      <c r="AH542" s="1">
        <v>873.0734040000001</v>
      </c>
      <c r="AI542" s="1">
        <v>2057.686596</v>
      </c>
    </row>
    <row r="543" spans="1:35" x14ac:dyDescent="0.35">
      <c r="A543" s="1">
        <v>1541</v>
      </c>
      <c r="B543" s="2">
        <v>45380</v>
      </c>
      <c r="C543" s="1" t="s">
        <v>21</v>
      </c>
      <c r="D543" s="1" t="s">
        <v>40</v>
      </c>
      <c r="E543" s="1" t="s">
        <v>16</v>
      </c>
      <c r="F543" s="1">
        <v>3053.54</v>
      </c>
      <c r="G543" s="1" t="s">
        <v>101</v>
      </c>
      <c r="H543" s="2">
        <v>31331</v>
      </c>
      <c r="I543" s="2">
        <v>45386</v>
      </c>
      <c r="J543" s="1">
        <v>0.66</v>
      </c>
      <c r="K543" s="1">
        <f t="shared" si="22"/>
        <v>20.153364</v>
      </c>
      <c r="L543" s="1">
        <f t="shared" si="23"/>
        <v>3033.3866360000002</v>
      </c>
      <c r="U543">
        <v>1337.7104399999998</v>
      </c>
      <c r="X543" s="1">
        <v>1745</v>
      </c>
      <c r="Y543" s="2">
        <v>45477</v>
      </c>
      <c r="Z543" s="1" t="str">
        <v>West</v>
      </c>
      <c r="AA543" s="1" t="str">
        <v>Laptop</v>
      </c>
      <c r="AB543" s="1" t="str">
        <v>Electronics</v>
      </c>
      <c r="AC543" s="1">
        <v>1967.8</v>
      </c>
      <c r="AD543" s="1" t="str">
        <v>William Bell</v>
      </c>
      <c r="AE543" s="1">
        <v>31569</v>
      </c>
      <c r="AF543" s="1">
        <v>45486</v>
      </c>
      <c r="AG543" s="1">
        <v>32.020000000000003</v>
      </c>
      <c r="AH543" s="1">
        <v>630.08956000000012</v>
      </c>
      <c r="AI543" s="1">
        <v>1337.7104399999998</v>
      </c>
    </row>
    <row r="544" spans="1:35" x14ac:dyDescent="0.35">
      <c r="A544" s="1">
        <v>1542</v>
      </c>
      <c r="B544" s="2">
        <v>44107</v>
      </c>
      <c r="C544" s="1" t="s">
        <v>35</v>
      </c>
      <c r="D544" s="1" t="s">
        <v>55</v>
      </c>
      <c r="E544" s="1" t="s">
        <v>31</v>
      </c>
      <c r="F544" s="1">
        <v>3842.31</v>
      </c>
      <c r="G544" s="1" t="s">
        <v>275</v>
      </c>
      <c r="H544" s="2">
        <v>38510</v>
      </c>
      <c r="I544" s="2">
        <v>44115</v>
      </c>
      <c r="J544" s="1">
        <v>7.26</v>
      </c>
      <c r="K544" s="1">
        <f t="shared" si="22"/>
        <v>278.951706</v>
      </c>
      <c r="L544" s="1">
        <f t="shared" si="23"/>
        <v>3563.3582940000001</v>
      </c>
      <c r="U544">
        <v>1504.1877030000001</v>
      </c>
      <c r="X544" s="1">
        <v>1747</v>
      </c>
      <c r="Y544" s="2">
        <v>45233</v>
      </c>
      <c r="Z544" s="1" t="str">
        <v>South</v>
      </c>
      <c r="AA544" s="1" t="str">
        <v>Headphones</v>
      </c>
      <c r="AB544" s="1" t="str">
        <v>Electronics</v>
      </c>
      <c r="AC544" s="1">
        <v>1925.73</v>
      </c>
      <c r="AD544" s="1" t="str">
        <v>Pamela Randall</v>
      </c>
      <c r="AE544" s="1">
        <v>30356</v>
      </c>
      <c r="AF544" s="1">
        <v>45239</v>
      </c>
      <c r="AG544" s="1">
        <v>21.89</v>
      </c>
      <c r="AH544" s="1">
        <v>421.54229700000002</v>
      </c>
      <c r="AI544" s="1">
        <v>1504.1877030000001</v>
      </c>
    </row>
    <row r="545" spans="1:35" x14ac:dyDescent="0.35">
      <c r="A545" s="1">
        <v>1543</v>
      </c>
      <c r="B545" s="2">
        <v>45180</v>
      </c>
      <c r="C545" s="1" t="s">
        <v>26</v>
      </c>
      <c r="D545" s="1" t="s">
        <v>33</v>
      </c>
      <c r="E545" s="1" t="s">
        <v>16</v>
      </c>
      <c r="F545" s="1">
        <v>3234.76</v>
      </c>
      <c r="G545" s="1" t="s">
        <v>260</v>
      </c>
      <c r="H545" s="2">
        <v>38628</v>
      </c>
      <c r="I545" s="2">
        <v>45184</v>
      </c>
      <c r="J545" s="1">
        <v>43.21</v>
      </c>
      <c r="K545" s="1">
        <f t="shared" si="22"/>
        <v>1397.7397960000001</v>
      </c>
      <c r="L545" s="1">
        <f t="shared" si="23"/>
        <v>1837.0202040000001</v>
      </c>
      <c r="U545">
        <v>2509.1420159999998</v>
      </c>
      <c r="X545" s="1">
        <v>1748</v>
      </c>
      <c r="Y545" s="2">
        <v>45877</v>
      </c>
      <c r="Z545" s="1" t="str">
        <v>East</v>
      </c>
      <c r="AA545" s="1" t="str">
        <v>Smartphone</v>
      </c>
      <c r="AB545" s="1" t="str">
        <v>Electronics</v>
      </c>
      <c r="AC545" s="1">
        <v>4083.89</v>
      </c>
      <c r="AD545" s="1" t="str">
        <v>Robert Edwards</v>
      </c>
      <c r="AE545" s="1">
        <v>32330</v>
      </c>
      <c r="AF545" s="1">
        <v>45879</v>
      </c>
      <c r="AG545" s="1">
        <v>38.56</v>
      </c>
      <c r="AH545" s="1">
        <v>1574.7479839999999</v>
      </c>
      <c r="AI545" s="1">
        <v>2509.1420159999998</v>
      </c>
    </row>
    <row r="546" spans="1:35" x14ac:dyDescent="0.35">
      <c r="A546" s="1">
        <v>1544</v>
      </c>
      <c r="B546" s="2">
        <v>45705</v>
      </c>
      <c r="C546" s="1" t="s">
        <v>35</v>
      </c>
      <c r="D546" s="1" t="s">
        <v>24</v>
      </c>
      <c r="E546" s="1" t="s">
        <v>19</v>
      </c>
      <c r="F546" s="1">
        <v>741.45</v>
      </c>
      <c r="G546" s="1" t="s">
        <v>246</v>
      </c>
      <c r="H546" s="2">
        <v>25815</v>
      </c>
      <c r="I546" s="2">
        <v>45711</v>
      </c>
      <c r="J546" s="1">
        <v>42.1</v>
      </c>
      <c r="K546" s="1">
        <f t="shared" si="22"/>
        <v>312.15045000000003</v>
      </c>
      <c r="L546" s="1">
        <f t="shared" si="23"/>
        <v>429.29955000000001</v>
      </c>
      <c r="U546">
        <v>2048.4875579999998</v>
      </c>
      <c r="X546" s="1">
        <v>1749</v>
      </c>
      <c r="Y546" s="2">
        <v>45202</v>
      </c>
      <c r="Z546" s="1" t="str">
        <v>East</v>
      </c>
      <c r="AA546" s="1" t="str">
        <v>Cap</v>
      </c>
      <c r="AB546" s="1" t="str">
        <v>Clothing</v>
      </c>
      <c r="AC546" s="1">
        <v>3999.39</v>
      </c>
      <c r="AD546" s="1" t="str">
        <v>Andrew Weaver</v>
      </c>
      <c r="AE546" s="1">
        <v>33394</v>
      </c>
      <c r="AF546" s="1">
        <v>45207</v>
      </c>
      <c r="AG546" s="1">
        <v>48.78</v>
      </c>
      <c r="AH546" s="1">
        <v>1950.9024420000001</v>
      </c>
      <c r="AI546" s="1">
        <v>2048.4875579999998</v>
      </c>
    </row>
    <row r="547" spans="1:35" x14ac:dyDescent="0.35">
      <c r="A547" s="1">
        <v>1545</v>
      </c>
      <c r="B547" s="2">
        <v>44914</v>
      </c>
      <c r="C547" s="1" t="s">
        <v>10</v>
      </c>
      <c r="D547" s="1" t="s">
        <v>15</v>
      </c>
      <c r="E547" s="1" t="s">
        <v>16</v>
      </c>
      <c r="F547" s="1">
        <v>758.42</v>
      </c>
      <c r="G547" s="1" t="s">
        <v>268</v>
      </c>
      <c r="H547" s="2">
        <v>25103</v>
      </c>
      <c r="I547" s="2">
        <v>44918</v>
      </c>
      <c r="J547" s="1">
        <v>29.58</v>
      </c>
      <c r="K547" s="1">
        <f t="shared" si="22"/>
        <v>224.34063599999999</v>
      </c>
      <c r="L547" s="1">
        <f t="shared" si="23"/>
        <v>534.07936399999994</v>
      </c>
      <c r="U547">
        <v>1044.0913800000001</v>
      </c>
      <c r="X547" s="1">
        <v>1750</v>
      </c>
      <c r="Y547" s="2">
        <v>44989</v>
      </c>
      <c r="Z547" s="1" t="str">
        <v>South</v>
      </c>
      <c r="AA547" s="1" t="str">
        <v>Chair</v>
      </c>
      <c r="AB547" s="1" t="str">
        <v>Furniture</v>
      </c>
      <c r="AC547" s="1">
        <v>1126.92</v>
      </c>
      <c r="AD547" s="1" t="str">
        <v>Lisa Clark</v>
      </c>
      <c r="AE547" s="1">
        <v>27879</v>
      </c>
      <c r="AF547" s="1">
        <v>44990</v>
      </c>
      <c r="AG547" s="1">
        <v>7.35</v>
      </c>
      <c r="AH547" s="1">
        <v>82.828620000000001</v>
      </c>
      <c r="AI547" s="1">
        <v>1044.0913800000001</v>
      </c>
    </row>
    <row r="548" spans="1:35" x14ac:dyDescent="0.35">
      <c r="A548" s="1">
        <v>1546</v>
      </c>
      <c r="B548" s="2">
        <v>45115</v>
      </c>
      <c r="C548" s="1" t="s">
        <v>10</v>
      </c>
      <c r="D548" s="1" t="s">
        <v>65</v>
      </c>
      <c r="E548" s="1" t="s">
        <v>19</v>
      </c>
      <c r="F548" s="1">
        <v>2231.37</v>
      </c>
      <c r="G548" s="1" t="s">
        <v>43</v>
      </c>
      <c r="H548" s="2">
        <v>30054</v>
      </c>
      <c r="I548" s="2">
        <v>45119</v>
      </c>
      <c r="J548" s="1">
        <v>27.76</v>
      </c>
      <c r="K548" s="1">
        <f t="shared" si="22"/>
        <v>619.42831200000001</v>
      </c>
      <c r="L548" s="1">
        <f t="shared" si="23"/>
        <v>1611.9416879999999</v>
      </c>
      <c r="U548">
        <v>2547.1350319999997</v>
      </c>
      <c r="X548" s="1">
        <v>1751</v>
      </c>
      <c r="Y548" s="2">
        <v>44450</v>
      </c>
      <c r="Z548" s="1" t="str">
        <v>West</v>
      </c>
      <c r="AA548" s="1" t="str">
        <v>Tablet</v>
      </c>
      <c r="AB548" s="1" t="str">
        <v>Electronics</v>
      </c>
      <c r="AC548" s="1">
        <v>2959.72</v>
      </c>
      <c r="AD548" s="1" t="str">
        <v>Jesse Green</v>
      </c>
      <c r="AE548" s="1">
        <v>36087</v>
      </c>
      <c r="AF548" s="1">
        <v>44453</v>
      </c>
      <c r="AG548" s="1">
        <v>13.94</v>
      </c>
      <c r="AH548" s="1">
        <v>412.58496799999995</v>
      </c>
      <c r="AI548" s="1">
        <v>2547.1350319999997</v>
      </c>
    </row>
    <row r="549" spans="1:35" x14ac:dyDescent="0.35">
      <c r="A549" s="1">
        <v>1547</v>
      </c>
      <c r="B549" s="2">
        <v>44852</v>
      </c>
      <c r="C549" s="1" t="s">
        <v>21</v>
      </c>
      <c r="D549" s="1" t="s">
        <v>49</v>
      </c>
      <c r="E549" s="1" t="s">
        <v>12</v>
      </c>
      <c r="F549" s="1">
        <v>3146.45</v>
      </c>
      <c r="G549" s="1" t="s">
        <v>260</v>
      </c>
      <c r="H549" s="2">
        <v>38628</v>
      </c>
      <c r="I549" s="2">
        <v>44856</v>
      </c>
      <c r="J549" s="1">
        <v>22.43</v>
      </c>
      <c r="K549" s="1">
        <f t="shared" si="22"/>
        <v>705.74873500000001</v>
      </c>
      <c r="L549" s="1">
        <f t="shared" si="23"/>
        <v>2440.7012649999997</v>
      </c>
      <c r="U549">
        <v>2825.0892699999999</v>
      </c>
      <c r="X549" s="1">
        <v>1752</v>
      </c>
      <c r="Y549" s="2">
        <v>44174</v>
      </c>
      <c r="Z549" s="1" t="str">
        <v>West</v>
      </c>
      <c r="AA549" s="1" t="str">
        <v>Cap</v>
      </c>
      <c r="AB549" s="1" t="str">
        <v>Clothing</v>
      </c>
      <c r="AC549" s="1">
        <v>3761.77</v>
      </c>
      <c r="AD549" s="1" t="str">
        <v>Kurt Cabrera</v>
      </c>
      <c r="AE549" s="1">
        <v>28065</v>
      </c>
      <c r="AF549" s="1">
        <v>44188</v>
      </c>
      <c r="AG549" s="1">
        <v>24.9</v>
      </c>
      <c r="AH549" s="1">
        <v>936.68073000000004</v>
      </c>
      <c r="AI549" s="1">
        <v>2825.0892699999999</v>
      </c>
    </row>
    <row r="550" spans="1:35" x14ac:dyDescent="0.35">
      <c r="A550" s="1">
        <v>1548</v>
      </c>
      <c r="B550" s="2">
        <v>45135</v>
      </c>
      <c r="C550" s="1" t="s">
        <v>10</v>
      </c>
      <c r="D550" s="1" t="s">
        <v>47</v>
      </c>
      <c r="E550" s="1" t="s">
        <v>12</v>
      </c>
      <c r="F550" s="1">
        <v>2867.29</v>
      </c>
      <c r="G550" s="1" t="s">
        <v>238</v>
      </c>
      <c r="H550" s="2">
        <v>31880</v>
      </c>
      <c r="I550" s="2">
        <v>45144</v>
      </c>
      <c r="J550" s="1">
        <v>27.85</v>
      </c>
      <c r="K550" s="1">
        <f t="shared" si="22"/>
        <v>798.54026500000009</v>
      </c>
      <c r="L550" s="1">
        <f t="shared" si="23"/>
        <v>2068.7497349999999</v>
      </c>
      <c r="U550">
        <v>3010.9677750000001</v>
      </c>
      <c r="X550" s="1">
        <v>1753</v>
      </c>
      <c r="Y550" s="2">
        <v>44883</v>
      </c>
      <c r="Z550" s="1" t="str">
        <v>South</v>
      </c>
      <c r="AA550" s="1" t="str">
        <v>Shoes</v>
      </c>
      <c r="AB550" s="1" t="str">
        <v>Clothing</v>
      </c>
      <c r="AC550" s="1">
        <v>4614.51</v>
      </c>
      <c r="AD550" s="1" t="str">
        <v>Nicole Cantu</v>
      </c>
      <c r="AE550" s="1">
        <v>31261</v>
      </c>
      <c r="AF550" s="1">
        <v>44896</v>
      </c>
      <c r="AG550" s="1">
        <v>34.75</v>
      </c>
      <c r="AH550" s="1">
        <v>1603.5422249999999</v>
      </c>
      <c r="AI550" s="1">
        <v>3010.9677750000001</v>
      </c>
    </row>
    <row r="551" spans="1:35" x14ac:dyDescent="0.35">
      <c r="A551" s="1">
        <v>1549</v>
      </c>
      <c r="B551" s="2">
        <v>45554</v>
      </c>
      <c r="C551" s="1" t="s">
        <v>10</v>
      </c>
      <c r="D551" s="1" t="s">
        <v>69</v>
      </c>
      <c r="E551" s="1" t="s">
        <v>31</v>
      </c>
      <c r="F551" s="1">
        <v>3780.34</v>
      </c>
      <c r="G551" s="1" t="s">
        <v>80</v>
      </c>
      <c r="H551" s="2">
        <v>31578</v>
      </c>
      <c r="I551" s="2">
        <v>45562</v>
      </c>
      <c r="J551" s="1">
        <v>24.49</v>
      </c>
      <c r="K551" s="1">
        <f t="shared" si="22"/>
        <v>925.80526599999996</v>
      </c>
      <c r="L551" s="1">
        <f t="shared" si="23"/>
        <v>2854.5347340000003</v>
      </c>
      <c r="U551">
        <v>2544.1661439999998</v>
      </c>
      <c r="X551" s="1">
        <v>1754</v>
      </c>
      <c r="Y551" s="2">
        <v>45139</v>
      </c>
      <c r="Z551" s="1" t="str">
        <v>North</v>
      </c>
      <c r="AA551" s="1" t="str">
        <v>Rice</v>
      </c>
      <c r="AB551" s="1" t="str">
        <v>Groceries</v>
      </c>
      <c r="AC551" s="1">
        <v>3877.12</v>
      </c>
      <c r="AD551" s="1" t="str">
        <v>David Raymond</v>
      </c>
      <c r="AE551" s="1">
        <v>32196</v>
      </c>
      <c r="AF551" s="1">
        <v>45145</v>
      </c>
      <c r="AG551" s="1">
        <v>34.380000000000003</v>
      </c>
      <c r="AH551" s="1">
        <v>1332.9538560000001</v>
      </c>
      <c r="AI551" s="1">
        <v>2544.1661439999998</v>
      </c>
    </row>
    <row r="552" spans="1:35" x14ac:dyDescent="0.35">
      <c r="A552" s="1">
        <v>1550</v>
      </c>
      <c r="B552" s="2">
        <v>44477</v>
      </c>
      <c r="C552" s="1" t="s">
        <v>21</v>
      </c>
      <c r="D552" s="1" t="s">
        <v>11</v>
      </c>
      <c r="E552" s="1" t="s">
        <v>12</v>
      </c>
      <c r="F552" s="1">
        <v>710.65</v>
      </c>
      <c r="G552" s="1" t="s">
        <v>151</v>
      </c>
      <c r="H552" s="2">
        <v>34427</v>
      </c>
      <c r="I552" s="2">
        <v>44489</v>
      </c>
      <c r="J552" s="1">
        <v>37.58</v>
      </c>
      <c r="K552" s="1">
        <f t="shared" si="22"/>
        <v>267.06226999999996</v>
      </c>
      <c r="L552" s="1">
        <f t="shared" si="23"/>
        <v>443.58773000000002</v>
      </c>
      <c r="U552">
        <v>2511.973911</v>
      </c>
      <c r="X552" s="1">
        <v>1755</v>
      </c>
      <c r="Y552" s="2">
        <v>45562</v>
      </c>
      <c r="Z552" s="1" t="str">
        <v>North</v>
      </c>
      <c r="AA552" s="1" t="str">
        <v>Shoes</v>
      </c>
      <c r="AB552" s="1" t="str">
        <v>Sports</v>
      </c>
      <c r="AC552" s="1">
        <v>3026.11</v>
      </c>
      <c r="AD552" s="1" t="str">
        <v>Olivia Griffin</v>
      </c>
      <c r="AE552" s="1">
        <v>29040</v>
      </c>
      <c r="AF552" s="1">
        <v>45567</v>
      </c>
      <c r="AG552" s="1">
        <v>16.989999999999998</v>
      </c>
      <c r="AH552" s="1">
        <v>514.13608899999997</v>
      </c>
      <c r="AI552" s="1">
        <v>2511.973911</v>
      </c>
    </row>
    <row r="553" spans="1:35" x14ac:dyDescent="0.35">
      <c r="A553" s="1">
        <v>1551</v>
      </c>
      <c r="B553" s="2">
        <v>45270</v>
      </c>
      <c r="C553" s="1" t="s">
        <v>35</v>
      </c>
      <c r="D553" s="1" t="s">
        <v>24</v>
      </c>
      <c r="E553" s="1" t="s">
        <v>19</v>
      </c>
      <c r="F553" s="1">
        <v>2344.4299999999998</v>
      </c>
      <c r="G553" s="1" t="s">
        <v>135</v>
      </c>
      <c r="H553" s="2">
        <v>38018</v>
      </c>
      <c r="I553" s="2">
        <v>45273</v>
      </c>
      <c r="J553" s="1">
        <v>39.96</v>
      </c>
      <c r="K553" s="1">
        <f t="shared" si="22"/>
        <v>936.83422799999994</v>
      </c>
      <c r="L553" s="1">
        <f t="shared" si="23"/>
        <v>1407.5957719999999</v>
      </c>
      <c r="U553">
        <v>2752.3228589999999</v>
      </c>
      <c r="X553" s="1">
        <v>1756</v>
      </c>
      <c r="Y553" s="2">
        <v>44801</v>
      </c>
      <c r="Z553" s="1" t="str">
        <v>South</v>
      </c>
      <c r="AA553" s="1" t="str">
        <v>Chair</v>
      </c>
      <c r="AB553" s="1" t="str">
        <v>Furniture</v>
      </c>
      <c r="AC553" s="1">
        <v>3805.23</v>
      </c>
      <c r="AD553" s="1" t="str">
        <v>Daniel Morris</v>
      </c>
      <c r="AE553" s="1">
        <v>36068</v>
      </c>
      <c r="AF553" s="1">
        <v>44803</v>
      </c>
      <c r="AG553" s="1">
        <v>27.67</v>
      </c>
      <c r="AH553" s="1">
        <v>1052.9071409999999</v>
      </c>
      <c r="AI553" s="1">
        <v>2752.3228589999999</v>
      </c>
    </row>
    <row r="554" spans="1:35" x14ac:dyDescent="0.35">
      <c r="A554" s="1">
        <v>1552</v>
      </c>
      <c r="B554" s="2">
        <v>45467</v>
      </c>
      <c r="C554" s="1" t="s">
        <v>35</v>
      </c>
      <c r="D554" s="1" t="s">
        <v>73</v>
      </c>
      <c r="E554" s="1" t="s">
        <v>28</v>
      </c>
      <c r="F554" s="1">
        <v>1735.59</v>
      </c>
      <c r="G554" s="1" t="s">
        <v>168</v>
      </c>
      <c r="H554" s="2">
        <v>37674</v>
      </c>
      <c r="I554" s="2">
        <v>45481</v>
      </c>
      <c r="J554" s="1">
        <v>35.090000000000003</v>
      </c>
      <c r="K554" s="1">
        <f t="shared" si="22"/>
        <v>609.01853100000005</v>
      </c>
      <c r="L554" s="1">
        <f t="shared" si="23"/>
        <v>1126.571469</v>
      </c>
      <c r="U554">
        <v>1509.399584</v>
      </c>
      <c r="X554" s="1">
        <v>1757</v>
      </c>
      <c r="Y554" s="2">
        <v>45771</v>
      </c>
      <c r="Z554" s="1" t="str">
        <v>East</v>
      </c>
      <c r="AA554" s="1" t="str">
        <v>Tennis Racket</v>
      </c>
      <c r="AB554" s="1" t="str">
        <v>Sports</v>
      </c>
      <c r="AC554" s="1">
        <v>2560.04</v>
      </c>
      <c r="AD554" s="1" t="str">
        <v>Darren Coleman</v>
      </c>
      <c r="AE554" s="1">
        <v>24719</v>
      </c>
      <c r="AF554" s="1">
        <v>45784</v>
      </c>
      <c r="AG554" s="1">
        <v>41.04</v>
      </c>
      <c r="AH554" s="1">
        <v>1050.640416</v>
      </c>
      <c r="AI554" s="1">
        <v>1509.399584</v>
      </c>
    </row>
    <row r="555" spans="1:35" x14ac:dyDescent="0.35">
      <c r="A555" s="1">
        <v>1553</v>
      </c>
      <c r="B555" s="2">
        <v>44373</v>
      </c>
      <c r="C555" s="1" t="s">
        <v>26</v>
      </c>
      <c r="D555" s="1" t="s">
        <v>44</v>
      </c>
      <c r="E555" s="1" t="s">
        <v>16</v>
      </c>
      <c r="F555" s="1">
        <v>2287.91</v>
      </c>
      <c r="G555" s="1" t="s">
        <v>115</v>
      </c>
      <c r="H555" s="2">
        <v>29486</v>
      </c>
      <c r="I555" s="2">
        <v>44377</v>
      </c>
      <c r="J555" s="1">
        <v>26.95</v>
      </c>
      <c r="K555" s="1">
        <f t="shared" si="22"/>
        <v>616.59174499999995</v>
      </c>
      <c r="L555" s="1">
        <f t="shared" si="23"/>
        <v>1671.3182549999999</v>
      </c>
      <c r="U555">
        <v>4297.1683029999995</v>
      </c>
      <c r="X555" s="1">
        <v>1758</v>
      </c>
      <c r="Y555" s="2">
        <v>44125</v>
      </c>
      <c r="Z555" s="1" t="str">
        <v>North</v>
      </c>
      <c r="AA555" s="1" t="str">
        <v>Jacket</v>
      </c>
      <c r="AB555" s="1" t="str">
        <v>Clothing</v>
      </c>
      <c r="AC555" s="1">
        <v>4390.6899999999996</v>
      </c>
      <c r="AD555" s="1" t="str">
        <v>Diane Coleman</v>
      </c>
      <c r="AE555" s="1">
        <v>26001</v>
      </c>
      <c r="AF555" s="1">
        <v>44131</v>
      </c>
      <c r="AG555" s="1">
        <v>2.13</v>
      </c>
      <c r="AH555" s="1">
        <v>93.521696999999989</v>
      </c>
      <c r="AI555" s="1">
        <v>4297.1683029999995</v>
      </c>
    </row>
    <row r="556" spans="1:35" x14ac:dyDescent="0.35">
      <c r="A556" s="1">
        <v>1554</v>
      </c>
      <c r="B556" s="2">
        <v>44493</v>
      </c>
      <c r="C556" s="1" t="s">
        <v>21</v>
      </c>
      <c r="D556" s="1" t="s">
        <v>49</v>
      </c>
      <c r="E556" s="1" t="s">
        <v>12</v>
      </c>
      <c r="F556" s="1">
        <v>1994.35</v>
      </c>
      <c r="G556" s="1" t="s">
        <v>175</v>
      </c>
      <c r="H556" s="2">
        <v>36623</v>
      </c>
      <c r="I556" s="2">
        <v>44502</v>
      </c>
      <c r="J556" s="1">
        <v>19.809999999999999</v>
      </c>
      <c r="K556" s="1">
        <f t="shared" si="22"/>
        <v>395.080735</v>
      </c>
      <c r="L556" s="1">
        <f t="shared" si="23"/>
        <v>1599.2692649999999</v>
      </c>
      <c r="U556">
        <v>2065.7718199999999</v>
      </c>
      <c r="X556" s="1">
        <v>1759</v>
      </c>
      <c r="Y556" s="2">
        <v>44527</v>
      </c>
      <c r="Z556" s="1" t="str">
        <v>South</v>
      </c>
      <c r="AA556" s="1" t="str">
        <v>Football</v>
      </c>
      <c r="AB556" s="1" t="str">
        <v>Sports</v>
      </c>
      <c r="AC556" s="1">
        <v>2663.45</v>
      </c>
      <c r="AD556" s="1" t="str">
        <v>Daniel Cabrera</v>
      </c>
      <c r="AE556" s="1">
        <v>24033</v>
      </c>
      <c r="AF556" s="1">
        <v>44539</v>
      </c>
      <c r="AG556" s="1">
        <v>22.44</v>
      </c>
      <c r="AH556" s="1">
        <v>597.67818</v>
      </c>
      <c r="AI556" s="1">
        <v>2065.7718199999999</v>
      </c>
    </row>
    <row r="557" spans="1:35" x14ac:dyDescent="0.35">
      <c r="A557" s="1">
        <v>1555</v>
      </c>
      <c r="B557" s="2">
        <v>45185</v>
      </c>
      <c r="C557" s="1" t="s">
        <v>26</v>
      </c>
      <c r="D557" s="1" t="s">
        <v>53</v>
      </c>
      <c r="E557" s="1" t="s">
        <v>28</v>
      </c>
      <c r="F557" s="1">
        <v>1096.3800000000001</v>
      </c>
      <c r="G557" s="1" t="s">
        <v>87</v>
      </c>
      <c r="H557" s="2">
        <v>36012</v>
      </c>
      <c r="I557" s="2">
        <v>45195</v>
      </c>
      <c r="J557" s="1">
        <v>6.24</v>
      </c>
      <c r="K557" s="1">
        <f t="shared" si="22"/>
        <v>68.414112000000017</v>
      </c>
      <c r="L557" s="1">
        <f t="shared" si="23"/>
        <v>1027.9658880000002</v>
      </c>
      <c r="U557">
        <v>2971.4491589999998</v>
      </c>
      <c r="X557" s="1">
        <v>1760</v>
      </c>
      <c r="Y557" s="2">
        <v>45011</v>
      </c>
      <c r="Z557" s="1" t="str">
        <v>West</v>
      </c>
      <c r="AA557" s="1" t="str">
        <v>Tennis Racket</v>
      </c>
      <c r="AB557" s="1" t="str">
        <v>Sports</v>
      </c>
      <c r="AC557" s="1">
        <v>4430.37</v>
      </c>
      <c r="AD557" s="1" t="str">
        <v>Jerry Smith</v>
      </c>
      <c r="AE557" s="1">
        <v>26027</v>
      </c>
      <c r="AF557" s="1">
        <v>45025</v>
      </c>
      <c r="AG557" s="1">
        <v>32.93</v>
      </c>
      <c r="AH557" s="1">
        <v>1458.9208409999999</v>
      </c>
      <c r="AI557" s="1">
        <v>2971.4491589999998</v>
      </c>
    </row>
    <row r="558" spans="1:35" x14ac:dyDescent="0.35">
      <c r="A558" s="1">
        <v>1556</v>
      </c>
      <c r="B558" s="2">
        <v>44847</v>
      </c>
      <c r="C558" s="1" t="s">
        <v>14</v>
      </c>
      <c r="D558" s="1" t="s">
        <v>55</v>
      </c>
      <c r="E558" s="1" t="s">
        <v>31</v>
      </c>
      <c r="F558" s="1">
        <v>441.91</v>
      </c>
      <c r="G558" s="1" t="s">
        <v>271</v>
      </c>
      <c r="H558" s="2">
        <v>22796</v>
      </c>
      <c r="I558" s="2">
        <v>44861</v>
      </c>
      <c r="J558" s="1">
        <v>19.23</v>
      </c>
      <c r="K558" s="1">
        <f t="shared" si="22"/>
        <v>84.979292999999998</v>
      </c>
      <c r="L558" s="1">
        <f t="shared" si="23"/>
        <v>356.93070700000004</v>
      </c>
      <c r="U558">
        <v>2040.3316150000001</v>
      </c>
      <c r="X558" s="1">
        <v>1761</v>
      </c>
      <c r="Y558" s="2">
        <v>44245</v>
      </c>
      <c r="Z558" s="1" t="str">
        <v>South</v>
      </c>
      <c r="AA558" s="1" t="str">
        <v>Milk</v>
      </c>
      <c r="AB558" s="1" t="str">
        <v>Groceries</v>
      </c>
      <c r="AC558" s="1">
        <v>2568.0700000000002</v>
      </c>
      <c r="AD558" s="1" t="str">
        <v>Kevin Coleman</v>
      </c>
      <c r="AE558" s="1">
        <v>36590</v>
      </c>
      <c r="AF558" s="1">
        <v>44254</v>
      </c>
      <c r="AG558" s="1">
        <v>20.55</v>
      </c>
      <c r="AH558" s="1">
        <v>527.73838500000011</v>
      </c>
      <c r="AI558" s="1">
        <v>2040.3316150000001</v>
      </c>
    </row>
    <row r="559" spans="1:35" x14ac:dyDescent="0.35">
      <c r="A559" s="1">
        <v>1557</v>
      </c>
      <c r="B559" s="2">
        <v>45717</v>
      </c>
      <c r="C559" s="1" t="s">
        <v>14</v>
      </c>
      <c r="D559" s="1" t="s">
        <v>47</v>
      </c>
      <c r="E559" s="1" t="s">
        <v>12</v>
      </c>
      <c r="F559" s="1">
        <v>4784.0600000000004</v>
      </c>
      <c r="G559" s="1" t="s">
        <v>244</v>
      </c>
      <c r="H559" s="2">
        <v>30356</v>
      </c>
      <c r="I559" s="2">
        <v>45729</v>
      </c>
      <c r="J559" s="1">
        <v>23.56</v>
      </c>
      <c r="K559" s="1">
        <f t="shared" si="22"/>
        <v>1127.124536</v>
      </c>
      <c r="L559" s="1">
        <f t="shared" si="23"/>
        <v>3656.9354640000001</v>
      </c>
      <c r="U559">
        <v>1477.4479000000001</v>
      </c>
      <c r="X559" s="1">
        <v>1764</v>
      </c>
      <c r="Y559" s="2">
        <v>44839</v>
      </c>
      <c r="Z559" s="1" t="str">
        <v>North</v>
      </c>
      <c r="AA559" s="1" t="str">
        <v>Oil</v>
      </c>
      <c r="AB559" s="1" t="str">
        <v>Groceries</v>
      </c>
      <c r="AC559" s="1">
        <v>1984.75</v>
      </c>
      <c r="AD559" s="1" t="str">
        <v>Anthony Kim</v>
      </c>
      <c r="AE559" s="1">
        <v>34205</v>
      </c>
      <c r="AF559" s="1">
        <v>44852</v>
      </c>
      <c r="AG559" s="1">
        <v>25.56</v>
      </c>
      <c r="AH559" s="1">
        <v>507.3021</v>
      </c>
      <c r="AI559" s="1">
        <v>1477.4479000000001</v>
      </c>
    </row>
    <row r="560" spans="1:35" x14ac:dyDescent="0.35">
      <c r="A560" s="1">
        <v>1558</v>
      </c>
      <c r="B560" s="2">
        <v>44837</v>
      </c>
      <c r="C560" s="1" t="s">
        <v>21</v>
      </c>
      <c r="D560" s="1" t="s">
        <v>38</v>
      </c>
      <c r="E560" s="1" t="s">
        <v>28</v>
      </c>
      <c r="F560" s="1">
        <v>930.18</v>
      </c>
      <c r="G560" s="1" t="s">
        <v>97</v>
      </c>
      <c r="H560" s="2">
        <v>24706</v>
      </c>
      <c r="I560" s="2">
        <v>44842</v>
      </c>
      <c r="J560" s="1">
        <v>23.94</v>
      </c>
      <c r="K560" s="1">
        <f t="shared" si="22"/>
        <v>222.685092</v>
      </c>
      <c r="L560" s="1">
        <f t="shared" si="23"/>
        <v>707.4949079999999</v>
      </c>
      <c r="U560">
        <v>1794.438756</v>
      </c>
      <c r="X560" s="1">
        <v>1766</v>
      </c>
      <c r="Y560" s="2">
        <v>45791</v>
      </c>
      <c r="Z560" s="1" t="str">
        <v>South</v>
      </c>
      <c r="AA560" s="1" t="str">
        <v>Shoes</v>
      </c>
      <c r="AB560" s="1" t="str">
        <v>Sports</v>
      </c>
      <c r="AC560" s="1">
        <v>2705.32</v>
      </c>
      <c r="AD560" s="1" t="str">
        <v>Tony Rose</v>
      </c>
      <c r="AE560" s="1">
        <v>31764</v>
      </c>
      <c r="AF560" s="1">
        <v>45794</v>
      </c>
      <c r="AG560" s="1">
        <v>33.67</v>
      </c>
      <c r="AH560" s="1">
        <v>910.88124400000004</v>
      </c>
      <c r="AI560" s="1">
        <v>1794.438756</v>
      </c>
    </row>
    <row r="561" spans="1:35" x14ac:dyDescent="0.35">
      <c r="A561" s="1">
        <v>1559</v>
      </c>
      <c r="B561" s="2">
        <v>44310</v>
      </c>
      <c r="C561" s="1" t="s">
        <v>26</v>
      </c>
      <c r="D561" s="1" t="s">
        <v>73</v>
      </c>
      <c r="E561" s="1" t="s">
        <v>28</v>
      </c>
      <c r="F561" s="1">
        <v>2973.2</v>
      </c>
      <c r="G561" s="1" t="s">
        <v>93</v>
      </c>
      <c r="H561" s="2">
        <v>33984</v>
      </c>
      <c r="I561" s="2">
        <v>44312</v>
      </c>
      <c r="J561" s="1">
        <v>43.08</v>
      </c>
      <c r="K561" s="1">
        <f t="shared" si="22"/>
        <v>1280.8545599999998</v>
      </c>
      <c r="L561" s="1">
        <f t="shared" si="23"/>
        <v>1692.3454400000001</v>
      </c>
      <c r="U561">
        <v>1980.4415960000001</v>
      </c>
      <c r="X561" s="1">
        <v>1769</v>
      </c>
      <c r="Y561" s="2">
        <v>45072</v>
      </c>
      <c r="Z561" s="1" t="str">
        <v>North</v>
      </c>
      <c r="AA561" s="1" t="str">
        <v>Wardrobe</v>
      </c>
      <c r="AB561" s="1" t="str">
        <v>Furniture</v>
      </c>
      <c r="AC561" s="1">
        <v>2238.04</v>
      </c>
      <c r="AD561" s="1" t="str">
        <v>Sylvia Landry</v>
      </c>
      <c r="AE561" s="1">
        <v>35642</v>
      </c>
      <c r="AF561" s="1">
        <v>45086</v>
      </c>
      <c r="AG561" s="1">
        <v>11.51</v>
      </c>
      <c r="AH561" s="1">
        <v>257.59840399999996</v>
      </c>
      <c r="AI561" s="1">
        <v>1980.4415960000001</v>
      </c>
    </row>
    <row r="562" spans="1:35" x14ac:dyDescent="0.35">
      <c r="A562" s="1">
        <v>1560</v>
      </c>
      <c r="B562" s="2">
        <v>44451</v>
      </c>
      <c r="C562" s="1" t="s">
        <v>10</v>
      </c>
      <c r="D562" s="1" t="s">
        <v>65</v>
      </c>
      <c r="E562" s="1" t="s">
        <v>19</v>
      </c>
      <c r="F562" s="1">
        <v>1662.62</v>
      </c>
      <c r="G562" s="1" t="s">
        <v>295</v>
      </c>
      <c r="H562" s="2">
        <v>23369</v>
      </c>
      <c r="I562" s="2">
        <v>44454</v>
      </c>
      <c r="J562" s="1">
        <v>44.39</v>
      </c>
      <c r="K562" s="1">
        <f t="shared" si="22"/>
        <v>738.03701799999999</v>
      </c>
      <c r="L562" s="1">
        <f t="shared" si="23"/>
        <v>924.5829819999999</v>
      </c>
      <c r="U562">
        <v>1794.5250960000001</v>
      </c>
      <c r="X562" s="1">
        <v>1770</v>
      </c>
      <c r="Y562" s="2">
        <v>45391</v>
      </c>
      <c r="Z562" s="1" t="str">
        <v>South</v>
      </c>
      <c r="AA562" s="1" t="str">
        <v>Basketball</v>
      </c>
      <c r="AB562" s="1" t="str">
        <v>Sports</v>
      </c>
      <c r="AC562" s="1">
        <v>2417.52</v>
      </c>
      <c r="AD562" s="1" t="str">
        <v>Derek Boyle</v>
      </c>
      <c r="AE562" s="1">
        <v>27534</v>
      </c>
      <c r="AF562" s="1">
        <v>45393</v>
      </c>
      <c r="AG562" s="1">
        <v>25.77</v>
      </c>
      <c r="AH562" s="1">
        <v>622.99490399999991</v>
      </c>
      <c r="AI562" s="1">
        <v>1794.5250960000001</v>
      </c>
    </row>
    <row r="563" spans="1:35" x14ac:dyDescent="0.35">
      <c r="A563" s="1">
        <v>1561</v>
      </c>
      <c r="B563" s="2">
        <v>44315</v>
      </c>
      <c r="C563" s="1" t="s">
        <v>26</v>
      </c>
      <c r="D563" s="1" t="s">
        <v>27</v>
      </c>
      <c r="E563" s="1" t="s">
        <v>28</v>
      </c>
      <c r="F563" s="1">
        <v>4446.5200000000004</v>
      </c>
      <c r="G563" s="1" t="s">
        <v>226</v>
      </c>
      <c r="H563" s="2">
        <v>33332</v>
      </c>
      <c r="I563" s="2">
        <v>44318</v>
      </c>
      <c r="J563" s="1">
        <v>11.97</v>
      </c>
      <c r="K563" s="1">
        <f t="shared" si="22"/>
        <v>532.24844400000006</v>
      </c>
      <c r="L563" s="1">
        <f t="shared" si="23"/>
        <v>3914.2715560000006</v>
      </c>
      <c r="U563">
        <v>2693.2948019999999</v>
      </c>
      <c r="X563" s="1">
        <v>1773</v>
      </c>
      <c r="Y563" s="2">
        <v>45104</v>
      </c>
      <c r="Z563" s="1" t="str">
        <v>Central</v>
      </c>
      <c r="AA563" s="1" t="str">
        <v>Bed</v>
      </c>
      <c r="AB563" s="1" t="str">
        <v>Furniture</v>
      </c>
      <c r="AC563" s="1">
        <v>3826.79</v>
      </c>
      <c r="AD563" s="1" t="str">
        <v>Jonathan Gillespie MD</v>
      </c>
      <c r="AE563" s="1">
        <v>23838</v>
      </c>
      <c r="AF563" s="1">
        <v>45113</v>
      </c>
      <c r="AG563" s="1">
        <v>29.62</v>
      </c>
      <c r="AH563" s="1">
        <v>1133.4951980000001</v>
      </c>
      <c r="AI563" s="1">
        <v>2693.2948019999999</v>
      </c>
    </row>
    <row r="564" spans="1:35" x14ac:dyDescent="0.35">
      <c r="A564" s="1">
        <v>1562</v>
      </c>
      <c r="B564" s="2">
        <v>44212</v>
      </c>
      <c r="C564" s="1" t="s">
        <v>21</v>
      </c>
      <c r="D564" s="1" t="s">
        <v>22</v>
      </c>
      <c r="E564" s="1" t="s">
        <v>19</v>
      </c>
      <c r="F564" s="1">
        <v>4265.46</v>
      </c>
      <c r="G564" s="1" t="s">
        <v>192</v>
      </c>
      <c r="H564" s="2">
        <v>33626</v>
      </c>
      <c r="I564" s="2">
        <v>44223</v>
      </c>
      <c r="J564" s="1">
        <v>0.21</v>
      </c>
      <c r="K564" s="1">
        <f t="shared" si="22"/>
        <v>8.9574660000000002</v>
      </c>
      <c r="L564" s="1">
        <f t="shared" si="23"/>
        <v>4256.5025340000002</v>
      </c>
      <c r="U564">
        <v>3206.7532030000002</v>
      </c>
      <c r="X564" s="1">
        <v>1774</v>
      </c>
      <c r="Y564" s="2">
        <v>45090</v>
      </c>
      <c r="Z564" s="1" t="str">
        <v>West</v>
      </c>
      <c r="AA564" s="1" t="str">
        <v>Rice</v>
      </c>
      <c r="AB564" s="1" t="str">
        <v>Groceries</v>
      </c>
      <c r="AC564" s="1">
        <v>3560.29</v>
      </c>
      <c r="AD564" s="1" t="str">
        <v>Christina Young</v>
      </c>
      <c r="AE564" s="1">
        <v>26011</v>
      </c>
      <c r="AF564" s="1">
        <v>45094</v>
      </c>
      <c r="AG564" s="1">
        <v>9.93</v>
      </c>
      <c r="AH564" s="1">
        <v>353.53679699999998</v>
      </c>
      <c r="AI564" s="1">
        <v>3206.7532030000002</v>
      </c>
    </row>
    <row r="565" spans="1:35" x14ac:dyDescent="0.35">
      <c r="A565" s="1">
        <v>1563</v>
      </c>
      <c r="B565" s="2">
        <v>44096</v>
      </c>
      <c r="C565" s="1" t="s">
        <v>10</v>
      </c>
      <c r="D565" s="1" t="s">
        <v>53</v>
      </c>
      <c r="E565" s="1" t="s">
        <v>28</v>
      </c>
      <c r="F565" s="1">
        <v>3498</v>
      </c>
      <c r="G565" s="1" t="s">
        <v>123</v>
      </c>
      <c r="H565" s="2">
        <v>36120</v>
      </c>
      <c r="I565" s="2">
        <v>44109</v>
      </c>
      <c r="J565" s="1">
        <v>36.71</v>
      </c>
      <c r="K565" s="1">
        <f t="shared" si="22"/>
        <v>1284.1158</v>
      </c>
      <c r="L565" s="1">
        <f t="shared" si="23"/>
        <v>2213.8842</v>
      </c>
      <c r="U565">
        <v>4455.0735859999995</v>
      </c>
      <c r="X565" s="1">
        <v>1775</v>
      </c>
      <c r="Y565" s="2">
        <v>45359</v>
      </c>
      <c r="Z565" s="1" t="str">
        <v>East</v>
      </c>
      <c r="AA565" s="1" t="str">
        <v>Laptop</v>
      </c>
      <c r="AB565" s="1" t="str">
        <v>Electronics</v>
      </c>
      <c r="AC565" s="1">
        <v>4924.91</v>
      </c>
      <c r="AD565" s="1" t="str">
        <v>Troy Kelley</v>
      </c>
      <c r="AE565" s="1">
        <v>29348</v>
      </c>
      <c r="AF565" s="1">
        <v>45362</v>
      </c>
      <c r="AG565" s="1">
        <v>9.5399999999999991</v>
      </c>
      <c r="AH565" s="1">
        <v>469.83641399999993</v>
      </c>
      <c r="AI565" s="1">
        <v>4455.0735859999995</v>
      </c>
    </row>
    <row r="566" spans="1:35" x14ac:dyDescent="0.35">
      <c r="A566" s="1">
        <v>1564</v>
      </c>
      <c r="B566" s="2">
        <v>44837</v>
      </c>
      <c r="C566" s="1" t="s">
        <v>14</v>
      </c>
      <c r="D566" s="1" t="s">
        <v>88</v>
      </c>
      <c r="E566" s="1" t="s">
        <v>16</v>
      </c>
      <c r="F566" s="1">
        <v>1713.91</v>
      </c>
      <c r="G566" s="1" t="s">
        <v>56</v>
      </c>
      <c r="H566" s="2">
        <v>25712</v>
      </c>
      <c r="I566" s="2">
        <v>44841</v>
      </c>
      <c r="J566" s="1">
        <v>23.44</v>
      </c>
      <c r="K566" s="1">
        <f t="shared" si="22"/>
        <v>401.74050400000004</v>
      </c>
      <c r="L566" s="1">
        <f t="shared" si="23"/>
        <v>1312.169496</v>
      </c>
      <c r="U566">
        <v>1212.4974279999999</v>
      </c>
      <c r="X566" s="1">
        <v>1776</v>
      </c>
      <c r="Y566" s="2">
        <v>45169</v>
      </c>
      <c r="Z566" s="1" t="str">
        <v>Central</v>
      </c>
      <c r="AA566" s="1" t="str">
        <v>Smartphone</v>
      </c>
      <c r="AB566" s="1" t="str">
        <v>Electronics</v>
      </c>
      <c r="AC566" s="1">
        <v>1299.29</v>
      </c>
      <c r="AD566" s="1" t="str">
        <v>Kristi Chan</v>
      </c>
      <c r="AE566" s="1">
        <v>24852</v>
      </c>
      <c r="AF566" s="1">
        <v>45176</v>
      </c>
      <c r="AG566" s="1">
        <v>6.68</v>
      </c>
      <c r="AH566" s="1">
        <v>86.792571999999993</v>
      </c>
      <c r="AI566" s="1">
        <v>1212.4974279999999</v>
      </c>
    </row>
    <row r="567" spans="1:35" x14ac:dyDescent="0.35">
      <c r="A567" s="1">
        <v>1565</v>
      </c>
      <c r="B567" s="2">
        <v>44649</v>
      </c>
      <c r="C567" s="1" t="s">
        <v>21</v>
      </c>
      <c r="D567" s="1" t="s">
        <v>27</v>
      </c>
      <c r="E567" s="1" t="s">
        <v>28</v>
      </c>
      <c r="F567" s="1">
        <v>4205.53</v>
      </c>
      <c r="G567" s="1" t="s">
        <v>60</v>
      </c>
      <c r="H567" s="2">
        <v>33482</v>
      </c>
      <c r="I567" s="2">
        <v>44660</v>
      </c>
      <c r="J567" s="1">
        <v>33.07</v>
      </c>
      <c r="K567" s="1">
        <f t="shared" si="22"/>
        <v>1390.7687709999998</v>
      </c>
      <c r="L567" s="1">
        <f t="shared" si="23"/>
        <v>2814.7612289999997</v>
      </c>
      <c r="U567">
        <v>1064.3794200000002</v>
      </c>
      <c r="X567" s="1">
        <v>1777</v>
      </c>
      <c r="Y567" s="2">
        <v>44671</v>
      </c>
      <c r="Z567" s="1" t="str">
        <v>Central</v>
      </c>
      <c r="AA567" s="1" t="str">
        <v>Headphones</v>
      </c>
      <c r="AB567" s="1" t="str">
        <v>Electronics</v>
      </c>
      <c r="AC567" s="1">
        <v>1760.76</v>
      </c>
      <c r="AD567" s="1" t="str">
        <v>Jeffrey Harris</v>
      </c>
      <c r="AE567" s="1">
        <v>35336</v>
      </c>
      <c r="AF567" s="1">
        <v>44681</v>
      </c>
      <c r="AG567" s="1">
        <v>39.549999999999997</v>
      </c>
      <c r="AH567" s="1">
        <v>696.3805799999999</v>
      </c>
      <c r="AI567" s="1">
        <v>1064.3794200000002</v>
      </c>
    </row>
    <row r="568" spans="1:35" x14ac:dyDescent="0.35">
      <c r="A568" s="1">
        <v>1566</v>
      </c>
      <c r="B568" s="2">
        <v>45022</v>
      </c>
      <c r="C568" s="1" t="s">
        <v>10</v>
      </c>
      <c r="D568" s="1" t="s">
        <v>27</v>
      </c>
      <c r="E568" s="1" t="s">
        <v>28</v>
      </c>
      <c r="F568" s="1">
        <v>1608.38</v>
      </c>
      <c r="G568" s="1" t="s">
        <v>296</v>
      </c>
      <c r="H568" s="2">
        <v>39045</v>
      </c>
      <c r="I568" s="2">
        <v>45029</v>
      </c>
      <c r="J568" s="1">
        <v>11.05</v>
      </c>
      <c r="K568" s="1">
        <f t="shared" si="22"/>
        <v>177.72599000000002</v>
      </c>
      <c r="L568" s="1">
        <f t="shared" si="23"/>
        <v>1430.6540100000002</v>
      </c>
      <c r="U568">
        <v>2099.0010600000001</v>
      </c>
      <c r="X568" s="1">
        <v>1778</v>
      </c>
      <c r="Y568" s="2">
        <v>44901</v>
      </c>
      <c r="Z568" s="1" t="str">
        <v>North</v>
      </c>
      <c r="AA568" s="1" t="str">
        <v>Wheat</v>
      </c>
      <c r="AB568" s="1" t="str">
        <v>Groceries</v>
      </c>
      <c r="AC568" s="1">
        <v>2990.03</v>
      </c>
      <c r="AD568" s="1" t="str">
        <v>Alicia Campbell</v>
      </c>
      <c r="AE568" s="1">
        <v>33984</v>
      </c>
      <c r="AF568" s="1">
        <v>44904</v>
      </c>
      <c r="AG568" s="1">
        <v>29.8</v>
      </c>
      <c r="AH568" s="1">
        <v>891.02894000000003</v>
      </c>
      <c r="AI568" s="1">
        <v>2099.0010600000001</v>
      </c>
    </row>
    <row r="569" spans="1:35" x14ac:dyDescent="0.35">
      <c r="A569" s="1">
        <v>1567</v>
      </c>
      <c r="B569" s="2">
        <v>44130</v>
      </c>
      <c r="C569" s="1" t="s">
        <v>35</v>
      </c>
      <c r="D569" s="1" t="s">
        <v>71</v>
      </c>
      <c r="E569" s="1" t="s">
        <v>31</v>
      </c>
      <c r="F569" s="1">
        <v>4057.09</v>
      </c>
      <c r="G569" s="1" t="s">
        <v>238</v>
      </c>
      <c r="H569" s="2">
        <v>31880</v>
      </c>
      <c r="I569" s="2">
        <v>44137</v>
      </c>
      <c r="J569" s="1">
        <v>10.09</v>
      </c>
      <c r="K569" s="1">
        <f t="shared" si="22"/>
        <v>409.36038100000002</v>
      </c>
      <c r="L569" s="1">
        <f t="shared" si="23"/>
        <v>3647.7296190000002</v>
      </c>
      <c r="U569">
        <v>1984.175628</v>
      </c>
      <c r="X569" s="1">
        <v>1780</v>
      </c>
      <c r="Y569" s="2">
        <v>45320</v>
      </c>
      <c r="Z569" s="1" t="str">
        <v>East</v>
      </c>
      <c r="AA569" s="1" t="str">
        <v>Laptop</v>
      </c>
      <c r="AB569" s="1" t="str">
        <v>Electronics</v>
      </c>
      <c r="AC569" s="1">
        <v>2788.33</v>
      </c>
      <c r="AD569" s="1" t="str">
        <v>Mrs. Vanessa Liu</v>
      </c>
      <c r="AE569" s="1">
        <v>23988</v>
      </c>
      <c r="AF569" s="1">
        <v>45329</v>
      </c>
      <c r="AG569" s="1">
        <v>28.84</v>
      </c>
      <c r="AH569" s="1">
        <v>804.15437199999997</v>
      </c>
      <c r="AI569" s="1">
        <v>1984.175628</v>
      </c>
    </row>
    <row r="570" spans="1:35" x14ac:dyDescent="0.35">
      <c r="A570" s="1">
        <v>1568</v>
      </c>
      <c r="B570" s="2">
        <v>45202</v>
      </c>
      <c r="C570" s="1" t="s">
        <v>10</v>
      </c>
      <c r="D570" s="1" t="s">
        <v>49</v>
      </c>
      <c r="E570" s="1" t="s">
        <v>12</v>
      </c>
      <c r="F570" s="1">
        <v>4062.14</v>
      </c>
      <c r="G570" s="1" t="s">
        <v>268</v>
      </c>
      <c r="H570" s="2">
        <v>25103</v>
      </c>
      <c r="I570" s="2">
        <v>45205</v>
      </c>
      <c r="J570" s="1">
        <v>46.2</v>
      </c>
      <c r="K570" s="1">
        <f t="shared" si="22"/>
        <v>1876.70868</v>
      </c>
      <c r="L570" s="1">
        <f t="shared" si="23"/>
        <v>2185.4313199999997</v>
      </c>
      <c r="U570">
        <v>3772.4377599999998</v>
      </c>
      <c r="X570" s="1">
        <v>1781</v>
      </c>
      <c r="Y570" s="2">
        <v>44278</v>
      </c>
      <c r="Z570" s="1" t="str">
        <v>North</v>
      </c>
      <c r="AA570" s="1" t="str">
        <v>Oil</v>
      </c>
      <c r="AB570" s="1" t="str">
        <v>Groceries</v>
      </c>
      <c r="AC570" s="1">
        <v>3877.12</v>
      </c>
      <c r="AD570" s="1" t="str">
        <v>Tara Giles</v>
      </c>
      <c r="AE570" s="1">
        <v>36384</v>
      </c>
      <c r="AF570" s="1">
        <v>44282</v>
      </c>
      <c r="AG570" s="1">
        <v>2.7</v>
      </c>
      <c r="AH570" s="1">
        <v>104.68224000000001</v>
      </c>
      <c r="AI570" s="1">
        <v>3772.4377599999998</v>
      </c>
    </row>
    <row r="571" spans="1:35" x14ac:dyDescent="0.35">
      <c r="A571" s="1">
        <v>1569</v>
      </c>
      <c r="B571" s="2">
        <v>45147</v>
      </c>
      <c r="C571" s="1" t="s">
        <v>26</v>
      </c>
      <c r="D571" s="1" t="s">
        <v>38</v>
      </c>
      <c r="E571" s="1" t="s">
        <v>28</v>
      </c>
      <c r="F571" s="1">
        <v>3171.39</v>
      </c>
      <c r="G571" s="1" t="s">
        <v>297</v>
      </c>
      <c r="H571" s="2">
        <v>35410</v>
      </c>
      <c r="I571" s="2">
        <v>45153</v>
      </c>
      <c r="J571" s="1">
        <v>25.58</v>
      </c>
      <c r="K571" s="1">
        <f t="shared" si="22"/>
        <v>811.24156199999993</v>
      </c>
      <c r="L571" s="1">
        <f t="shared" si="23"/>
        <v>2360.1484380000002</v>
      </c>
      <c r="U571">
        <v>1447.3789660000002</v>
      </c>
      <c r="X571" s="1">
        <v>1783</v>
      </c>
      <c r="Y571" s="2">
        <v>44504</v>
      </c>
      <c r="Z571" s="1" t="str">
        <v>South</v>
      </c>
      <c r="AA571" s="1" t="str">
        <v>Oil</v>
      </c>
      <c r="AB571" s="1" t="str">
        <v>Groceries</v>
      </c>
      <c r="AC571" s="1">
        <v>2085.2600000000002</v>
      </c>
      <c r="AD571" s="1" t="str">
        <v>Mark Ramos</v>
      </c>
      <c r="AE571" s="1">
        <v>28543</v>
      </c>
      <c r="AF571" s="1">
        <v>44508</v>
      </c>
      <c r="AG571" s="1">
        <v>30.59</v>
      </c>
      <c r="AH571" s="1">
        <v>637.88103400000011</v>
      </c>
      <c r="AI571" s="1">
        <v>1447.3789660000002</v>
      </c>
    </row>
    <row r="572" spans="1:35" x14ac:dyDescent="0.35">
      <c r="A572" s="1">
        <v>1570</v>
      </c>
      <c r="B572" s="2">
        <v>45406</v>
      </c>
      <c r="C572" s="1" t="s">
        <v>26</v>
      </c>
      <c r="D572" s="1" t="s">
        <v>58</v>
      </c>
      <c r="E572" s="1" t="s">
        <v>31</v>
      </c>
      <c r="F572" s="1">
        <v>2853.87</v>
      </c>
      <c r="G572" s="1" t="s">
        <v>298</v>
      </c>
      <c r="H572" s="2">
        <v>30410</v>
      </c>
      <c r="I572" s="2">
        <v>45411</v>
      </c>
      <c r="J572" s="1">
        <v>13.21</v>
      </c>
      <c r="K572" s="1">
        <f t="shared" si="22"/>
        <v>376.99622699999998</v>
      </c>
      <c r="L572" s="1">
        <f t="shared" si="23"/>
        <v>2476.8737729999998</v>
      </c>
      <c r="U572">
        <v>1070.6674800000001</v>
      </c>
      <c r="X572" s="1">
        <v>1784</v>
      </c>
      <c r="Y572" s="2">
        <v>45793</v>
      </c>
      <c r="Z572" s="1" t="str">
        <v>North</v>
      </c>
      <c r="AA572" s="1" t="str">
        <v>Oil</v>
      </c>
      <c r="AB572" s="1" t="str">
        <v>Groceries</v>
      </c>
      <c r="AC572" s="1">
        <v>2041.7</v>
      </c>
      <c r="AD572" s="1" t="str">
        <v>Matthew Baird</v>
      </c>
      <c r="AE572" s="1">
        <v>35658</v>
      </c>
      <c r="AF572" s="1">
        <v>45802</v>
      </c>
      <c r="AG572" s="1">
        <v>47.56</v>
      </c>
      <c r="AH572" s="1">
        <v>971.03252000000009</v>
      </c>
      <c r="AI572" s="1">
        <v>1070.6674800000001</v>
      </c>
    </row>
    <row r="573" spans="1:35" x14ac:dyDescent="0.35">
      <c r="A573" s="1">
        <v>1571</v>
      </c>
      <c r="B573" s="2">
        <v>44079</v>
      </c>
      <c r="C573" s="1" t="s">
        <v>10</v>
      </c>
      <c r="D573" s="1" t="s">
        <v>44</v>
      </c>
      <c r="E573" s="1" t="s">
        <v>16</v>
      </c>
      <c r="F573" s="1">
        <v>4690.1099999999997</v>
      </c>
      <c r="G573" s="1" t="s">
        <v>118</v>
      </c>
      <c r="H573" s="2">
        <v>22599</v>
      </c>
      <c r="I573" s="2">
        <v>44082</v>
      </c>
      <c r="J573" s="1">
        <v>11.39</v>
      </c>
      <c r="K573" s="1">
        <f t="shared" si="22"/>
        <v>534.203529</v>
      </c>
      <c r="L573" s="1">
        <f t="shared" si="23"/>
        <v>4155.9064709999993</v>
      </c>
      <c r="U573">
        <v>1322.2103280000001</v>
      </c>
      <c r="X573" s="1">
        <v>1785</v>
      </c>
      <c r="Y573" s="2">
        <v>44064</v>
      </c>
      <c r="Z573" s="1" t="str">
        <v>South</v>
      </c>
      <c r="AA573" s="1" t="str">
        <v>Wardrobe</v>
      </c>
      <c r="AB573" s="1" t="str">
        <v>Furniture</v>
      </c>
      <c r="AC573" s="1">
        <v>2279.2800000000002</v>
      </c>
      <c r="AD573" s="1" t="str">
        <v>Nicole Church</v>
      </c>
      <c r="AE573" s="1">
        <v>24348</v>
      </c>
      <c r="AF573" s="1">
        <v>44075</v>
      </c>
      <c r="AG573" s="1">
        <v>41.99</v>
      </c>
      <c r="AH573" s="1">
        <v>957.06967200000008</v>
      </c>
      <c r="AI573" s="1">
        <v>1322.2103280000001</v>
      </c>
    </row>
    <row r="574" spans="1:35" x14ac:dyDescent="0.35">
      <c r="A574" s="1">
        <v>1572</v>
      </c>
      <c r="B574" s="2">
        <v>44528</v>
      </c>
      <c r="C574" s="1" t="s">
        <v>35</v>
      </c>
      <c r="D574" s="1" t="s">
        <v>15</v>
      </c>
      <c r="E574" s="1" t="s">
        <v>16</v>
      </c>
      <c r="F574" s="1">
        <v>381.09</v>
      </c>
      <c r="G574" s="1" t="s">
        <v>297</v>
      </c>
      <c r="H574" s="2">
        <v>35410</v>
      </c>
      <c r="I574" s="2">
        <v>44529</v>
      </c>
      <c r="J574" s="1">
        <v>23.63</v>
      </c>
      <c r="K574" s="1">
        <f t="shared" si="22"/>
        <v>90.051566999999991</v>
      </c>
      <c r="L574" s="1">
        <f t="shared" si="23"/>
        <v>291.038433</v>
      </c>
      <c r="U574">
        <v>1601.148285</v>
      </c>
      <c r="X574" s="1">
        <v>1786</v>
      </c>
      <c r="Y574" s="2">
        <v>44748</v>
      </c>
      <c r="Z574" s="1" t="str">
        <v>East</v>
      </c>
      <c r="AA574" s="1" t="str">
        <v>Rice</v>
      </c>
      <c r="AB574" s="1" t="str">
        <v>Groceries</v>
      </c>
      <c r="AC574" s="1">
        <v>3051.55</v>
      </c>
      <c r="AD574" s="1" t="str">
        <v>April Wilson</v>
      </c>
      <c r="AE574" s="1">
        <v>23039</v>
      </c>
      <c r="AF574" s="1">
        <v>44761</v>
      </c>
      <c r="AG574" s="1">
        <v>47.53</v>
      </c>
      <c r="AH574" s="1">
        <v>1450.4017150000002</v>
      </c>
      <c r="AI574" s="1">
        <v>1601.148285</v>
      </c>
    </row>
    <row r="575" spans="1:35" x14ac:dyDescent="0.35">
      <c r="A575" s="1">
        <v>1573</v>
      </c>
      <c r="B575" s="2">
        <v>45595</v>
      </c>
      <c r="C575" s="1" t="s">
        <v>35</v>
      </c>
      <c r="D575" s="1" t="s">
        <v>40</v>
      </c>
      <c r="E575" s="1" t="s">
        <v>16</v>
      </c>
      <c r="F575" s="1">
        <v>3658.88</v>
      </c>
      <c r="G575" s="1" t="s">
        <v>121</v>
      </c>
      <c r="H575" s="2">
        <v>24580</v>
      </c>
      <c r="I575" s="2">
        <v>45598</v>
      </c>
      <c r="J575" s="1">
        <v>30.79</v>
      </c>
      <c r="K575" s="1">
        <f t="shared" si="22"/>
        <v>1126.569152</v>
      </c>
      <c r="L575" s="1">
        <f t="shared" si="23"/>
        <v>2532.3108480000001</v>
      </c>
      <c r="U575">
        <v>3218.8232210000001</v>
      </c>
      <c r="X575" s="1">
        <v>1788</v>
      </c>
      <c r="Y575" s="2">
        <v>44890</v>
      </c>
      <c r="Z575" s="1" t="str">
        <v>West</v>
      </c>
      <c r="AA575" s="1" t="str">
        <v>Wardrobe</v>
      </c>
      <c r="AB575" s="1" t="str">
        <v>Furniture</v>
      </c>
      <c r="AC575" s="1">
        <v>3882.31</v>
      </c>
      <c r="AD575" s="1" t="str">
        <v>Steven Hardin</v>
      </c>
      <c r="AE575" s="1">
        <v>26155</v>
      </c>
      <c r="AF575" s="1">
        <v>44891</v>
      </c>
      <c r="AG575" s="1">
        <v>17.09</v>
      </c>
      <c r="AH575" s="1">
        <v>663.48677899999996</v>
      </c>
      <c r="AI575" s="1">
        <v>3218.8232210000001</v>
      </c>
    </row>
    <row r="576" spans="1:35" x14ac:dyDescent="0.35">
      <c r="A576" s="1">
        <v>1574</v>
      </c>
      <c r="B576" s="2">
        <v>44420</v>
      </c>
      <c r="C576" s="1" t="s">
        <v>14</v>
      </c>
      <c r="D576" s="1" t="s">
        <v>36</v>
      </c>
      <c r="E576" s="1" t="s">
        <v>28</v>
      </c>
      <c r="F576" s="1">
        <v>3509.16</v>
      </c>
      <c r="G576" s="1" t="s">
        <v>91</v>
      </c>
      <c r="H576" s="2">
        <v>34220</v>
      </c>
      <c r="I576" s="2">
        <v>44431</v>
      </c>
      <c r="J576" s="1">
        <v>45.18</v>
      </c>
      <c r="K576" s="1">
        <f t="shared" si="22"/>
        <v>1585.4384879999998</v>
      </c>
      <c r="L576" s="1">
        <f t="shared" si="23"/>
        <v>1923.7215120000001</v>
      </c>
      <c r="U576">
        <v>1832.2614799999999</v>
      </c>
      <c r="X576" s="1">
        <v>1789</v>
      </c>
      <c r="Y576" s="2">
        <v>44335</v>
      </c>
      <c r="Z576" s="1" t="str">
        <v>Central</v>
      </c>
      <c r="AA576" s="1" t="str">
        <v>Wardrobe</v>
      </c>
      <c r="AB576" s="1" t="str">
        <v>Furniture</v>
      </c>
      <c r="AC576" s="1">
        <v>3352.72</v>
      </c>
      <c r="AD576" s="1" t="str">
        <v>Mark Huber</v>
      </c>
      <c r="AE576" s="1">
        <v>26300</v>
      </c>
      <c r="AF576" s="1">
        <v>44340</v>
      </c>
      <c r="AG576" s="1">
        <v>45.35</v>
      </c>
      <c r="AH576" s="1">
        <v>1520.4585199999999</v>
      </c>
      <c r="AI576" s="1">
        <v>1832.2614799999999</v>
      </c>
    </row>
    <row r="577" spans="1:35" x14ac:dyDescent="0.35">
      <c r="A577" s="1">
        <v>1575</v>
      </c>
      <c r="B577" s="2">
        <v>44274</v>
      </c>
      <c r="C577" s="1" t="s">
        <v>26</v>
      </c>
      <c r="D577" s="1" t="s">
        <v>30</v>
      </c>
      <c r="E577" s="1" t="s">
        <v>31</v>
      </c>
      <c r="F577" s="1">
        <v>800.68</v>
      </c>
      <c r="G577" s="1" t="s">
        <v>196</v>
      </c>
      <c r="H577" s="2">
        <v>26300</v>
      </c>
      <c r="I577" s="2">
        <v>44275</v>
      </c>
      <c r="J577" s="1">
        <v>32.299999999999997</v>
      </c>
      <c r="K577" s="1">
        <f t="shared" si="22"/>
        <v>258.61963999999995</v>
      </c>
      <c r="L577" s="1">
        <f t="shared" si="23"/>
        <v>542.06035999999995</v>
      </c>
      <c r="U577">
        <v>3332.7090260000004</v>
      </c>
      <c r="X577" s="1">
        <v>1790</v>
      </c>
      <c r="Y577" s="2">
        <v>44244</v>
      </c>
      <c r="Z577" s="1" t="str">
        <v>South</v>
      </c>
      <c r="AA577" s="1" t="str">
        <v>Oil</v>
      </c>
      <c r="AB577" s="1" t="str">
        <v>Groceries</v>
      </c>
      <c r="AC577" s="1">
        <v>4373.0600000000004</v>
      </c>
      <c r="AD577" s="1" t="str">
        <v>Gabriel Watson</v>
      </c>
      <c r="AE577" s="1">
        <v>34427</v>
      </c>
      <c r="AF577" s="1">
        <v>44251</v>
      </c>
      <c r="AG577" s="1">
        <v>23.79</v>
      </c>
      <c r="AH577" s="1">
        <v>1040.3509740000002</v>
      </c>
      <c r="AI577" s="1">
        <v>3332.7090260000004</v>
      </c>
    </row>
    <row r="578" spans="1:35" x14ac:dyDescent="0.35">
      <c r="A578" s="1">
        <v>1576</v>
      </c>
      <c r="B578" s="2">
        <v>45873</v>
      </c>
      <c r="C578" s="1" t="s">
        <v>26</v>
      </c>
      <c r="D578" s="1" t="s">
        <v>15</v>
      </c>
      <c r="E578" s="1" t="s">
        <v>16</v>
      </c>
      <c r="F578" s="1">
        <v>1436.09</v>
      </c>
      <c r="G578" s="1" t="s">
        <v>127</v>
      </c>
      <c r="H578" s="2">
        <v>31846</v>
      </c>
      <c r="I578" s="2">
        <v>45885</v>
      </c>
      <c r="J578" s="1">
        <v>39.520000000000003</v>
      </c>
      <c r="K578" s="1">
        <f t="shared" si="22"/>
        <v>567.54276800000002</v>
      </c>
      <c r="L578" s="1">
        <f t="shared" si="23"/>
        <v>868.54723199999989</v>
      </c>
      <c r="U578">
        <v>3744.0726839999998</v>
      </c>
      <c r="X578" s="1">
        <v>1794</v>
      </c>
      <c r="Y578" s="2">
        <v>45176</v>
      </c>
      <c r="Z578" s="1" t="str">
        <v>East</v>
      </c>
      <c r="AA578" s="1" t="str">
        <v>T-Shirt</v>
      </c>
      <c r="AB578" s="1" t="str">
        <v>Clothing</v>
      </c>
      <c r="AC578" s="1">
        <v>4084.74</v>
      </c>
      <c r="AD578" s="1" t="str">
        <v>Jimmy Lopez</v>
      </c>
      <c r="AE578" s="1">
        <v>36246</v>
      </c>
      <c r="AF578" s="1">
        <v>45177</v>
      </c>
      <c r="AG578" s="1">
        <v>8.34</v>
      </c>
      <c r="AH578" s="1">
        <v>340.66731599999997</v>
      </c>
      <c r="AI578" s="1">
        <v>3744.0726839999998</v>
      </c>
    </row>
    <row r="579" spans="1:35" x14ac:dyDescent="0.35">
      <c r="A579" s="1">
        <v>1577</v>
      </c>
      <c r="B579" s="2">
        <v>44397</v>
      </c>
      <c r="C579" s="1" t="s">
        <v>10</v>
      </c>
      <c r="D579" s="1" t="s">
        <v>65</v>
      </c>
      <c r="E579" s="1" t="s">
        <v>19</v>
      </c>
      <c r="F579" s="1">
        <v>2793.83</v>
      </c>
      <c r="G579" s="1" t="s">
        <v>215</v>
      </c>
      <c r="H579" s="2">
        <v>31386</v>
      </c>
      <c r="I579" s="2">
        <v>44407</v>
      </c>
      <c r="J579" s="1">
        <v>41.17</v>
      </c>
      <c r="K579" s="1">
        <f t="shared" ref="K579:K642" si="24">F579*J579%</f>
        <v>1150.2198109999999</v>
      </c>
      <c r="L579" s="1">
        <f t="shared" ref="L579:L642" si="25">F579-K579</f>
        <v>1643.610189</v>
      </c>
      <c r="U579">
        <v>2112.8001480000003</v>
      </c>
      <c r="X579" s="1">
        <v>1795</v>
      </c>
      <c r="Y579" s="2">
        <v>44504</v>
      </c>
      <c r="Z579" s="1" t="str">
        <v>Central</v>
      </c>
      <c r="AA579" s="1" t="str">
        <v>Tablet</v>
      </c>
      <c r="AB579" s="1" t="str">
        <v>Electronics</v>
      </c>
      <c r="AC579" s="1">
        <v>3311.08</v>
      </c>
      <c r="AD579" s="1" t="str">
        <v>Angela Mooney</v>
      </c>
      <c r="AE579" s="1">
        <v>25516</v>
      </c>
      <c r="AF579" s="1">
        <v>44513</v>
      </c>
      <c r="AG579" s="1">
        <v>36.19</v>
      </c>
      <c r="AH579" s="1">
        <v>1198.2798519999999</v>
      </c>
      <c r="AI579" s="1">
        <v>2112.8001480000003</v>
      </c>
    </row>
    <row r="580" spans="1:35" x14ac:dyDescent="0.35">
      <c r="A580" s="1">
        <v>1578</v>
      </c>
      <c r="B580" s="2">
        <v>45821</v>
      </c>
      <c r="C580" s="1" t="s">
        <v>21</v>
      </c>
      <c r="D580" s="1" t="s">
        <v>58</v>
      </c>
      <c r="E580" s="1" t="s">
        <v>31</v>
      </c>
      <c r="F580" s="1">
        <v>1162.24</v>
      </c>
      <c r="G580" s="1" t="s">
        <v>108</v>
      </c>
      <c r="H580" s="2">
        <v>33413</v>
      </c>
      <c r="I580" s="2">
        <v>45824</v>
      </c>
      <c r="J580" s="1">
        <v>5.94</v>
      </c>
      <c r="K580" s="1">
        <f t="shared" si="24"/>
        <v>69.037056000000007</v>
      </c>
      <c r="L580" s="1">
        <f t="shared" si="25"/>
        <v>1093.2029440000001</v>
      </c>
      <c r="U580">
        <v>1247.2017530000001</v>
      </c>
      <c r="X580" s="1">
        <v>1796</v>
      </c>
      <c r="Y580" s="2">
        <v>44792</v>
      </c>
      <c r="Z580" s="1" t="str">
        <v>South</v>
      </c>
      <c r="AA580" s="1" t="str">
        <v>Rice</v>
      </c>
      <c r="AB580" s="1" t="str">
        <v>Groceries</v>
      </c>
      <c r="AC580" s="1">
        <v>1488.13</v>
      </c>
      <c r="AD580" s="1" t="str">
        <v>Matthew Castillo</v>
      </c>
      <c r="AE580" s="1">
        <v>22467</v>
      </c>
      <c r="AF580" s="1">
        <v>44804</v>
      </c>
      <c r="AG580" s="1">
        <v>16.190000000000001</v>
      </c>
      <c r="AH580" s="1">
        <v>240.92824700000006</v>
      </c>
      <c r="AI580" s="1">
        <v>1247.2017530000001</v>
      </c>
    </row>
    <row r="581" spans="1:35" x14ac:dyDescent="0.35">
      <c r="A581" s="1">
        <v>1579</v>
      </c>
      <c r="B581" s="2">
        <v>45282</v>
      </c>
      <c r="C581" s="1" t="s">
        <v>21</v>
      </c>
      <c r="D581" s="1" t="s">
        <v>18</v>
      </c>
      <c r="E581" s="1" t="s">
        <v>19</v>
      </c>
      <c r="F581" s="1">
        <v>2127.64</v>
      </c>
      <c r="G581" s="1" t="s">
        <v>17</v>
      </c>
      <c r="H581" s="2">
        <v>26484</v>
      </c>
      <c r="I581" s="2">
        <v>45287</v>
      </c>
      <c r="J581" s="1">
        <v>21.3</v>
      </c>
      <c r="K581" s="1">
        <f t="shared" si="24"/>
        <v>453.18731999999994</v>
      </c>
      <c r="L581" s="1">
        <f t="shared" si="25"/>
        <v>1674.4526799999999</v>
      </c>
      <c r="U581">
        <v>2861.6511540000001</v>
      </c>
      <c r="X581" s="1">
        <v>1799</v>
      </c>
      <c r="Y581" s="2">
        <v>44246</v>
      </c>
      <c r="Z581" s="1" t="str">
        <v>South</v>
      </c>
      <c r="AA581" s="1" t="str">
        <v>Wardrobe</v>
      </c>
      <c r="AB581" s="1" t="str">
        <v>Furniture</v>
      </c>
      <c r="AC581" s="1">
        <v>3103.07</v>
      </c>
      <c r="AD581" s="1" t="str">
        <v>Antonio David</v>
      </c>
      <c r="AE581" s="1">
        <v>24580</v>
      </c>
      <c r="AF581" s="1">
        <v>44260</v>
      </c>
      <c r="AG581" s="1">
        <v>7.78</v>
      </c>
      <c r="AH581" s="1">
        <v>241.41884600000003</v>
      </c>
      <c r="AI581" s="1">
        <v>2861.6511540000001</v>
      </c>
    </row>
    <row r="582" spans="1:35" x14ac:dyDescent="0.35">
      <c r="A582" s="1">
        <v>1580</v>
      </c>
      <c r="B582" s="2">
        <v>44976</v>
      </c>
      <c r="C582" s="1" t="s">
        <v>35</v>
      </c>
      <c r="D582" s="1" t="s">
        <v>88</v>
      </c>
      <c r="E582" s="1" t="s">
        <v>16</v>
      </c>
      <c r="F582" s="1">
        <v>3313.85</v>
      </c>
      <c r="G582" s="1" t="s">
        <v>299</v>
      </c>
      <c r="H582" s="2">
        <v>25863</v>
      </c>
      <c r="I582" s="2">
        <v>44990</v>
      </c>
      <c r="J582" s="1">
        <v>24.43</v>
      </c>
      <c r="K582" s="1">
        <f t="shared" si="24"/>
        <v>809.57355499999994</v>
      </c>
      <c r="L582" s="1">
        <f t="shared" si="25"/>
        <v>2504.276445</v>
      </c>
      <c r="U582">
        <v>1946.51541</v>
      </c>
      <c r="X582" s="1">
        <v>1800</v>
      </c>
      <c r="Y582" s="2">
        <v>44679</v>
      </c>
      <c r="Z582" s="1" t="str">
        <v>Central</v>
      </c>
      <c r="AA582" s="1" t="str">
        <v>Bed</v>
      </c>
      <c r="AB582" s="1" t="str">
        <v>Furniture</v>
      </c>
      <c r="AC582" s="1">
        <v>2611.02</v>
      </c>
      <c r="AD582" s="1" t="str">
        <v>Justin Robinson</v>
      </c>
      <c r="AE582" s="1">
        <v>35629</v>
      </c>
      <c r="AF582" s="1">
        <v>44693</v>
      </c>
      <c r="AG582" s="1">
        <v>25.45</v>
      </c>
      <c r="AH582" s="1">
        <v>664.50459000000001</v>
      </c>
      <c r="AI582" s="1">
        <v>1946.51541</v>
      </c>
    </row>
    <row r="583" spans="1:35" x14ac:dyDescent="0.35">
      <c r="A583" s="1">
        <v>1581</v>
      </c>
      <c r="B583" s="2">
        <v>45712</v>
      </c>
      <c r="C583" s="1" t="s">
        <v>26</v>
      </c>
      <c r="D583" s="1" t="s">
        <v>55</v>
      </c>
      <c r="E583" s="1" t="s">
        <v>31</v>
      </c>
      <c r="F583" s="1">
        <v>922.77</v>
      </c>
      <c r="G583" s="1" t="s">
        <v>124</v>
      </c>
      <c r="H583" s="2">
        <v>30786</v>
      </c>
      <c r="I583" s="2">
        <v>45720</v>
      </c>
      <c r="J583" s="1">
        <v>45.36</v>
      </c>
      <c r="K583" s="1">
        <f t="shared" si="24"/>
        <v>418.56847199999999</v>
      </c>
      <c r="L583" s="1">
        <f t="shared" si="25"/>
        <v>504.201528</v>
      </c>
      <c r="U583">
        <v>3138.1665560000001</v>
      </c>
      <c r="X583" s="1">
        <v>1801</v>
      </c>
      <c r="Y583" s="2">
        <v>45314</v>
      </c>
      <c r="Z583" s="1" t="str">
        <v>West</v>
      </c>
      <c r="AA583" s="1" t="str">
        <v>Chair</v>
      </c>
      <c r="AB583" s="1" t="str">
        <v>Furniture</v>
      </c>
      <c r="AC583" s="1">
        <v>3379.46</v>
      </c>
      <c r="AD583" s="1" t="str">
        <v>Tara Roberts</v>
      </c>
      <c r="AE583" s="1">
        <v>36924</v>
      </c>
      <c r="AF583" s="1">
        <v>45325</v>
      </c>
      <c r="AG583" s="1">
        <v>7.14</v>
      </c>
      <c r="AH583" s="1">
        <v>241.29344399999997</v>
      </c>
      <c r="AI583" s="1">
        <v>3138.1665560000001</v>
      </c>
    </row>
    <row r="584" spans="1:35" x14ac:dyDescent="0.35">
      <c r="A584" s="1">
        <v>1582</v>
      </c>
      <c r="B584" s="2">
        <v>45808</v>
      </c>
      <c r="C584" s="1" t="s">
        <v>14</v>
      </c>
      <c r="D584" s="1" t="s">
        <v>69</v>
      </c>
      <c r="E584" s="1" t="s">
        <v>12</v>
      </c>
      <c r="F584" s="1">
        <v>4511.01</v>
      </c>
      <c r="G584" s="1" t="s">
        <v>39</v>
      </c>
      <c r="H584" s="2">
        <v>26282</v>
      </c>
      <c r="I584" s="2">
        <v>45812</v>
      </c>
      <c r="J584" s="1">
        <v>24.51</v>
      </c>
      <c r="K584" s="1">
        <f t="shared" si="24"/>
        <v>1105.648551</v>
      </c>
      <c r="L584" s="1">
        <f t="shared" si="25"/>
        <v>3405.361449</v>
      </c>
      <c r="U584">
        <v>3007.1829040000002</v>
      </c>
      <c r="X584" s="1">
        <v>1802</v>
      </c>
      <c r="Y584" s="2">
        <v>44594</v>
      </c>
      <c r="Z584" s="1" t="str">
        <v>North</v>
      </c>
      <c r="AA584" s="1" t="str">
        <v>Tablet</v>
      </c>
      <c r="AB584" s="1" t="str">
        <v>Electronics</v>
      </c>
      <c r="AC584" s="1">
        <v>4233.68</v>
      </c>
      <c r="AD584" s="1" t="str">
        <v>Megan Wagner</v>
      </c>
      <c r="AE584" s="1">
        <v>29810</v>
      </c>
      <c r="AF584" s="1">
        <v>44595</v>
      </c>
      <c r="AG584" s="1">
        <v>28.97</v>
      </c>
      <c r="AH584" s="1">
        <v>1226.4970960000001</v>
      </c>
      <c r="AI584" s="1">
        <v>3007.1829040000002</v>
      </c>
    </row>
    <row r="585" spans="1:35" x14ac:dyDescent="0.35">
      <c r="A585" s="1">
        <v>1583</v>
      </c>
      <c r="B585" s="2">
        <v>45423</v>
      </c>
      <c r="C585" s="1" t="s">
        <v>21</v>
      </c>
      <c r="D585" s="1" t="s">
        <v>58</v>
      </c>
      <c r="E585" s="1" t="s">
        <v>31</v>
      </c>
      <c r="F585" s="1">
        <v>3081.64</v>
      </c>
      <c r="G585" s="1" t="s">
        <v>120</v>
      </c>
      <c r="H585" s="2">
        <v>30820</v>
      </c>
      <c r="I585" s="2">
        <v>45430</v>
      </c>
      <c r="J585" s="1">
        <v>41.94</v>
      </c>
      <c r="K585" s="1">
        <f t="shared" si="24"/>
        <v>1292.4398159999998</v>
      </c>
      <c r="L585" s="1">
        <f t="shared" si="25"/>
        <v>1789.200184</v>
      </c>
      <c r="U585">
        <v>2834.6836800000001</v>
      </c>
      <c r="X585" s="1">
        <v>1803</v>
      </c>
      <c r="Y585" s="2">
        <v>44989</v>
      </c>
      <c r="Z585" s="1" t="str">
        <v>South</v>
      </c>
      <c r="AA585" s="1" t="str">
        <v>Camera</v>
      </c>
      <c r="AB585" s="1" t="str">
        <v>Electronics</v>
      </c>
      <c r="AC585" s="1">
        <v>3698.7</v>
      </c>
      <c r="AD585" s="1" t="str">
        <v>Jamie Day</v>
      </c>
      <c r="AE585" s="1">
        <v>32359</v>
      </c>
      <c r="AF585" s="1">
        <v>44994</v>
      </c>
      <c r="AG585" s="1">
        <v>23.36</v>
      </c>
      <c r="AH585" s="1">
        <v>864.01631999999995</v>
      </c>
      <c r="AI585" s="1">
        <v>2834.6836800000001</v>
      </c>
    </row>
    <row r="586" spans="1:35" x14ac:dyDescent="0.35">
      <c r="A586" s="1">
        <v>1584</v>
      </c>
      <c r="B586" s="2">
        <v>44929</v>
      </c>
      <c r="C586" s="1" t="s">
        <v>10</v>
      </c>
      <c r="D586" s="1" t="s">
        <v>15</v>
      </c>
      <c r="E586" s="1" t="s">
        <v>16</v>
      </c>
      <c r="F586" s="1">
        <v>2668.64</v>
      </c>
      <c r="G586" s="1" t="s">
        <v>247</v>
      </c>
      <c r="H586" s="2">
        <v>23735</v>
      </c>
      <c r="I586" s="2">
        <v>44932</v>
      </c>
      <c r="J586" s="1">
        <v>16.489999999999998</v>
      </c>
      <c r="K586" s="1">
        <f t="shared" si="24"/>
        <v>440.05873599999995</v>
      </c>
      <c r="L586" s="1">
        <f t="shared" si="25"/>
        <v>2228.5812639999999</v>
      </c>
      <c r="U586">
        <v>3496.3326690000004</v>
      </c>
      <c r="X586" s="1">
        <v>1804</v>
      </c>
      <c r="Y586" s="2">
        <v>44236</v>
      </c>
      <c r="Z586" s="1" t="str">
        <v>North</v>
      </c>
      <c r="AA586" s="1" t="str">
        <v>Shoes</v>
      </c>
      <c r="AB586" s="1" t="str">
        <v>Sports</v>
      </c>
      <c r="AC586" s="1">
        <v>4909.8900000000003</v>
      </c>
      <c r="AD586" s="1" t="str">
        <v>Harold Williams</v>
      </c>
      <c r="AE586" s="1">
        <v>37894</v>
      </c>
      <c r="AF586" s="1">
        <v>44239</v>
      </c>
      <c r="AG586" s="1">
        <v>28.79</v>
      </c>
      <c r="AH586" s="1">
        <v>1413.557331</v>
      </c>
      <c r="AI586" s="1">
        <v>3496.3326690000004</v>
      </c>
    </row>
    <row r="587" spans="1:35" x14ac:dyDescent="0.35">
      <c r="A587" s="1">
        <v>1585</v>
      </c>
      <c r="B587" s="2">
        <v>45316</v>
      </c>
      <c r="C587" s="1" t="s">
        <v>35</v>
      </c>
      <c r="D587" s="1" t="s">
        <v>22</v>
      </c>
      <c r="E587" s="1" t="s">
        <v>19</v>
      </c>
      <c r="F587" s="1">
        <v>3581.16</v>
      </c>
      <c r="G587" s="1" t="s">
        <v>199</v>
      </c>
      <c r="H587" s="2">
        <v>25341</v>
      </c>
      <c r="I587" s="2">
        <v>45323</v>
      </c>
      <c r="J587" s="1">
        <v>5.05</v>
      </c>
      <c r="K587" s="1">
        <f t="shared" si="24"/>
        <v>180.84857999999997</v>
      </c>
      <c r="L587" s="1">
        <f t="shared" si="25"/>
        <v>3400.31142</v>
      </c>
      <c r="U587">
        <v>1188.0875129999999</v>
      </c>
      <c r="X587" s="1">
        <v>1805</v>
      </c>
      <c r="Y587" s="2">
        <v>45758</v>
      </c>
      <c r="Z587" s="1" t="str">
        <v>South</v>
      </c>
      <c r="AA587" s="1" t="str">
        <v>Jeans</v>
      </c>
      <c r="AB587" s="1" t="str">
        <v>Clothing</v>
      </c>
      <c r="AC587" s="1">
        <v>1486.41</v>
      </c>
      <c r="AD587" s="1" t="str">
        <v>Melissa Moreno</v>
      </c>
      <c r="AE587" s="1">
        <v>25579</v>
      </c>
      <c r="AF587" s="1">
        <v>45765</v>
      </c>
      <c r="AG587" s="1">
        <v>20.07</v>
      </c>
      <c r="AH587" s="1">
        <v>298.32248700000002</v>
      </c>
      <c r="AI587" s="1">
        <v>1188.0875129999999</v>
      </c>
    </row>
    <row r="588" spans="1:35" x14ac:dyDescent="0.35">
      <c r="A588" s="1">
        <v>1586</v>
      </c>
      <c r="B588" s="2">
        <v>44354</v>
      </c>
      <c r="C588" s="1" t="s">
        <v>21</v>
      </c>
      <c r="D588" s="1" t="s">
        <v>18</v>
      </c>
      <c r="E588" s="1" t="s">
        <v>19</v>
      </c>
      <c r="F588" s="1">
        <v>1927.4</v>
      </c>
      <c r="G588" s="1" t="s">
        <v>256</v>
      </c>
      <c r="H588" s="2">
        <v>34537</v>
      </c>
      <c r="I588" s="2">
        <v>44362</v>
      </c>
      <c r="J588" s="1">
        <v>49.21</v>
      </c>
      <c r="K588" s="1">
        <f t="shared" si="24"/>
        <v>948.47353999999996</v>
      </c>
      <c r="L588" s="1">
        <f t="shared" si="25"/>
        <v>978.92646000000013</v>
      </c>
      <c r="U588">
        <v>2289.1679400000003</v>
      </c>
      <c r="X588" s="1">
        <v>1806</v>
      </c>
      <c r="Y588" s="2">
        <v>45010</v>
      </c>
      <c r="Z588" s="1" t="str">
        <v>South</v>
      </c>
      <c r="AA588" s="1" t="str">
        <v>Rice</v>
      </c>
      <c r="AB588" s="1" t="str">
        <v>Groceries</v>
      </c>
      <c r="AC588" s="1">
        <v>3827.4</v>
      </c>
      <c r="AD588" s="1" t="str">
        <v>Marissa Johnson</v>
      </c>
      <c r="AE588" s="1">
        <v>38628</v>
      </c>
      <c r="AF588" s="1">
        <v>45012</v>
      </c>
      <c r="AG588" s="1">
        <v>40.19</v>
      </c>
      <c r="AH588" s="1">
        <v>1538.23206</v>
      </c>
      <c r="AI588" s="1">
        <v>2289.1679400000003</v>
      </c>
    </row>
    <row r="589" spans="1:35" x14ac:dyDescent="0.35">
      <c r="A589" s="1">
        <v>1587</v>
      </c>
      <c r="B589" s="2">
        <v>44896</v>
      </c>
      <c r="C589" s="1" t="s">
        <v>35</v>
      </c>
      <c r="D589" s="1" t="s">
        <v>58</v>
      </c>
      <c r="E589" s="1" t="s">
        <v>31</v>
      </c>
      <c r="F589" s="1">
        <v>3073.98</v>
      </c>
      <c r="G589" s="1" t="s">
        <v>276</v>
      </c>
      <c r="H589" s="2">
        <v>33394</v>
      </c>
      <c r="I589" s="2">
        <v>44899</v>
      </c>
      <c r="J589" s="1">
        <v>2.78</v>
      </c>
      <c r="K589" s="1">
        <f t="shared" si="24"/>
        <v>85.456643999999997</v>
      </c>
      <c r="L589" s="1">
        <f t="shared" si="25"/>
        <v>2988.5233560000001</v>
      </c>
      <c r="U589">
        <v>3315.5908440000003</v>
      </c>
      <c r="X589" s="1">
        <v>1809</v>
      </c>
      <c r="Y589" s="2">
        <v>44697</v>
      </c>
      <c r="Z589" s="1" t="str">
        <v>North</v>
      </c>
      <c r="AA589" s="1" t="str">
        <v>Sofa</v>
      </c>
      <c r="AB589" s="1" t="str">
        <v>Furniture</v>
      </c>
      <c r="AC589" s="1">
        <v>3749.82</v>
      </c>
      <c r="AD589" s="1" t="str">
        <v>Brandon King</v>
      </c>
      <c r="AE589" s="1">
        <v>34364</v>
      </c>
      <c r="AF589" s="1">
        <v>44706</v>
      </c>
      <c r="AG589" s="1">
        <v>11.58</v>
      </c>
      <c r="AH589" s="1">
        <v>434.22915600000005</v>
      </c>
      <c r="AI589" s="1">
        <v>3315.5908440000003</v>
      </c>
    </row>
    <row r="590" spans="1:35" x14ac:dyDescent="0.35">
      <c r="A590" s="1">
        <v>1588</v>
      </c>
      <c r="B590" s="2">
        <v>44612</v>
      </c>
      <c r="C590" s="1" t="s">
        <v>35</v>
      </c>
      <c r="D590" s="1" t="s">
        <v>88</v>
      </c>
      <c r="E590" s="1" t="s">
        <v>16</v>
      </c>
      <c r="F590" s="1">
        <v>2770.97</v>
      </c>
      <c r="G590" s="1" t="s">
        <v>160</v>
      </c>
      <c r="H590" s="2">
        <v>35321</v>
      </c>
      <c r="I590" s="2">
        <v>44621</v>
      </c>
      <c r="J590" s="1">
        <v>13.64</v>
      </c>
      <c r="K590" s="1">
        <f t="shared" si="24"/>
        <v>377.96030799999994</v>
      </c>
      <c r="L590" s="1">
        <f t="shared" si="25"/>
        <v>2393.0096919999996</v>
      </c>
      <c r="U590">
        <v>2895.822306</v>
      </c>
      <c r="X590" s="1">
        <v>1810</v>
      </c>
      <c r="Y590" s="2">
        <v>45867</v>
      </c>
      <c r="Z590" s="1" t="str">
        <v>South</v>
      </c>
      <c r="AA590" s="1" t="str">
        <v>Oil</v>
      </c>
      <c r="AB590" s="1" t="str">
        <v>Groceries</v>
      </c>
      <c r="AC590" s="1">
        <v>3858.01</v>
      </c>
      <c r="AD590" s="1" t="str">
        <v>Christine Wiley</v>
      </c>
      <c r="AE590" s="1">
        <v>25222</v>
      </c>
      <c r="AF590" s="1">
        <v>45876</v>
      </c>
      <c r="AG590" s="1">
        <v>24.94</v>
      </c>
      <c r="AH590" s="1">
        <v>962.18769400000008</v>
      </c>
      <c r="AI590" s="1">
        <v>2895.822306</v>
      </c>
    </row>
    <row r="591" spans="1:35" x14ac:dyDescent="0.35">
      <c r="A591" s="1">
        <v>1589</v>
      </c>
      <c r="B591" s="2">
        <v>45390</v>
      </c>
      <c r="C591" s="1" t="s">
        <v>21</v>
      </c>
      <c r="D591" s="1" t="s">
        <v>69</v>
      </c>
      <c r="E591" s="1" t="s">
        <v>31</v>
      </c>
      <c r="F591" s="1">
        <v>2776.4</v>
      </c>
      <c r="G591" s="1" t="s">
        <v>176</v>
      </c>
      <c r="H591" s="2">
        <v>33282</v>
      </c>
      <c r="I591" s="2">
        <v>45392</v>
      </c>
      <c r="J591" s="1">
        <v>18.579999999999998</v>
      </c>
      <c r="K591" s="1">
        <f t="shared" si="24"/>
        <v>515.85511999999994</v>
      </c>
      <c r="L591" s="1">
        <f t="shared" si="25"/>
        <v>2260.5448800000004</v>
      </c>
      <c r="U591">
        <v>1792.4006099999999</v>
      </c>
      <c r="X591" s="1">
        <v>1812</v>
      </c>
      <c r="Y591" s="2">
        <v>44424</v>
      </c>
      <c r="Z591" s="1" t="str">
        <v>East</v>
      </c>
      <c r="AA591" s="1" t="str">
        <v>Shoes</v>
      </c>
      <c r="AB591" s="1" t="str">
        <v>Clothing</v>
      </c>
      <c r="AC591" s="1">
        <v>2457.6999999999998</v>
      </c>
      <c r="AD591" s="1" t="str">
        <v>Jesse Hernandez</v>
      </c>
      <c r="AE591" s="1">
        <v>27550</v>
      </c>
      <c r="AF591" s="1">
        <v>44425</v>
      </c>
      <c r="AG591" s="1">
        <v>27.07</v>
      </c>
      <c r="AH591" s="1">
        <v>665.2993899999999</v>
      </c>
      <c r="AI591" s="1">
        <v>1792.4006099999999</v>
      </c>
    </row>
    <row r="592" spans="1:35" x14ac:dyDescent="0.35">
      <c r="A592" s="1">
        <v>1590</v>
      </c>
      <c r="B592" s="2">
        <v>44460</v>
      </c>
      <c r="C592" s="1" t="s">
        <v>21</v>
      </c>
      <c r="D592" s="1" t="s">
        <v>11</v>
      </c>
      <c r="E592" s="1" t="s">
        <v>12</v>
      </c>
      <c r="F592" s="1">
        <v>341.81</v>
      </c>
      <c r="G592" s="1" t="s">
        <v>139</v>
      </c>
      <c r="H592" s="2">
        <v>29381</v>
      </c>
      <c r="I592" s="2">
        <v>44466</v>
      </c>
      <c r="J592" s="1">
        <v>19.75</v>
      </c>
      <c r="K592" s="1">
        <f t="shared" si="24"/>
        <v>67.507474999999999</v>
      </c>
      <c r="L592" s="1">
        <f t="shared" si="25"/>
        <v>274.302525</v>
      </c>
      <c r="U592">
        <v>2538.3778349999998</v>
      </c>
      <c r="X592" s="1">
        <v>1813</v>
      </c>
      <c r="Y592" s="2">
        <v>45559</v>
      </c>
      <c r="Z592" s="1" t="str">
        <v>North</v>
      </c>
      <c r="AA592" s="1" t="str">
        <v>Tennis Racket</v>
      </c>
      <c r="AB592" s="1" t="str">
        <v>Sports</v>
      </c>
      <c r="AC592" s="1">
        <v>2847.95</v>
      </c>
      <c r="AD592" s="1" t="str">
        <v>Jean Garza</v>
      </c>
      <c r="AE592" s="1">
        <v>25863</v>
      </c>
      <c r="AF592" s="1">
        <v>45563</v>
      </c>
      <c r="AG592" s="1">
        <v>10.87</v>
      </c>
      <c r="AH592" s="1">
        <v>309.57216499999993</v>
      </c>
      <c r="AI592" s="1">
        <v>2538.3778349999998</v>
      </c>
    </row>
    <row r="593" spans="1:35" x14ac:dyDescent="0.35">
      <c r="A593" s="1">
        <v>1591</v>
      </c>
      <c r="B593" s="2">
        <v>44923</v>
      </c>
      <c r="C593" s="1" t="s">
        <v>35</v>
      </c>
      <c r="D593" s="1" t="s">
        <v>22</v>
      </c>
      <c r="E593" s="1" t="s">
        <v>19</v>
      </c>
      <c r="F593" s="1">
        <v>1301.82</v>
      </c>
      <c r="G593" s="1" t="s">
        <v>207</v>
      </c>
      <c r="H593" s="2">
        <v>23988</v>
      </c>
      <c r="I593" s="2">
        <v>44928</v>
      </c>
      <c r="J593" s="1">
        <v>30.44</v>
      </c>
      <c r="K593" s="1">
        <f t="shared" si="24"/>
        <v>396.27400799999998</v>
      </c>
      <c r="L593" s="1">
        <f t="shared" si="25"/>
        <v>905.54599199999996</v>
      </c>
      <c r="U593">
        <v>4699.0846199999996</v>
      </c>
      <c r="X593" s="1">
        <v>1814</v>
      </c>
      <c r="Y593" s="2">
        <v>44257</v>
      </c>
      <c r="Z593" s="1" t="str">
        <v>North</v>
      </c>
      <c r="AA593" s="1" t="str">
        <v>Shoes</v>
      </c>
      <c r="AB593" s="1" t="str">
        <v>Clothing</v>
      </c>
      <c r="AC593" s="1">
        <v>4804.79</v>
      </c>
      <c r="AD593" s="1" t="str">
        <v>Zachary Anthony</v>
      </c>
      <c r="AE593" s="1">
        <v>34704</v>
      </c>
      <c r="AF593" s="1">
        <v>44264</v>
      </c>
      <c r="AG593" s="1">
        <v>2.2000000000000002</v>
      </c>
      <c r="AH593" s="1">
        <v>105.70538000000001</v>
      </c>
      <c r="AI593" s="1">
        <v>4699.0846199999996</v>
      </c>
    </row>
    <row r="594" spans="1:35" x14ac:dyDescent="0.35">
      <c r="A594" s="1">
        <v>1592</v>
      </c>
      <c r="B594" s="2">
        <v>45242</v>
      </c>
      <c r="C594" s="1" t="s">
        <v>35</v>
      </c>
      <c r="D594" s="1" t="s">
        <v>40</v>
      </c>
      <c r="E594" s="1" t="s">
        <v>16</v>
      </c>
      <c r="F594" s="1">
        <v>1354.64</v>
      </c>
      <c r="G594" s="1" t="s">
        <v>289</v>
      </c>
      <c r="H594" s="2">
        <v>21923</v>
      </c>
      <c r="I594" s="2">
        <v>45248</v>
      </c>
      <c r="J594" s="1">
        <v>49.02</v>
      </c>
      <c r="K594" s="1">
        <f t="shared" si="24"/>
        <v>664.04452800000013</v>
      </c>
      <c r="L594" s="1">
        <f t="shared" si="25"/>
        <v>690.59547199999997</v>
      </c>
      <c r="U594">
        <v>1457.4339020000002</v>
      </c>
      <c r="X594" s="1">
        <v>1816</v>
      </c>
      <c r="Y594" s="2">
        <v>45004</v>
      </c>
      <c r="Z594" s="1" t="str">
        <v>North</v>
      </c>
      <c r="AA594" s="1" t="str">
        <v>Shoes</v>
      </c>
      <c r="AB594" s="1" t="str">
        <v>Sports</v>
      </c>
      <c r="AC594" s="1">
        <v>2142.34</v>
      </c>
      <c r="AD594" s="1" t="str">
        <v>Christopher Campbell</v>
      </c>
      <c r="AE594" s="1">
        <v>26082</v>
      </c>
      <c r="AF594" s="1">
        <v>45015</v>
      </c>
      <c r="AG594" s="1">
        <v>31.97</v>
      </c>
      <c r="AH594" s="1">
        <v>684.90609800000004</v>
      </c>
      <c r="AI594" s="1">
        <v>1457.4339020000002</v>
      </c>
    </row>
    <row r="595" spans="1:35" x14ac:dyDescent="0.35">
      <c r="A595" s="1">
        <v>1593</v>
      </c>
      <c r="B595" s="2">
        <v>45688</v>
      </c>
      <c r="C595" s="1" t="s">
        <v>26</v>
      </c>
      <c r="D595" s="1" t="s">
        <v>73</v>
      </c>
      <c r="E595" s="1" t="s">
        <v>28</v>
      </c>
      <c r="F595" s="1">
        <v>4679.8599999999997</v>
      </c>
      <c r="G595" s="1" t="s">
        <v>37</v>
      </c>
      <c r="H595" s="2">
        <v>27534</v>
      </c>
      <c r="I595" s="2">
        <v>45692</v>
      </c>
      <c r="J595" s="1">
        <v>10.66</v>
      </c>
      <c r="K595" s="1">
        <f t="shared" si="24"/>
        <v>498.87307599999997</v>
      </c>
      <c r="L595" s="1">
        <f t="shared" si="25"/>
        <v>4180.9869239999998</v>
      </c>
      <c r="U595">
        <v>1135.1815860000002</v>
      </c>
      <c r="X595" s="1">
        <v>1817</v>
      </c>
      <c r="Y595" s="2">
        <v>44803</v>
      </c>
      <c r="Z595" s="1" t="str">
        <v>Central</v>
      </c>
      <c r="AA595" s="1" t="str">
        <v>Shoes</v>
      </c>
      <c r="AB595" s="1" t="str">
        <v>Clothing</v>
      </c>
      <c r="AC595" s="1">
        <v>1944.47</v>
      </c>
      <c r="AD595" s="1" t="str">
        <v>Jacqueline Brown</v>
      </c>
      <c r="AE595" s="1">
        <v>33840</v>
      </c>
      <c r="AF595" s="1">
        <v>44814</v>
      </c>
      <c r="AG595" s="1">
        <v>41.62</v>
      </c>
      <c r="AH595" s="1">
        <v>809.28841399999988</v>
      </c>
      <c r="AI595" s="1">
        <v>1135.1815860000002</v>
      </c>
    </row>
    <row r="596" spans="1:35" x14ac:dyDescent="0.35">
      <c r="A596" s="1">
        <v>1594</v>
      </c>
      <c r="B596" s="2">
        <v>44911</v>
      </c>
      <c r="C596" s="1" t="s">
        <v>35</v>
      </c>
      <c r="D596" s="1" t="s">
        <v>33</v>
      </c>
      <c r="E596" s="1" t="s">
        <v>16</v>
      </c>
      <c r="F596" s="1">
        <v>2530.5</v>
      </c>
      <c r="G596" s="1" t="s">
        <v>276</v>
      </c>
      <c r="H596" s="2">
        <v>33394</v>
      </c>
      <c r="I596" s="2">
        <v>44917</v>
      </c>
      <c r="J596" s="1">
        <v>32.81</v>
      </c>
      <c r="K596" s="1">
        <f t="shared" si="24"/>
        <v>830.25705000000005</v>
      </c>
      <c r="L596" s="1">
        <f t="shared" si="25"/>
        <v>1700.2429499999998</v>
      </c>
      <c r="U596">
        <v>1553.2328280000002</v>
      </c>
      <c r="X596" s="1">
        <v>1819</v>
      </c>
      <c r="Y596" s="2">
        <v>44970</v>
      </c>
      <c r="Z596" s="1" t="str">
        <v>Central</v>
      </c>
      <c r="AA596" s="1" t="str">
        <v>Camera</v>
      </c>
      <c r="AB596" s="1" t="str">
        <v>Electronics</v>
      </c>
      <c r="AC596" s="1">
        <v>2156.0700000000002</v>
      </c>
      <c r="AD596" s="1" t="str">
        <v>Bruce Miller</v>
      </c>
      <c r="AE596" s="1">
        <v>31775</v>
      </c>
      <c r="AF596" s="1">
        <v>44983</v>
      </c>
      <c r="AG596" s="1">
        <v>27.96</v>
      </c>
      <c r="AH596" s="1">
        <v>602.83717200000012</v>
      </c>
      <c r="AI596" s="1">
        <v>1553.2328280000002</v>
      </c>
    </row>
    <row r="597" spans="1:35" x14ac:dyDescent="0.35">
      <c r="A597" s="1">
        <v>1595</v>
      </c>
      <c r="B597" s="2">
        <v>45142</v>
      </c>
      <c r="C597" s="1" t="s">
        <v>35</v>
      </c>
      <c r="D597" s="1" t="s">
        <v>18</v>
      </c>
      <c r="E597" s="1" t="s">
        <v>19</v>
      </c>
      <c r="F597" s="1">
        <v>153.46</v>
      </c>
      <c r="G597" s="1" t="s">
        <v>120</v>
      </c>
      <c r="H597" s="2">
        <v>30820</v>
      </c>
      <c r="I597" s="2">
        <v>45145</v>
      </c>
      <c r="J597" s="1">
        <v>37.5</v>
      </c>
      <c r="K597" s="1">
        <f t="shared" si="24"/>
        <v>57.547499999999999</v>
      </c>
      <c r="L597" s="1">
        <f t="shared" si="25"/>
        <v>95.912500000000009</v>
      </c>
      <c r="U597">
        <v>3670.3717959999999</v>
      </c>
      <c r="X597" s="1">
        <v>1820</v>
      </c>
      <c r="Y597" s="2">
        <v>44680</v>
      </c>
      <c r="Z597" s="1" t="str">
        <v>West</v>
      </c>
      <c r="AA597" s="1" t="str">
        <v>Camera</v>
      </c>
      <c r="AB597" s="1" t="str">
        <v>Electronics</v>
      </c>
      <c r="AC597" s="1">
        <v>4278.82</v>
      </c>
      <c r="AD597" s="1" t="str">
        <v>Diane Coleman</v>
      </c>
      <c r="AE597" s="1">
        <v>26001</v>
      </c>
      <c r="AF597" s="1">
        <v>44683</v>
      </c>
      <c r="AG597" s="1">
        <v>14.22</v>
      </c>
      <c r="AH597" s="1">
        <v>608.44820399999992</v>
      </c>
      <c r="AI597" s="1">
        <v>3670.3717959999999</v>
      </c>
    </row>
    <row r="598" spans="1:35" x14ac:dyDescent="0.35">
      <c r="A598" s="1">
        <v>1596</v>
      </c>
      <c r="B598" s="2">
        <v>45749</v>
      </c>
      <c r="C598" s="1" t="s">
        <v>35</v>
      </c>
      <c r="D598" s="1" t="s">
        <v>58</v>
      </c>
      <c r="E598" s="1" t="s">
        <v>31</v>
      </c>
      <c r="F598" s="1">
        <v>3280.76</v>
      </c>
      <c r="G598" s="1" t="s">
        <v>215</v>
      </c>
      <c r="H598" s="2">
        <v>31386</v>
      </c>
      <c r="I598" s="2">
        <v>45763</v>
      </c>
      <c r="J598" s="1">
        <v>44.88</v>
      </c>
      <c r="K598" s="1">
        <f t="shared" si="24"/>
        <v>1472.4050880000002</v>
      </c>
      <c r="L598" s="1">
        <f t="shared" si="25"/>
        <v>1808.354912</v>
      </c>
      <c r="U598">
        <v>4080.3370519999999</v>
      </c>
      <c r="X598" s="1">
        <v>1822</v>
      </c>
      <c r="Y598" s="2">
        <v>44451</v>
      </c>
      <c r="Z598" s="1" t="str">
        <v>South</v>
      </c>
      <c r="AA598" s="1" t="str">
        <v>Cap</v>
      </c>
      <c r="AB598" s="1" t="str">
        <v>Clothing</v>
      </c>
      <c r="AC598" s="1">
        <v>4405.46</v>
      </c>
      <c r="AD598" s="1" t="str">
        <v>Veronica Kelly</v>
      </c>
      <c r="AE598" s="1">
        <v>36036</v>
      </c>
      <c r="AF598" s="1">
        <v>44465</v>
      </c>
      <c r="AG598" s="1">
        <v>7.38</v>
      </c>
      <c r="AH598" s="1">
        <v>325.12294800000001</v>
      </c>
      <c r="AI598" s="1">
        <v>4080.3370519999999</v>
      </c>
    </row>
    <row r="599" spans="1:35" x14ac:dyDescent="0.35">
      <c r="A599" s="1">
        <v>1597</v>
      </c>
      <c r="B599" s="2">
        <v>45427</v>
      </c>
      <c r="C599" s="1" t="s">
        <v>21</v>
      </c>
      <c r="D599" s="1" t="s">
        <v>27</v>
      </c>
      <c r="E599" s="1" t="s">
        <v>28</v>
      </c>
      <c r="F599" s="1">
        <v>4720</v>
      </c>
      <c r="G599" s="1" t="s">
        <v>119</v>
      </c>
      <c r="H599" s="2">
        <v>34954</v>
      </c>
      <c r="I599" s="2">
        <v>45439</v>
      </c>
      <c r="J599" s="1">
        <v>0.59</v>
      </c>
      <c r="K599" s="1">
        <f t="shared" si="24"/>
        <v>27.847999999999999</v>
      </c>
      <c r="L599" s="1">
        <f t="shared" si="25"/>
        <v>4692.152</v>
      </c>
      <c r="U599">
        <v>2736.3344400000001</v>
      </c>
      <c r="X599" s="1">
        <v>1825</v>
      </c>
      <c r="Y599" s="2">
        <v>44660</v>
      </c>
      <c r="Z599" s="1" t="str">
        <v>West</v>
      </c>
      <c r="AA599" s="1" t="str">
        <v>Cricket Bat</v>
      </c>
      <c r="AB599" s="1" t="str">
        <v>Sports</v>
      </c>
      <c r="AC599" s="1">
        <v>3209.4</v>
      </c>
      <c r="AD599" s="1" t="str">
        <v>Matthew Moore</v>
      </c>
      <c r="AE599" s="1">
        <v>29366</v>
      </c>
      <c r="AF599" s="1">
        <v>44674</v>
      </c>
      <c r="AG599" s="1">
        <v>14.74</v>
      </c>
      <c r="AH599" s="1">
        <v>473.06556</v>
      </c>
      <c r="AI599" s="1">
        <v>2736.3344400000001</v>
      </c>
    </row>
    <row r="600" spans="1:35" x14ac:dyDescent="0.35">
      <c r="A600" s="1">
        <v>1598</v>
      </c>
      <c r="B600" s="2">
        <v>44229</v>
      </c>
      <c r="C600" s="1" t="s">
        <v>14</v>
      </c>
      <c r="D600" s="1" t="s">
        <v>53</v>
      </c>
      <c r="E600" s="1" t="s">
        <v>28</v>
      </c>
      <c r="F600" s="1">
        <v>4004.86</v>
      </c>
      <c r="G600" s="1" t="s">
        <v>188</v>
      </c>
      <c r="H600" s="2">
        <v>31467</v>
      </c>
      <c r="I600" s="2">
        <v>44234</v>
      </c>
      <c r="J600" s="1">
        <v>10.119999999999999</v>
      </c>
      <c r="K600" s="1">
        <f t="shared" si="24"/>
        <v>405.291832</v>
      </c>
      <c r="L600" s="1">
        <f t="shared" si="25"/>
        <v>3599.5681680000002</v>
      </c>
      <c r="U600">
        <v>2768.4674500000001</v>
      </c>
      <c r="X600" s="1">
        <v>1827</v>
      </c>
      <c r="Y600" s="2">
        <v>45011</v>
      </c>
      <c r="Z600" s="1" t="str">
        <v>South</v>
      </c>
      <c r="AA600" s="1" t="str">
        <v>Wheat</v>
      </c>
      <c r="AB600" s="1" t="str">
        <v>Groceries</v>
      </c>
      <c r="AC600" s="1">
        <v>3345.58</v>
      </c>
      <c r="AD600" s="1" t="str">
        <v>Billy Chavez</v>
      </c>
      <c r="AE600" s="1">
        <v>31224</v>
      </c>
      <c r="AF600" s="1">
        <v>45019</v>
      </c>
      <c r="AG600" s="1">
        <v>17.25</v>
      </c>
      <c r="AH600" s="1">
        <v>577.11254999999994</v>
      </c>
      <c r="AI600" s="1">
        <v>2768.4674500000001</v>
      </c>
    </row>
    <row r="601" spans="1:35" x14ac:dyDescent="0.35">
      <c r="A601" s="1">
        <v>1599</v>
      </c>
      <c r="B601" s="2">
        <v>45019</v>
      </c>
      <c r="C601" s="1" t="s">
        <v>35</v>
      </c>
      <c r="D601" s="1" t="s">
        <v>38</v>
      </c>
      <c r="E601" s="1" t="s">
        <v>28</v>
      </c>
      <c r="F601" s="1">
        <v>4965.5600000000004</v>
      </c>
      <c r="G601" s="1" t="s">
        <v>121</v>
      </c>
      <c r="H601" s="2">
        <v>24580</v>
      </c>
      <c r="I601" s="2">
        <v>45026</v>
      </c>
      <c r="J601" s="1">
        <v>27.76</v>
      </c>
      <c r="K601" s="1">
        <f t="shared" si="24"/>
        <v>1378.4394560000003</v>
      </c>
      <c r="L601" s="1">
        <f t="shared" si="25"/>
        <v>3587.1205440000003</v>
      </c>
      <c r="U601">
        <v>3053.2290359999997</v>
      </c>
      <c r="X601" s="1">
        <v>1828</v>
      </c>
      <c r="Y601" s="2">
        <v>44512</v>
      </c>
      <c r="Z601" s="1" t="str">
        <v>South</v>
      </c>
      <c r="AA601" s="1" t="str">
        <v>Camera</v>
      </c>
      <c r="AB601" s="1" t="str">
        <v>Electronics</v>
      </c>
      <c r="AC601" s="1">
        <v>4628.91</v>
      </c>
      <c r="AD601" s="1" t="str">
        <v>April Morgan</v>
      </c>
      <c r="AE601" s="1">
        <v>22870</v>
      </c>
      <c r="AF601" s="1">
        <v>44524</v>
      </c>
      <c r="AG601" s="1">
        <v>34.04</v>
      </c>
      <c r="AH601" s="1">
        <v>1575.6809639999999</v>
      </c>
      <c r="AI601" s="1">
        <v>3053.2290359999997</v>
      </c>
    </row>
    <row r="602" spans="1:35" x14ac:dyDescent="0.35">
      <c r="A602" s="1">
        <v>1600</v>
      </c>
      <c r="B602" s="2">
        <v>45120</v>
      </c>
      <c r="C602" s="1" t="s">
        <v>35</v>
      </c>
      <c r="D602" s="1" t="s">
        <v>61</v>
      </c>
      <c r="E602" s="1" t="s">
        <v>19</v>
      </c>
      <c r="F602" s="1">
        <v>4869.33</v>
      </c>
      <c r="G602" s="1" t="s">
        <v>230</v>
      </c>
      <c r="H602" s="2">
        <v>35642</v>
      </c>
      <c r="I602" s="2">
        <v>45125</v>
      </c>
      <c r="J602" s="1">
        <v>43.72</v>
      </c>
      <c r="K602" s="1">
        <f t="shared" si="24"/>
        <v>2128.8710759999999</v>
      </c>
      <c r="L602" s="1">
        <f t="shared" si="25"/>
        <v>2740.458924</v>
      </c>
      <c r="U602">
        <v>2185.7641060000001</v>
      </c>
      <c r="X602" s="1">
        <v>1829</v>
      </c>
      <c r="Y602" s="2">
        <v>44826</v>
      </c>
      <c r="Z602" s="1" t="str">
        <v>South</v>
      </c>
      <c r="AA602" s="1" t="str">
        <v>Oil</v>
      </c>
      <c r="AB602" s="1" t="str">
        <v>Groceries</v>
      </c>
      <c r="AC602" s="1">
        <v>2240.89</v>
      </c>
      <c r="AD602" s="1" t="str">
        <v>Ryan Hanson</v>
      </c>
      <c r="AE602" s="1">
        <v>25440</v>
      </c>
      <c r="AF602" s="1">
        <v>44836</v>
      </c>
      <c r="AG602" s="1">
        <v>2.46</v>
      </c>
      <c r="AH602" s="1">
        <v>55.125893999999995</v>
      </c>
      <c r="AI602" s="1">
        <v>2185.7641060000001</v>
      </c>
    </row>
    <row r="603" spans="1:35" x14ac:dyDescent="0.35">
      <c r="A603" s="1">
        <v>1601</v>
      </c>
      <c r="B603" s="2">
        <v>45387</v>
      </c>
      <c r="C603" s="1" t="s">
        <v>26</v>
      </c>
      <c r="D603" s="1" t="s">
        <v>33</v>
      </c>
      <c r="E603" s="1" t="s">
        <v>16</v>
      </c>
      <c r="F603" s="1">
        <v>4672.42</v>
      </c>
      <c r="G603" s="1" t="s">
        <v>255</v>
      </c>
      <c r="H603" s="2">
        <v>22646</v>
      </c>
      <c r="I603" s="2">
        <v>45391</v>
      </c>
      <c r="J603" s="1">
        <v>31.77</v>
      </c>
      <c r="K603" s="1">
        <f t="shared" si="24"/>
        <v>1484.4278339999998</v>
      </c>
      <c r="L603" s="1">
        <f t="shared" si="25"/>
        <v>3187.992166</v>
      </c>
      <c r="U603">
        <v>2117.5585500000002</v>
      </c>
      <c r="X603" s="1">
        <v>1830</v>
      </c>
      <c r="Y603" s="2">
        <v>44398</v>
      </c>
      <c r="Z603" s="1" t="str">
        <v>West</v>
      </c>
      <c r="AA603" s="1" t="str">
        <v>Chair</v>
      </c>
      <c r="AB603" s="1" t="str">
        <v>Furniture</v>
      </c>
      <c r="AC603" s="1">
        <v>2312.25</v>
      </c>
      <c r="AD603" s="1" t="str">
        <v>Karen Hernandez</v>
      </c>
      <c r="AE603" s="1">
        <v>30976</v>
      </c>
      <c r="AF603" s="1">
        <v>44408</v>
      </c>
      <c r="AG603" s="1">
        <v>8.42</v>
      </c>
      <c r="AH603" s="1">
        <v>194.69145</v>
      </c>
      <c r="AI603" s="1">
        <v>2117.5585500000002</v>
      </c>
    </row>
    <row r="604" spans="1:35" x14ac:dyDescent="0.35">
      <c r="A604" s="1">
        <v>1602</v>
      </c>
      <c r="B604" s="2">
        <v>45090</v>
      </c>
      <c r="C604" s="1" t="s">
        <v>21</v>
      </c>
      <c r="D604" s="1" t="s">
        <v>22</v>
      </c>
      <c r="E604" s="1" t="s">
        <v>19</v>
      </c>
      <c r="F604" s="1">
        <v>3353.57</v>
      </c>
      <c r="G604" s="1" t="s">
        <v>118</v>
      </c>
      <c r="H604" s="2">
        <v>22599</v>
      </c>
      <c r="I604" s="2">
        <v>45095</v>
      </c>
      <c r="J604" s="1">
        <v>37.700000000000003</v>
      </c>
      <c r="K604" s="1">
        <f t="shared" si="24"/>
        <v>1264.2958900000001</v>
      </c>
      <c r="L604" s="1">
        <f t="shared" si="25"/>
        <v>2089.2741100000003</v>
      </c>
      <c r="U604">
        <v>2079.79772</v>
      </c>
      <c r="X604" s="1">
        <v>1831</v>
      </c>
      <c r="Y604" s="2">
        <v>45459</v>
      </c>
      <c r="Z604" s="1" t="str">
        <v>North</v>
      </c>
      <c r="AA604" s="1" t="str">
        <v>Smartphone</v>
      </c>
      <c r="AB604" s="1" t="str">
        <v>Electronics</v>
      </c>
      <c r="AC604" s="1">
        <v>2924.35</v>
      </c>
      <c r="AD604" s="1" t="str">
        <v>Jackie Foster</v>
      </c>
      <c r="AE604" s="1">
        <v>22796</v>
      </c>
      <c r="AF604" s="1">
        <v>45466</v>
      </c>
      <c r="AG604" s="1">
        <v>28.88</v>
      </c>
      <c r="AH604" s="1">
        <v>844.55228</v>
      </c>
      <c r="AI604" s="1">
        <v>2079.79772</v>
      </c>
    </row>
    <row r="605" spans="1:35" x14ac:dyDescent="0.35">
      <c r="A605" s="1">
        <v>1603</v>
      </c>
      <c r="B605" s="2">
        <v>44250</v>
      </c>
      <c r="C605" s="1" t="s">
        <v>26</v>
      </c>
      <c r="D605" s="1" t="s">
        <v>27</v>
      </c>
      <c r="E605" s="1" t="s">
        <v>28</v>
      </c>
      <c r="F605" s="1">
        <v>3665.39</v>
      </c>
      <c r="G605" s="1" t="s">
        <v>103</v>
      </c>
      <c r="H605" s="2">
        <v>30923</v>
      </c>
      <c r="I605" s="2">
        <v>44254</v>
      </c>
      <c r="J605" s="1">
        <v>16.36</v>
      </c>
      <c r="K605" s="1">
        <f t="shared" si="24"/>
        <v>599.65780399999994</v>
      </c>
      <c r="L605" s="1">
        <f t="shared" si="25"/>
        <v>3065.7321959999999</v>
      </c>
      <c r="U605">
        <v>3712.5622560000002</v>
      </c>
      <c r="X605" s="1">
        <v>1833</v>
      </c>
      <c r="Y605" s="2">
        <v>45659</v>
      </c>
      <c r="Z605" s="1" t="str">
        <v>West</v>
      </c>
      <c r="AA605" s="1" t="str">
        <v>Cap</v>
      </c>
      <c r="AB605" s="1" t="str">
        <v>Clothing</v>
      </c>
      <c r="AC605" s="1">
        <v>4576.63</v>
      </c>
      <c r="AD605" s="1" t="str">
        <v>Andrea Mendez</v>
      </c>
      <c r="AE605" s="1">
        <v>36236</v>
      </c>
      <c r="AF605" s="1">
        <v>45671</v>
      </c>
      <c r="AG605" s="1">
        <v>18.88</v>
      </c>
      <c r="AH605" s="1">
        <v>864.06774399999995</v>
      </c>
      <c r="AI605" s="1">
        <v>3712.5622560000002</v>
      </c>
    </row>
    <row r="606" spans="1:35" x14ac:dyDescent="0.35">
      <c r="A606" s="1">
        <v>1604</v>
      </c>
      <c r="B606" s="2">
        <v>44827</v>
      </c>
      <c r="C606" s="1" t="s">
        <v>35</v>
      </c>
      <c r="D606" s="1" t="s">
        <v>18</v>
      </c>
      <c r="E606" s="1" t="s">
        <v>19</v>
      </c>
      <c r="F606" s="1">
        <v>3004.02</v>
      </c>
      <c r="G606" s="1" t="s">
        <v>290</v>
      </c>
      <c r="H606" s="2">
        <v>31764</v>
      </c>
      <c r="I606" s="2">
        <v>44835</v>
      </c>
      <c r="J606" s="1">
        <v>44.09</v>
      </c>
      <c r="K606" s="1">
        <f t="shared" si="24"/>
        <v>1324.4724180000001</v>
      </c>
      <c r="L606" s="1">
        <f t="shared" si="25"/>
        <v>1679.5475819999999</v>
      </c>
      <c r="U606">
        <v>4201.5915159999995</v>
      </c>
      <c r="X606" s="1">
        <v>1834</v>
      </c>
      <c r="Y606" s="2">
        <v>45874</v>
      </c>
      <c r="Z606" s="1" t="str">
        <v>East</v>
      </c>
      <c r="AA606" s="1" t="str">
        <v>Shoes</v>
      </c>
      <c r="AB606" s="1" t="str">
        <v>Sports</v>
      </c>
      <c r="AC606" s="1">
        <v>4328.8599999999997</v>
      </c>
      <c r="AD606" s="1" t="str">
        <v>Karen Hernandez</v>
      </c>
      <c r="AE606" s="1">
        <v>30976</v>
      </c>
      <c r="AF606" s="1">
        <v>45882</v>
      </c>
      <c r="AG606" s="1">
        <v>2.94</v>
      </c>
      <c r="AH606" s="1">
        <v>127.26848399999999</v>
      </c>
      <c r="AI606" s="1">
        <v>4201.5915159999995</v>
      </c>
    </row>
    <row r="607" spans="1:35" x14ac:dyDescent="0.35">
      <c r="A607" s="1">
        <v>1605</v>
      </c>
      <c r="B607" s="2">
        <v>45700</v>
      </c>
      <c r="C607" s="1" t="s">
        <v>10</v>
      </c>
      <c r="D607" s="1" t="s">
        <v>69</v>
      </c>
      <c r="E607" s="1" t="s">
        <v>31</v>
      </c>
      <c r="F607" s="1">
        <v>1214.72</v>
      </c>
      <c r="G607" s="1" t="s">
        <v>233</v>
      </c>
      <c r="H607" s="2">
        <v>38826</v>
      </c>
      <c r="I607" s="2">
        <v>45710</v>
      </c>
      <c r="J607" s="1">
        <v>5.04</v>
      </c>
      <c r="K607" s="1">
        <f t="shared" si="24"/>
        <v>61.221888</v>
      </c>
      <c r="L607" s="1">
        <f t="shared" si="25"/>
        <v>1153.498112</v>
      </c>
      <c r="U607">
        <v>2319.6173999999996</v>
      </c>
      <c r="X607" s="1">
        <v>1839</v>
      </c>
      <c r="Y607" s="2">
        <v>45605</v>
      </c>
      <c r="Z607" s="1" t="str">
        <v>South</v>
      </c>
      <c r="AA607" s="1" t="str">
        <v>Sofa</v>
      </c>
      <c r="AB607" s="1" t="str">
        <v>Furniture</v>
      </c>
      <c r="AC607" s="1">
        <v>2593.1999999999998</v>
      </c>
      <c r="AD607" s="1" t="str">
        <v>Nancy French</v>
      </c>
      <c r="AE607" s="1">
        <v>33192</v>
      </c>
      <c r="AF607" s="1">
        <v>45613</v>
      </c>
      <c r="AG607" s="1">
        <v>10.55</v>
      </c>
      <c r="AH607" s="1">
        <v>273.58260000000001</v>
      </c>
      <c r="AI607" s="1">
        <v>2319.6173999999996</v>
      </c>
    </row>
    <row r="608" spans="1:35" x14ac:dyDescent="0.35">
      <c r="A608" s="1">
        <v>1606</v>
      </c>
      <c r="B608" s="2">
        <v>45887</v>
      </c>
      <c r="C608" s="1" t="s">
        <v>35</v>
      </c>
      <c r="D608" s="1" t="s">
        <v>73</v>
      </c>
      <c r="E608" s="1" t="s">
        <v>28</v>
      </c>
      <c r="F608" s="1">
        <v>2043.99</v>
      </c>
      <c r="G608" s="1" t="s">
        <v>146</v>
      </c>
      <c r="H608" s="2">
        <v>24961</v>
      </c>
      <c r="I608" s="2">
        <v>45891</v>
      </c>
      <c r="J608" s="1">
        <v>4.74</v>
      </c>
      <c r="K608" s="1">
        <f t="shared" si="24"/>
        <v>96.885126000000014</v>
      </c>
      <c r="L608" s="1">
        <f t="shared" si="25"/>
        <v>1947.1048740000001</v>
      </c>
      <c r="U608">
        <v>2745.4816930000002</v>
      </c>
      <c r="X608" s="1">
        <v>1841</v>
      </c>
      <c r="Y608" s="2">
        <v>44368</v>
      </c>
      <c r="Z608" s="1" t="str">
        <v>Central</v>
      </c>
      <c r="AA608" s="1" t="str">
        <v>Table</v>
      </c>
      <c r="AB608" s="1" t="str">
        <v>Furniture</v>
      </c>
      <c r="AC608" s="1">
        <v>3523.01</v>
      </c>
      <c r="AD608" s="1" t="str">
        <v>Tracy Wood</v>
      </c>
      <c r="AE608" s="1">
        <v>23245</v>
      </c>
      <c r="AF608" s="1">
        <v>44379</v>
      </c>
      <c r="AG608" s="1">
        <v>22.07</v>
      </c>
      <c r="AH608" s="1">
        <v>777.52830700000004</v>
      </c>
      <c r="AI608" s="1">
        <v>2745.4816930000002</v>
      </c>
    </row>
    <row r="609" spans="1:35" x14ac:dyDescent="0.35">
      <c r="A609" s="1">
        <v>1607</v>
      </c>
      <c r="B609" s="2">
        <v>45642</v>
      </c>
      <c r="C609" s="1" t="s">
        <v>10</v>
      </c>
      <c r="D609" s="1" t="s">
        <v>44</v>
      </c>
      <c r="E609" s="1" t="s">
        <v>16</v>
      </c>
      <c r="F609" s="1">
        <v>3540.67</v>
      </c>
      <c r="G609" s="1" t="s">
        <v>29</v>
      </c>
      <c r="H609" s="2">
        <v>24033</v>
      </c>
      <c r="I609" s="2">
        <v>45652</v>
      </c>
      <c r="J609" s="1">
        <v>24.78</v>
      </c>
      <c r="K609" s="1">
        <f t="shared" si="24"/>
        <v>877.37802600000009</v>
      </c>
      <c r="L609" s="1">
        <f t="shared" si="25"/>
        <v>2663.2919739999998</v>
      </c>
      <c r="U609">
        <v>1562.295621</v>
      </c>
      <c r="X609" s="1">
        <v>1843</v>
      </c>
      <c r="Y609" s="2">
        <v>44543</v>
      </c>
      <c r="Z609" s="1" t="str">
        <v>South</v>
      </c>
      <c r="AA609" s="1" t="str">
        <v>Chair</v>
      </c>
      <c r="AB609" s="1" t="str">
        <v>Furniture</v>
      </c>
      <c r="AC609" s="1">
        <v>1622.49</v>
      </c>
      <c r="AD609" s="1" t="str">
        <v>Kurt Cabrera</v>
      </c>
      <c r="AE609" s="1">
        <v>28065</v>
      </c>
      <c r="AF609" s="1">
        <v>44547</v>
      </c>
      <c r="AG609" s="1">
        <v>3.71</v>
      </c>
      <c r="AH609" s="1">
        <v>60.194379000000005</v>
      </c>
      <c r="AI609" s="1">
        <v>1562.295621</v>
      </c>
    </row>
    <row r="610" spans="1:35" x14ac:dyDescent="0.35">
      <c r="A610" s="1">
        <v>1608</v>
      </c>
      <c r="B610" s="2">
        <v>45403</v>
      </c>
      <c r="C610" s="1" t="s">
        <v>21</v>
      </c>
      <c r="D610" s="1" t="s">
        <v>30</v>
      </c>
      <c r="E610" s="1" t="s">
        <v>31</v>
      </c>
      <c r="F610" s="1">
        <v>2213.81</v>
      </c>
      <c r="G610" s="1" t="s">
        <v>166</v>
      </c>
      <c r="H610" s="2">
        <v>27879</v>
      </c>
      <c r="I610" s="2">
        <v>45414</v>
      </c>
      <c r="J610" s="1">
        <v>27.09</v>
      </c>
      <c r="K610" s="1">
        <f t="shared" si="24"/>
        <v>599.72112899999991</v>
      </c>
      <c r="L610" s="1">
        <f t="shared" si="25"/>
        <v>1614.0888709999999</v>
      </c>
      <c r="U610">
        <v>1611.50028</v>
      </c>
      <c r="X610" s="1">
        <v>1844</v>
      </c>
      <c r="Y610" s="2">
        <v>44966</v>
      </c>
      <c r="Z610" s="1" t="str">
        <v>North</v>
      </c>
      <c r="AA610" s="1" t="str">
        <v>Sofa</v>
      </c>
      <c r="AB610" s="1" t="str">
        <v>Furniture</v>
      </c>
      <c r="AC610" s="1">
        <v>2212.08</v>
      </c>
      <c r="AD610" s="1" t="str">
        <v>Joseph Vaughan</v>
      </c>
      <c r="AE610" s="1">
        <v>24706</v>
      </c>
      <c r="AF610" s="1">
        <v>44970</v>
      </c>
      <c r="AG610" s="1">
        <v>27.15</v>
      </c>
      <c r="AH610" s="1">
        <v>600.57971999999995</v>
      </c>
      <c r="AI610" s="1">
        <v>1611.50028</v>
      </c>
    </row>
    <row r="611" spans="1:35" x14ac:dyDescent="0.35">
      <c r="A611" s="1">
        <v>1609</v>
      </c>
      <c r="B611" s="2">
        <v>45381</v>
      </c>
      <c r="C611" s="1" t="s">
        <v>14</v>
      </c>
      <c r="D611" s="1" t="s">
        <v>53</v>
      </c>
      <c r="E611" s="1" t="s">
        <v>28</v>
      </c>
      <c r="F611" s="1">
        <v>4495.8500000000004</v>
      </c>
      <c r="G611" s="1" t="s">
        <v>300</v>
      </c>
      <c r="H611" s="2">
        <v>24322</v>
      </c>
      <c r="I611" s="2">
        <v>45384</v>
      </c>
      <c r="J611" s="1">
        <v>20.09</v>
      </c>
      <c r="K611" s="1">
        <f t="shared" si="24"/>
        <v>903.21626500000002</v>
      </c>
      <c r="L611" s="1">
        <f t="shared" si="25"/>
        <v>3592.6337350000003</v>
      </c>
      <c r="U611">
        <v>3739.8843200000001</v>
      </c>
      <c r="X611" s="1">
        <v>1845</v>
      </c>
      <c r="Y611" s="2">
        <v>45409</v>
      </c>
      <c r="Z611" s="1" t="str">
        <v>North</v>
      </c>
      <c r="AA611" s="1" t="str">
        <v>Headphones</v>
      </c>
      <c r="AB611" s="1" t="str">
        <v>Electronics</v>
      </c>
      <c r="AC611" s="1">
        <v>3809.6</v>
      </c>
      <c r="AD611" s="1" t="str">
        <v>Donald Harris</v>
      </c>
      <c r="AE611" s="1">
        <v>23920</v>
      </c>
      <c r="AF611" s="1">
        <v>45414</v>
      </c>
      <c r="AG611" s="1">
        <v>1.83</v>
      </c>
      <c r="AH611" s="1">
        <v>69.715680000000006</v>
      </c>
      <c r="AI611" s="1">
        <v>3739.8843200000001</v>
      </c>
    </row>
    <row r="612" spans="1:35" x14ac:dyDescent="0.35">
      <c r="A612" s="1">
        <v>1610</v>
      </c>
      <c r="B612" s="2">
        <v>45786</v>
      </c>
      <c r="C612" s="1" t="s">
        <v>14</v>
      </c>
      <c r="D612" s="1" t="s">
        <v>73</v>
      </c>
      <c r="E612" s="1" t="s">
        <v>28</v>
      </c>
      <c r="F612" s="1">
        <v>1801.24</v>
      </c>
      <c r="G612" s="1" t="s">
        <v>190</v>
      </c>
      <c r="H612" s="2">
        <v>33354</v>
      </c>
      <c r="I612" s="2">
        <v>45796</v>
      </c>
      <c r="J612" s="1">
        <v>41.81</v>
      </c>
      <c r="K612" s="1">
        <f t="shared" si="24"/>
        <v>753.09844400000009</v>
      </c>
      <c r="L612" s="1">
        <f t="shared" si="25"/>
        <v>1048.141556</v>
      </c>
      <c r="U612">
        <v>2460.1724249999997</v>
      </c>
      <c r="X612" s="1">
        <v>1846</v>
      </c>
      <c r="Y612" s="2">
        <v>44952</v>
      </c>
      <c r="Z612" s="1" t="str">
        <v>West</v>
      </c>
      <c r="AA612" s="1" t="str">
        <v>Jeans</v>
      </c>
      <c r="AB612" s="1" t="str">
        <v>Clothing</v>
      </c>
      <c r="AC612" s="1">
        <v>3256.35</v>
      </c>
      <c r="AD612" s="1" t="str">
        <v>Justin Martinez</v>
      </c>
      <c r="AE612" s="1">
        <v>28555</v>
      </c>
      <c r="AF612" s="1">
        <v>44958</v>
      </c>
      <c r="AG612" s="1">
        <v>24.45</v>
      </c>
      <c r="AH612" s="1">
        <v>796.17757499999993</v>
      </c>
      <c r="AI612" s="1">
        <v>2460.1724249999997</v>
      </c>
    </row>
    <row r="613" spans="1:35" x14ac:dyDescent="0.35">
      <c r="A613" s="1">
        <v>1611</v>
      </c>
      <c r="B613" s="2">
        <v>44397</v>
      </c>
      <c r="C613" s="1" t="s">
        <v>21</v>
      </c>
      <c r="D613" s="1" t="s">
        <v>11</v>
      </c>
      <c r="E613" s="1" t="s">
        <v>12</v>
      </c>
      <c r="F613" s="1">
        <v>2961.27</v>
      </c>
      <c r="G613" s="1" t="s">
        <v>279</v>
      </c>
      <c r="H613" s="2">
        <v>38934</v>
      </c>
      <c r="I613" s="2">
        <v>44399</v>
      </c>
      <c r="J613" s="1">
        <v>0.68</v>
      </c>
      <c r="K613" s="1">
        <f t="shared" si="24"/>
        <v>20.136636000000003</v>
      </c>
      <c r="L613" s="1">
        <f t="shared" si="25"/>
        <v>2941.1333639999998</v>
      </c>
      <c r="U613">
        <v>1664.506069</v>
      </c>
      <c r="X613" s="1">
        <v>1847</v>
      </c>
      <c r="Y613" s="2">
        <v>44849</v>
      </c>
      <c r="Z613" s="1" t="str">
        <v>South</v>
      </c>
      <c r="AA613" s="1" t="str">
        <v>Oil</v>
      </c>
      <c r="AB613" s="1" t="str">
        <v>Groceries</v>
      </c>
      <c r="AC613" s="1">
        <v>2688.59</v>
      </c>
      <c r="AD613" s="1" t="str">
        <v>Matthew Stone</v>
      </c>
      <c r="AE613" s="1">
        <v>34871</v>
      </c>
      <c r="AF613" s="1">
        <v>44861</v>
      </c>
      <c r="AG613" s="1">
        <v>38.090000000000003</v>
      </c>
      <c r="AH613" s="1">
        <v>1024.0839310000001</v>
      </c>
      <c r="AI613" s="1">
        <v>1664.506069</v>
      </c>
    </row>
    <row r="614" spans="1:35" x14ac:dyDescent="0.35">
      <c r="A614" s="1">
        <v>1612</v>
      </c>
      <c r="B614" s="2">
        <v>45577</v>
      </c>
      <c r="C614" s="1" t="s">
        <v>10</v>
      </c>
      <c r="D614" s="1" t="s">
        <v>44</v>
      </c>
      <c r="E614" s="1" t="s">
        <v>16</v>
      </c>
      <c r="F614" s="1">
        <v>4247.75</v>
      </c>
      <c r="G614" s="1" t="s">
        <v>218</v>
      </c>
      <c r="H614" s="2">
        <v>29792</v>
      </c>
      <c r="I614" s="2">
        <v>45584</v>
      </c>
      <c r="J614" s="1">
        <v>5.75</v>
      </c>
      <c r="K614" s="1">
        <f t="shared" si="24"/>
        <v>244.24562500000002</v>
      </c>
      <c r="L614" s="1">
        <f t="shared" si="25"/>
        <v>4003.504375</v>
      </c>
      <c r="U614">
        <v>3310.2482</v>
      </c>
      <c r="X614" s="1">
        <v>1848</v>
      </c>
      <c r="Y614" s="2">
        <v>44156</v>
      </c>
      <c r="Z614" s="1" t="str">
        <v>South</v>
      </c>
      <c r="AA614" s="1" t="str">
        <v>Tablet</v>
      </c>
      <c r="AB614" s="1" t="str">
        <v>Electronics</v>
      </c>
      <c r="AC614" s="1">
        <v>3719.38</v>
      </c>
      <c r="AD614" s="1" t="str">
        <v>Brian Carson</v>
      </c>
      <c r="AE614" s="1">
        <v>30232</v>
      </c>
      <c r="AF614" s="1">
        <v>44169</v>
      </c>
      <c r="AG614" s="1">
        <v>11</v>
      </c>
      <c r="AH614" s="1">
        <v>409.1318</v>
      </c>
      <c r="AI614" s="1">
        <v>3310.2482</v>
      </c>
    </row>
    <row r="615" spans="1:35" x14ac:dyDescent="0.35">
      <c r="A615" s="1">
        <v>1613</v>
      </c>
      <c r="B615" s="2">
        <v>44391</v>
      </c>
      <c r="C615" s="1" t="s">
        <v>10</v>
      </c>
      <c r="D615" s="1" t="s">
        <v>33</v>
      </c>
      <c r="E615" s="1" t="s">
        <v>16</v>
      </c>
      <c r="F615" s="1">
        <v>1981.39</v>
      </c>
      <c r="G615" s="1" t="s">
        <v>45</v>
      </c>
      <c r="H615" s="2">
        <v>34367</v>
      </c>
      <c r="I615" s="2">
        <v>44402</v>
      </c>
      <c r="J615" s="1">
        <v>38.67</v>
      </c>
      <c r="K615" s="1">
        <f t="shared" si="24"/>
        <v>766.20351300000016</v>
      </c>
      <c r="L615" s="1">
        <f t="shared" si="25"/>
        <v>1215.1864869999999</v>
      </c>
      <c r="U615">
        <v>3585.890504</v>
      </c>
      <c r="X615" s="1">
        <v>1849</v>
      </c>
      <c r="Y615" s="2">
        <v>45543</v>
      </c>
      <c r="Z615" s="1" t="str">
        <v>East</v>
      </c>
      <c r="AA615" s="1" t="str">
        <v>Sofa</v>
      </c>
      <c r="AB615" s="1" t="str">
        <v>Furniture</v>
      </c>
      <c r="AC615" s="1">
        <v>3753.68</v>
      </c>
      <c r="AD615" s="1" t="str">
        <v>Daniel Cabrera</v>
      </c>
      <c r="AE615" s="1">
        <v>24033</v>
      </c>
      <c r="AF615" s="1">
        <v>45548</v>
      </c>
      <c r="AG615" s="1">
        <v>4.47</v>
      </c>
      <c r="AH615" s="1">
        <v>167.78949599999999</v>
      </c>
      <c r="AI615" s="1">
        <v>3585.890504</v>
      </c>
    </row>
    <row r="616" spans="1:35" x14ac:dyDescent="0.35">
      <c r="A616" s="1">
        <v>1614</v>
      </c>
      <c r="B616" s="2">
        <v>45413</v>
      </c>
      <c r="C616" s="1" t="s">
        <v>26</v>
      </c>
      <c r="D616" s="1" t="s">
        <v>71</v>
      </c>
      <c r="E616" s="1" t="s">
        <v>31</v>
      </c>
      <c r="F616" s="1">
        <v>747.04</v>
      </c>
      <c r="G616" s="1" t="s">
        <v>274</v>
      </c>
      <c r="H616" s="2">
        <v>34557</v>
      </c>
      <c r="I616" s="2">
        <v>45415</v>
      </c>
      <c r="J616" s="1">
        <v>8.34</v>
      </c>
      <c r="K616" s="1">
        <f t="shared" si="24"/>
        <v>62.303135999999995</v>
      </c>
      <c r="L616" s="1">
        <f t="shared" si="25"/>
        <v>684.73686399999997</v>
      </c>
      <c r="U616">
        <v>2037.28</v>
      </c>
      <c r="X616" s="1">
        <v>1850</v>
      </c>
      <c r="Y616" s="2">
        <v>44377</v>
      </c>
      <c r="Z616" s="1" t="str">
        <v>West</v>
      </c>
      <c r="AA616" s="1" t="str">
        <v>Cap</v>
      </c>
      <c r="AB616" s="1" t="str">
        <v>Clothing</v>
      </c>
      <c r="AC616" s="1">
        <v>2546.6</v>
      </c>
      <c r="AD616" s="1" t="str">
        <v>Robert Simon</v>
      </c>
      <c r="AE616" s="1">
        <v>28675</v>
      </c>
      <c r="AF616" s="1">
        <v>44389</v>
      </c>
      <c r="AG616" s="1">
        <v>20</v>
      </c>
      <c r="AH616" s="1">
        <v>509.32</v>
      </c>
      <c r="AI616" s="1">
        <v>2037.28</v>
      </c>
    </row>
    <row r="617" spans="1:35" x14ac:dyDescent="0.35">
      <c r="A617" s="1">
        <v>1615</v>
      </c>
      <c r="B617" s="2">
        <v>44232</v>
      </c>
      <c r="C617" s="1" t="s">
        <v>21</v>
      </c>
      <c r="D617" s="1" t="s">
        <v>22</v>
      </c>
      <c r="E617" s="1" t="s">
        <v>19</v>
      </c>
      <c r="F617" s="1">
        <v>4743.6499999999996</v>
      </c>
      <c r="G617" s="1" t="s">
        <v>62</v>
      </c>
      <c r="H617" s="2">
        <v>22870</v>
      </c>
      <c r="I617" s="2">
        <v>44246</v>
      </c>
      <c r="J617" s="1">
        <v>6.24</v>
      </c>
      <c r="K617" s="1">
        <f t="shared" si="24"/>
        <v>296.00376</v>
      </c>
      <c r="L617" s="1">
        <f t="shared" si="25"/>
        <v>4447.64624</v>
      </c>
      <c r="U617">
        <v>1513.7212050000001</v>
      </c>
      <c r="X617" s="1">
        <v>1851</v>
      </c>
      <c r="Y617" s="2">
        <v>44300</v>
      </c>
      <c r="Z617" s="1" t="str">
        <v>West</v>
      </c>
      <c r="AA617" s="1" t="str">
        <v>Bed</v>
      </c>
      <c r="AB617" s="1" t="str">
        <v>Furniture</v>
      </c>
      <c r="AC617" s="1">
        <v>2154.15</v>
      </c>
      <c r="AD617" s="1" t="str">
        <v>Charles Delgado</v>
      </c>
      <c r="AE617" s="1">
        <v>29486</v>
      </c>
      <c r="AF617" s="1">
        <v>44302</v>
      </c>
      <c r="AG617" s="1">
        <v>29.73</v>
      </c>
      <c r="AH617" s="1">
        <v>640.42879500000004</v>
      </c>
      <c r="AI617" s="1">
        <v>1513.7212050000001</v>
      </c>
    </row>
    <row r="618" spans="1:35" x14ac:dyDescent="0.35">
      <c r="A618" s="1">
        <v>1616</v>
      </c>
      <c r="B618" s="2">
        <v>44472</v>
      </c>
      <c r="C618" s="1" t="s">
        <v>35</v>
      </c>
      <c r="D618" s="1" t="s">
        <v>61</v>
      </c>
      <c r="E618" s="1" t="s">
        <v>19</v>
      </c>
      <c r="F618" s="1">
        <v>4597.1000000000004</v>
      </c>
      <c r="G618" s="1" t="s">
        <v>301</v>
      </c>
      <c r="H618" s="2">
        <v>31775</v>
      </c>
      <c r="I618" s="2">
        <v>44482</v>
      </c>
      <c r="J618" s="1">
        <v>13.79</v>
      </c>
      <c r="K618" s="1">
        <f t="shared" si="24"/>
        <v>633.94009000000005</v>
      </c>
      <c r="L618" s="1">
        <f t="shared" si="25"/>
        <v>3963.1599100000003</v>
      </c>
      <c r="U618">
        <v>1417.4944620000001</v>
      </c>
      <c r="X618" s="1">
        <v>1852</v>
      </c>
      <c r="Y618" s="2">
        <v>45095</v>
      </c>
      <c r="Z618" s="1" t="str">
        <v>East</v>
      </c>
      <c r="AA618" s="1" t="str">
        <v>Jacket</v>
      </c>
      <c r="AB618" s="1" t="str">
        <v>Clothing</v>
      </c>
      <c r="AC618" s="1">
        <v>2704.11</v>
      </c>
      <c r="AD618" s="1" t="str">
        <v>Olivia Griffin</v>
      </c>
      <c r="AE618" s="1">
        <v>29040</v>
      </c>
      <c r="AF618" s="1">
        <v>45105</v>
      </c>
      <c r="AG618" s="1">
        <v>47.58</v>
      </c>
      <c r="AH618" s="1">
        <v>1286.615538</v>
      </c>
      <c r="AI618" s="1">
        <v>1417.4944620000001</v>
      </c>
    </row>
    <row r="619" spans="1:35" x14ac:dyDescent="0.35">
      <c r="A619" s="1">
        <v>1617</v>
      </c>
      <c r="B619" s="2">
        <v>44533</v>
      </c>
      <c r="C619" s="1" t="s">
        <v>21</v>
      </c>
      <c r="D619" s="1" t="s">
        <v>71</v>
      </c>
      <c r="E619" s="1" t="s">
        <v>31</v>
      </c>
      <c r="F619" s="1">
        <v>3648.56</v>
      </c>
      <c r="G619" s="1" t="s">
        <v>236</v>
      </c>
      <c r="H619" s="2">
        <v>36099</v>
      </c>
      <c r="I619" s="2">
        <v>44539</v>
      </c>
      <c r="J619" s="1">
        <v>26.36</v>
      </c>
      <c r="K619" s="1">
        <f t="shared" si="24"/>
        <v>961.76041599999996</v>
      </c>
      <c r="L619" s="1">
        <f t="shared" si="25"/>
        <v>2686.7995839999999</v>
      </c>
      <c r="U619">
        <v>3832.0040849999996</v>
      </c>
      <c r="X619" s="1">
        <v>1853</v>
      </c>
      <c r="Y619" s="2">
        <v>45761</v>
      </c>
      <c r="Z619" s="1" t="str">
        <v>East</v>
      </c>
      <c r="AA619" s="1" t="str">
        <v>Wheat</v>
      </c>
      <c r="AB619" s="1" t="str">
        <v>Groceries</v>
      </c>
      <c r="AC619" s="1">
        <v>4847.57</v>
      </c>
      <c r="AD619" s="1" t="str">
        <v>Amy Harris</v>
      </c>
      <c r="AE619" s="1">
        <v>26668</v>
      </c>
      <c r="AF619" s="1">
        <v>45774</v>
      </c>
      <c r="AG619" s="1">
        <v>20.95</v>
      </c>
      <c r="AH619" s="1">
        <v>1015.5659149999999</v>
      </c>
      <c r="AI619" s="1">
        <v>3832.0040849999996</v>
      </c>
    </row>
    <row r="620" spans="1:35" x14ac:dyDescent="0.35">
      <c r="A620" s="1">
        <v>1618</v>
      </c>
      <c r="B620" s="2">
        <v>44117</v>
      </c>
      <c r="C620" s="1" t="s">
        <v>26</v>
      </c>
      <c r="D620" s="1" t="s">
        <v>49</v>
      </c>
      <c r="E620" s="1" t="s">
        <v>12</v>
      </c>
      <c r="F620" s="1">
        <v>2586.81</v>
      </c>
      <c r="G620" s="1" t="s">
        <v>270</v>
      </c>
      <c r="H620" s="2">
        <v>23245</v>
      </c>
      <c r="I620" s="2">
        <v>44122</v>
      </c>
      <c r="J620" s="1">
        <v>38.119999999999997</v>
      </c>
      <c r="K620" s="1">
        <f t="shared" si="24"/>
        <v>986.09197199999994</v>
      </c>
      <c r="L620" s="1">
        <f t="shared" si="25"/>
        <v>1600.718028</v>
      </c>
      <c r="U620">
        <v>3366.2939500000002</v>
      </c>
      <c r="X620" s="1">
        <v>1855</v>
      </c>
      <c r="Y620" s="2">
        <v>45325</v>
      </c>
      <c r="Z620" s="1" t="str">
        <v>South</v>
      </c>
      <c r="AA620" s="1" t="str">
        <v>Rice</v>
      </c>
      <c r="AB620" s="1" t="str">
        <v>Groceries</v>
      </c>
      <c r="AC620" s="1">
        <v>3383.21</v>
      </c>
      <c r="AD620" s="1" t="str">
        <v>Troy Kelley</v>
      </c>
      <c r="AE620" s="1">
        <v>29348</v>
      </c>
      <c r="AF620" s="1">
        <v>45339</v>
      </c>
      <c r="AG620" s="1">
        <v>0.5</v>
      </c>
      <c r="AH620" s="1">
        <v>16.916050000000002</v>
      </c>
      <c r="AI620" s="1">
        <v>3366.2939500000002</v>
      </c>
    </row>
    <row r="621" spans="1:35" x14ac:dyDescent="0.35">
      <c r="A621" s="1">
        <v>1619</v>
      </c>
      <c r="B621" s="2">
        <v>44190</v>
      </c>
      <c r="C621" s="1" t="s">
        <v>26</v>
      </c>
      <c r="D621" s="1" t="s">
        <v>61</v>
      </c>
      <c r="E621" s="1" t="s">
        <v>19</v>
      </c>
      <c r="F621" s="1">
        <v>3181.4</v>
      </c>
      <c r="G621" s="1" t="s">
        <v>257</v>
      </c>
      <c r="H621" s="2">
        <v>31685</v>
      </c>
      <c r="I621" s="2">
        <v>44198</v>
      </c>
      <c r="J621" s="1">
        <v>46.85</v>
      </c>
      <c r="K621" s="1">
        <f t="shared" si="24"/>
        <v>1490.4859000000001</v>
      </c>
      <c r="L621" s="1">
        <f t="shared" si="25"/>
        <v>1690.9141</v>
      </c>
      <c r="U621">
        <v>2078.6591210000001</v>
      </c>
      <c r="X621" s="1">
        <v>1856</v>
      </c>
      <c r="Y621" s="2">
        <v>45470</v>
      </c>
      <c r="Z621" s="1" t="str">
        <v>South</v>
      </c>
      <c r="AA621" s="1" t="str">
        <v>Cricket Bat</v>
      </c>
      <c r="AB621" s="1" t="str">
        <v>Sports</v>
      </c>
      <c r="AC621" s="1">
        <v>2564.0300000000002</v>
      </c>
      <c r="AD621" s="1" t="str">
        <v>Gabriel Watson</v>
      </c>
      <c r="AE621" s="1">
        <v>34427</v>
      </c>
      <c r="AF621" s="1">
        <v>45472</v>
      </c>
      <c r="AG621" s="1">
        <v>18.93</v>
      </c>
      <c r="AH621" s="1">
        <v>485.370879</v>
      </c>
      <c r="AI621" s="1">
        <v>2078.6591210000001</v>
      </c>
    </row>
    <row r="622" spans="1:35" x14ac:dyDescent="0.35">
      <c r="A622" s="1">
        <v>1620</v>
      </c>
      <c r="B622" s="2">
        <v>44638</v>
      </c>
      <c r="C622" s="1" t="s">
        <v>35</v>
      </c>
      <c r="D622" s="1" t="s">
        <v>44</v>
      </c>
      <c r="E622" s="1" t="s">
        <v>16</v>
      </c>
      <c r="F622" s="1">
        <v>4939.3</v>
      </c>
      <c r="G622" s="1" t="s">
        <v>25</v>
      </c>
      <c r="H622" s="2">
        <v>33386</v>
      </c>
      <c r="I622" s="2">
        <v>44650</v>
      </c>
      <c r="J622" s="1">
        <v>46.46</v>
      </c>
      <c r="K622" s="1">
        <f t="shared" si="24"/>
        <v>2294.7987800000001</v>
      </c>
      <c r="L622" s="1">
        <f t="shared" si="25"/>
        <v>2644.5012200000001</v>
      </c>
      <c r="U622">
        <v>1115.1022600000001</v>
      </c>
      <c r="X622" s="1">
        <v>1858</v>
      </c>
      <c r="Y622" s="2">
        <v>44074</v>
      </c>
      <c r="Z622" s="1" t="str">
        <v>East</v>
      </c>
      <c r="AA622" s="1" t="str">
        <v>Tennis Racket</v>
      </c>
      <c r="AB622" s="1" t="str">
        <v>Sports</v>
      </c>
      <c r="AC622" s="1">
        <v>1614.92</v>
      </c>
      <c r="AD622" s="1" t="str">
        <v>Kevin Miller</v>
      </c>
      <c r="AE622" s="1">
        <v>30321</v>
      </c>
      <c r="AF622" s="1">
        <v>44087</v>
      </c>
      <c r="AG622" s="1">
        <v>30.95</v>
      </c>
      <c r="AH622" s="1">
        <v>499.81774000000001</v>
      </c>
      <c r="AI622" s="1">
        <v>1115.1022600000001</v>
      </c>
    </row>
    <row r="623" spans="1:35" x14ac:dyDescent="0.35">
      <c r="A623" s="1">
        <v>1621</v>
      </c>
      <c r="B623" s="2">
        <v>45283</v>
      </c>
      <c r="C623" s="1" t="s">
        <v>21</v>
      </c>
      <c r="D623" s="1" t="s">
        <v>22</v>
      </c>
      <c r="E623" s="1" t="s">
        <v>19</v>
      </c>
      <c r="F623" s="1">
        <v>3704.72</v>
      </c>
      <c r="G623" s="1" t="s">
        <v>25</v>
      </c>
      <c r="H623" s="2">
        <v>33386</v>
      </c>
      <c r="I623" s="2">
        <v>45285</v>
      </c>
      <c r="J623" s="1">
        <v>15.38</v>
      </c>
      <c r="K623" s="1">
        <f t="shared" si="24"/>
        <v>569.78593599999999</v>
      </c>
      <c r="L623" s="1">
        <f t="shared" si="25"/>
        <v>3134.934064</v>
      </c>
      <c r="U623">
        <v>2696.7469209999999</v>
      </c>
      <c r="X623" s="1">
        <v>1859</v>
      </c>
      <c r="Y623" s="2">
        <v>45255</v>
      </c>
      <c r="Z623" s="1" t="str">
        <v>South</v>
      </c>
      <c r="AA623" s="1" t="str">
        <v>Jeans</v>
      </c>
      <c r="AB623" s="1" t="str">
        <v>Clothing</v>
      </c>
      <c r="AC623" s="1">
        <v>3361.27</v>
      </c>
      <c r="AD623" s="1" t="str">
        <v>Christopher Harris</v>
      </c>
      <c r="AE623" s="1">
        <v>24792</v>
      </c>
      <c r="AF623" s="1">
        <v>45261</v>
      </c>
      <c r="AG623" s="1">
        <v>19.77</v>
      </c>
      <c r="AH623" s="1">
        <v>664.52307899999994</v>
      </c>
      <c r="AI623" s="1">
        <v>2696.7469209999999</v>
      </c>
    </row>
    <row r="624" spans="1:35" x14ac:dyDescent="0.35">
      <c r="A624" s="1">
        <v>1622</v>
      </c>
      <c r="B624" s="2">
        <v>45784</v>
      </c>
      <c r="C624" s="1" t="s">
        <v>21</v>
      </c>
      <c r="D624" s="1" t="s">
        <v>69</v>
      </c>
      <c r="E624" s="1" t="s">
        <v>31</v>
      </c>
      <c r="F624" s="1">
        <v>2113.2199999999998</v>
      </c>
      <c r="G624" s="1" t="s">
        <v>134</v>
      </c>
      <c r="H624" s="2">
        <v>30299</v>
      </c>
      <c r="I624" s="2">
        <v>45789</v>
      </c>
      <c r="J624" s="1">
        <v>47.05</v>
      </c>
      <c r="K624" s="1">
        <f t="shared" si="24"/>
        <v>994.27000999999984</v>
      </c>
      <c r="L624" s="1">
        <f t="shared" si="25"/>
        <v>1118.9499900000001</v>
      </c>
      <c r="U624">
        <v>2874.6890279999998</v>
      </c>
      <c r="X624" s="1">
        <v>1860</v>
      </c>
      <c r="Y624" s="2">
        <v>44742</v>
      </c>
      <c r="Z624" s="1" t="str">
        <v>West</v>
      </c>
      <c r="AA624" s="1" t="str">
        <v>Wardrobe</v>
      </c>
      <c r="AB624" s="1" t="str">
        <v>Furniture</v>
      </c>
      <c r="AC624" s="1">
        <v>4381.4799999999996</v>
      </c>
      <c r="AD624" s="1" t="str">
        <v>Danielle Perry</v>
      </c>
      <c r="AE624" s="1">
        <v>37674</v>
      </c>
      <c r="AF624" s="1">
        <v>44747</v>
      </c>
      <c r="AG624" s="1">
        <v>34.39</v>
      </c>
      <c r="AH624" s="1">
        <v>1506.7909719999998</v>
      </c>
      <c r="AI624" s="1">
        <v>2874.6890279999998</v>
      </c>
    </row>
    <row r="625" spans="1:35" x14ac:dyDescent="0.35">
      <c r="A625" s="1">
        <v>1623</v>
      </c>
      <c r="B625" s="2">
        <v>44110</v>
      </c>
      <c r="C625" s="1" t="s">
        <v>26</v>
      </c>
      <c r="D625" s="1" t="s">
        <v>33</v>
      </c>
      <c r="E625" s="1" t="s">
        <v>16</v>
      </c>
      <c r="F625" s="1">
        <v>3514.62</v>
      </c>
      <c r="G625" s="1" t="s">
        <v>233</v>
      </c>
      <c r="H625" s="2">
        <v>38826</v>
      </c>
      <c r="I625" s="2">
        <v>44121</v>
      </c>
      <c r="J625" s="1">
        <v>30.34</v>
      </c>
      <c r="K625" s="1">
        <f t="shared" si="24"/>
        <v>1066.3357080000001</v>
      </c>
      <c r="L625" s="1">
        <f t="shared" si="25"/>
        <v>2448.2842919999998</v>
      </c>
      <c r="U625">
        <v>3888.860475</v>
      </c>
      <c r="X625" s="1">
        <v>1862</v>
      </c>
      <c r="Y625" s="2">
        <v>45341</v>
      </c>
      <c r="Z625" s="1" t="str">
        <v>Central</v>
      </c>
      <c r="AA625" s="1" t="str">
        <v>Jeans</v>
      </c>
      <c r="AB625" s="1" t="str">
        <v>Clothing</v>
      </c>
      <c r="AC625" s="1">
        <v>4132.25</v>
      </c>
      <c r="AD625" s="1" t="str">
        <v>Whitney Herring</v>
      </c>
      <c r="AE625" s="1">
        <v>29938</v>
      </c>
      <c r="AF625" s="1">
        <v>45351</v>
      </c>
      <c r="AG625" s="1">
        <v>5.89</v>
      </c>
      <c r="AH625" s="1">
        <v>243.38952499999996</v>
      </c>
      <c r="AI625" s="1">
        <v>3888.860475</v>
      </c>
    </row>
    <row r="626" spans="1:35" x14ac:dyDescent="0.35">
      <c r="A626" s="1">
        <v>1624</v>
      </c>
      <c r="B626" s="2">
        <v>44248</v>
      </c>
      <c r="C626" s="1" t="s">
        <v>26</v>
      </c>
      <c r="D626" s="1" t="s">
        <v>69</v>
      </c>
      <c r="E626" s="1" t="s">
        <v>31</v>
      </c>
      <c r="F626" s="1">
        <v>628.28</v>
      </c>
      <c r="G626" s="1" t="s">
        <v>67</v>
      </c>
      <c r="H626" s="2">
        <v>34016</v>
      </c>
      <c r="I626" s="2">
        <v>44251</v>
      </c>
      <c r="J626" s="1">
        <v>48.63</v>
      </c>
      <c r="K626" s="1">
        <f t="shared" si="24"/>
        <v>305.53256399999998</v>
      </c>
      <c r="L626" s="1">
        <f t="shared" si="25"/>
        <v>322.74743599999999</v>
      </c>
      <c r="U626">
        <v>1467.84528</v>
      </c>
      <c r="X626" s="1">
        <v>1863</v>
      </c>
      <c r="Y626" s="2">
        <v>45165</v>
      </c>
      <c r="Z626" s="1" t="str">
        <v>South</v>
      </c>
      <c r="AA626" s="1" t="str">
        <v>Camera</v>
      </c>
      <c r="AB626" s="1" t="str">
        <v>Electronics</v>
      </c>
      <c r="AC626" s="1">
        <v>2580.6</v>
      </c>
      <c r="AD626" s="1" t="str">
        <v>Sierra Elliott</v>
      </c>
      <c r="AE626" s="1">
        <v>29720</v>
      </c>
      <c r="AF626" s="1">
        <v>45166</v>
      </c>
      <c r="AG626" s="1">
        <v>43.12</v>
      </c>
      <c r="AH626" s="1">
        <v>1112.7547199999999</v>
      </c>
      <c r="AI626" s="1">
        <v>1467.84528</v>
      </c>
    </row>
    <row r="627" spans="1:35" x14ac:dyDescent="0.35">
      <c r="A627" s="1">
        <v>1625</v>
      </c>
      <c r="B627" s="2">
        <v>45113</v>
      </c>
      <c r="C627" s="1" t="s">
        <v>14</v>
      </c>
      <c r="D627" s="1" t="s">
        <v>61</v>
      </c>
      <c r="E627" s="1" t="s">
        <v>19</v>
      </c>
      <c r="F627" s="1">
        <v>4914.7</v>
      </c>
      <c r="G627" s="1" t="s">
        <v>141</v>
      </c>
      <c r="H627" s="2">
        <v>35559</v>
      </c>
      <c r="I627" s="2">
        <v>45127</v>
      </c>
      <c r="J627" s="1">
        <v>31.73</v>
      </c>
      <c r="K627" s="1">
        <f t="shared" si="24"/>
        <v>1559.4343100000001</v>
      </c>
      <c r="L627" s="1">
        <f t="shared" si="25"/>
        <v>3355.2656899999997</v>
      </c>
      <c r="U627">
        <v>3339.1065779999999</v>
      </c>
      <c r="X627" s="1">
        <v>1864</v>
      </c>
      <c r="Y627" s="2">
        <v>44130</v>
      </c>
      <c r="Z627" s="1" t="str">
        <v>Central</v>
      </c>
      <c r="AA627" s="1" t="str">
        <v>T-Shirt</v>
      </c>
      <c r="AB627" s="1" t="str">
        <v>Clothing</v>
      </c>
      <c r="AC627" s="1">
        <v>3797.46</v>
      </c>
      <c r="AD627" s="1" t="str">
        <v>Danielle Holloway</v>
      </c>
      <c r="AE627" s="1">
        <v>26282</v>
      </c>
      <c r="AF627" s="1">
        <v>44133</v>
      </c>
      <c r="AG627" s="1">
        <v>12.07</v>
      </c>
      <c r="AH627" s="1">
        <v>458.35342200000002</v>
      </c>
      <c r="AI627" s="1">
        <v>3339.1065779999999</v>
      </c>
    </row>
    <row r="628" spans="1:35" x14ac:dyDescent="0.35">
      <c r="A628" s="1">
        <v>1626</v>
      </c>
      <c r="B628" s="2">
        <v>44331</v>
      </c>
      <c r="C628" s="1" t="s">
        <v>35</v>
      </c>
      <c r="D628" s="1" t="s">
        <v>24</v>
      </c>
      <c r="E628" s="1" t="s">
        <v>19</v>
      </c>
      <c r="F628" s="1">
        <v>3711.17</v>
      </c>
      <c r="G628" s="1" t="s">
        <v>124</v>
      </c>
      <c r="H628" s="2">
        <v>30786</v>
      </c>
      <c r="I628" s="2">
        <v>44333</v>
      </c>
      <c r="J628" s="1">
        <v>2.41</v>
      </c>
      <c r="K628" s="1">
        <f t="shared" si="24"/>
        <v>89.439197000000007</v>
      </c>
      <c r="L628" s="1">
        <f t="shared" si="25"/>
        <v>3621.7308029999999</v>
      </c>
      <c r="U628">
        <v>4087.3965760000001</v>
      </c>
      <c r="X628" s="1">
        <v>1865</v>
      </c>
      <c r="Y628" s="2">
        <v>44388</v>
      </c>
      <c r="Z628" s="1" t="str">
        <v>East</v>
      </c>
      <c r="AA628" s="1" t="str">
        <v>Tablet</v>
      </c>
      <c r="AB628" s="1" t="str">
        <v>Electronics</v>
      </c>
      <c r="AC628" s="1">
        <v>4549.6400000000003</v>
      </c>
      <c r="AD628" s="1" t="str">
        <v>Pamela Randall</v>
      </c>
      <c r="AE628" s="1">
        <v>30356</v>
      </c>
      <c r="AF628" s="1">
        <v>44401</v>
      </c>
      <c r="AG628" s="1">
        <v>10.16</v>
      </c>
      <c r="AH628" s="1">
        <v>462.243424</v>
      </c>
      <c r="AI628" s="1">
        <v>4087.3965760000001</v>
      </c>
    </row>
    <row r="629" spans="1:35" x14ac:dyDescent="0.35">
      <c r="A629" s="1">
        <v>1627</v>
      </c>
      <c r="B629" s="2">
        <v>44274</v>
      </c>
      <c r="C629" s="1" t="s">
        <v>10</v>
      </c>
      <c r="D629" s="1" t="s">
        <v>69</v>
      </c>
      <c r="E629" s="1" t="s">
        <v>31</v>
      </c>
      <c r="F629" s="1">
        <v>639.01</v>
      </c>
      <c r="G629" s="1" t="s">
        <v>164</v>
      </c>
      <c r="H629" s="2">
        <v>28046</v>
      </c>
      <c r="I629" s="2">
        <v>44277</v>
      </c>
      <c r="J629" s="1">
        <v>25.46</v>
      </c>
      <c r="K629" s="1">
        <f t="shared" si="24"/>
        <v>162.691946</v>
      </c>
      <c r="L629" s="1">
        <f t="shared" si="25"/>
        <v>476.31805399999996</v>
      </c>
      <c r="U629">
        <v>1257.8143889999999</v>
      </c>
      <c r="X629" s="1">
        <v>1867</v>
      </c>
      <c r="Y629" s="2">
        <v>44281</v>
      </c>
      <c r="Z629" s="1" t="str">
        <v>East</v>
      </c>
      <c r="AA629" s="1" t="str">
        <v>Milk</v>
      </c>
      <c r="AB629" s="1" t="str">
        <v>Groceries</v>
      </c>
      <c r="AC629" s="1">
        <v>1671.07</v>
      </c>
      <c r="AD629" s="1" t="str">
        <v>Marcia Anderson</v>
      </c>
      <c r="AE629" s="1">
        <v>34537</v>
      </c>
      <c r="AF629" s="1">
        <v>44282</v>
      </c>
      <c r="AG629" s="1">
        <v>24.73</v>
      </c>
      <c r="AH629" s="1">
        <v>413.25561099999999</v>
      </c>
      <c r="AI629" s="1">
        <v>1257.8143889999999</v>
      </c>
    </row>
    <row r="630" spans="1:35" x14ac:dyDescent="0.35">
      <c r="A630" s="1">
        <v>1628</v>
      </c>
      <c r="B630" s="2">
        <v>45783</v>
      </c>
      <c r="C630" s="1" t="s">
        <v>35</v>
      </c>
      <c r="D630" s="1" t="s">
        <v>49</v>
      </c>
      <c r="E630" s="1" t="s">
        <v>12</v>
      </c>
      <c r="F630" s="1">
        <v>1286.6300000000001</v>
      </c>
      <c r="G630" s="1" t="s">
        <v>302</v>
      </c>
      <c r="H630" s="2">
        <v>32940</v>
      </c>
      <c r="I630" s="2">
        <v>45790</v>
      </c>
      <c r="J630" s="1">
        <v>25.57</v>
      </c>
      <c r="K630" s="1">
        <f t="shared" si="24"/>
        <v>328.99129099999999</v>
      </c>
      <c r="L630" s="1">
        <f t="shared" si="25"/>
        <v>957.63870900000006</v>
      </c>
      <c r="U630">
        <v>2653.673526</v>
      </c>
      <c r="X630" s="1">
        <v>1869</v>
      </c>
      <c r="Y630" s="2">
        <v>44481</v>
      </c>
      <c r="Z630" s="1" t="str">
        <v>South</v>
      </c>
      <c r="AA630" s="1" t="str">
        <v>Tablet</v>
      </c>
      <c r="AB630" s="1" t="str">
        <v>Electronics</v>
      </c>
      <c r="AC630" s="1">
        <v>2759.07</v>
      </c>
      <c r="AD630" s="1" t="str">
        <v>Timothy Mueller</v>
      </c>
      <c r="AE630" s="1">
        <v>22315</v>
      </c>
      <c r="AF630" s="1">
        <v>44487</v>
      </c>
      <c r="AG630" s="1">
        <v>3.82</v>
      </c>
      <c r="AH630" s="1">
        <v>105.396474</v>
      </c>
      <c r="AI630" s="1">
        <v>2653.673526</v>
      </c>
    </row>
    <row r="631" spans="1:35" x14ac:dyDescent="0.35">
      <c r="A631" s="1">
        <v>1629</v>
      </c>
      <c r="B631" s="2">
        <v>45475</v>
      </c>
      <c r="C631" s="1" t="s">
        <v>26</v>
      </c>
      <c r="D631" s="1" t="s">
        <v>49</v>
      </c>
      <c r="E631" s="1" t="s">
        <v>12</v>
      </c>
      <c r="F631" s="1">
        <v>363.78</v>
      </c>
      <c r="G631" s="1" t="s">
        <v>124</v>
      </c>
      <c r="H631" s="2">
        <v>30786</v>
      </c>
      <c r="I631" s="2">
        <v>45482</v>
      </c>
      <c r="J631" s="1">
        <v>34.58</v>
      </c>
      <c r="K631" s="1">
        <f t="shared" si="24"/>
        <v>125.79512399999999</v>
      </c>
      <c r="L631" s="1">
        <f t="shared" si="25"/>
        <v>237.98487599999999</v>
      </c>
      <c r="U631">
        <v>1257.04456</v>
      </c>
      <c r="X631" s="1">
        <v>1871</v>
      </c>
      <c r="Y631" s="2">
        <v>44943</v>
      </c>
      <c r="Z631" s="1" t="str">
        <v>South</v>
      </c>
      <c r="AA631" s="1" t="str">
        <v>Camera</v>
      </c>
      <c r="AB631" s="1" t="str">
        <v>Electronics</v>
      </c>
      <c r="AC631" s="1">
        <v>1991.2</v>
      </c>
      <c r="AD631" s="1" t="str">
        <v>Gabriel Watson</v>
      </c>
      <c r="AE631" s="1">
        <v>34427</v>
      </c>
      <c r="AF631" s="1">
        <v>44955</v>
      </c>
      <c r="AG631" s="1">
        <v>36.869999999999997</v>
      </c>
      <c r="AH631" s="1">
        <v>734.15544</v>
      </c>
      <c r="AI631" s="1">
        <v>1257.04456</v>
      </c>
    </row>
    <row r="632" spans="1:35" x14ac:dyDescent="0.35">
      <c r="A632" s="1">
        <v>1630</v>
      </c>
      <c r="B632" s="2">
        <v>45715</v>
      </c>
      <c r="C632" s="1" t="s">
        <v>21</v>
      </c>
      <c r="D632" s="1" t="s">
        <v>24</v>
      </c>
      <c r="E632" s="1" t="s">
        <v>19</v>
      </c>
      <c r="F632" s="1">
        <v>348.83</v>
      </c>
      <c r="G632" s="1" t="s">
        <v>269</v>
      </c>
      <c r="H632" s="2">
        <v>30976</v>
      </c>
      <c r="I632" s="2">
        <v>45718</v>
      </c>
      <c r="J632" s="1">
        <v>15.94</v>
      </c>
      <c r="K632" s="1">
        <f t="shared" si="24"/>
        <v>55.603501999999992</v>
      </c>
      <c r="L632" s="1">
        <f t="shared" si="25"/>
        <v>293.22649799999999</v>
      </c>
      <c r="U632">
        <v>2407.9852080000001</v>
      </c>
      <c r="X632" s="1">
        <v>1872</v>
      </c>
      <c r="Y632" s="2">
        <v>45225</v>
      </c>
      <c r="Z632" s="1" t="str">
        <v>East</v>
      </c>
      <c r="AA632" s="1" t="str">
        <v>Bed</v>
      </c>
      <c r="AB632" s="1" t="str">
        <v>Furniture</v>
      </c>
      <c r="AC632" s="1">
        <v>4245.3900000000003</v>
      </c>
      <c r="AD632" s="1" t="str">
        <v>Lisa Smith</v>
      </c>
      <c r="AE632" s="1">
        <v>26484</v>
      </c>
      <c r="AF632" s="1">
        <v>45239</v>
      </c>
      <c r="AG632" s="1">
        <v>43.28</v>
      </c>
      <c r="AH632" s="1">
        <v>1837.4047920000003</v>
      </c>
      <c r="AI632" s="1">
        <v>2407.9852080000001</v>
      </c>
    </row>
    <row r="633" spans="1:35" x14ac:dyDescent="0.35">
      <c r="A633" s="1">
        <v>1631</v>
      </c>
      <c r="B633" s="2">
        <v>45537</v>
      </c>
      <c r="C633" s="1" t="s">
        <v>26</v>
      </c>
      <c r="D633" s="1" t="s">
        <v>27</v>
      </c>
      <c r="E633" s="1" t="s">
        <v>28</v>
      </c>
      <c r="F633" s="1">
        <v>3800.43</v>
      </c>
      <c r="G633" s="1" t="s">
        <v>143</v>
      </c>
      <c r="H633" s="2">
        <v>37490</v>
      </c>
      <c r="I633" s="2">
        <v>45538</v>
      </c>
      <c r="J633" s="1">
        <v>7.33</v>
      </c>
      <c r="K633" s="1">
        <f t="shared" si="24"/>
        <v>278.57151900000002</v>
      </c>
      <c r="L633" s="1">
        <f t="shared" si="25"/>
        <v>3521.8584809999998</v>
      </c>
      <c r="U633">
        <v>2600.92452</v>
      </c>
      <c r="X633" s="1">
        <v>1874</v>
      </c>
      <c r="Y633" s="2">
        <v>45511</v>
      </c>
      <c r="Z633" s="1" t="str">
        <v>West</v>
      </c>
      <c r="AA633" s="1" t="str">
        <v>Bed</v>
      </c>
      <c r="AB633" s="1" t="str">
        <v>Furniture</v>
      </c>
      <c r="AC633" s="1">
        <v>3686.64</v>
      </c>
      <c r="AD633" s="1" t="str">
        <v>Katie Parker</v>
      </c>
      <c r="AE633" s="1">
        <v>37961</v>
      </c>
      <c r="AF633" s="1">
        <v>45515</v>
      </c>
      <c r="AG633" s="1">
        <v>29.45</v>
      </c>
      <c r="AH633" s="1">
        <v>1085.7154799999998</v>
      </c>
      <c r="AI633" s="1">
        <v>2600.92452</v>
      </c>
    </row>
    <row r="634" spans="1:35" x14ac:dyDescent="0.35">
      <c r="A634" s="1">
        <v>1632</v>
      </c>
      <c r="B634" s="2">
        <v>44856</v>
      </c>
      <c r="C634" s="1" t="s">
        <v>14</v>
      </c>
      <c r="D634" s="1" t="s">
        <v>73</v>
      </c>
      <c r="E634" s="1" t="s">
        <v>28</v>
      </c>
      <c r="F634" s="1">
        <v>3721.15</v>
      </c>
      <c r="G634" s="1" t="s">
        <v>121</v>
      </c>
      <c r="H634" s="2">
        <v>24580</v>
      </c>
      <c r="I634" s="2">
        <v>44862</v>
      </c>
      <c r="J634" s="1">
        <v>36.840000000000003</v>
      </c>
      <c r="K634" s="1">
        <f t="shared" si="24"/>
        <v>1370.8716600000002</v>
      </c>
      <c r="L634" s="1">
        <f t="shared" si="25"/>
        <v>2350.2783399999998</v>
      </c>
      <c r="U634">
        <v>3436.4609880000003</v>
      </c>
      <c r="X634" s="1">
        <v>1875</v>
      </c>
      <c r="Y634" s="2">
        <v>44441</v>
      </c>
      <c r="Z634" s="1" t="str">
        <v>Central</v>
      </c>
      <c r="AA634" s="1" t="str">
        <v>Eggs</v>
      </c>
      <c r="AB634" s="1" t="str">
        <v>Groceries</v>
      </c>
      <c r="AC634" s="1">
        <v>4552.8100000000004</v>
      </c>
      <c r="AD634" s="1" t="str">
        <v>Edward Hawkins</v>
      </c>
      <c r="AE634" s="1">
        <v>21785</v>
      </c>
      <c r="AF634" s="1">
        <v>44447</v>
      </c>
      <c r="AG634" s="1">
        <v>24.52</v>
      </c>
      <c r="AH634" s="1">
        <v>1116.3490120000001</v>
      </c>
      <c r="AI634" s="1">
        <v>3436.4609880000003</v>
      </c>
    </row>
    <row r="635" spans="1:35" x14ac:dyDescent="0.35">
      <c r="A635" s="1">
        <v>1633</v>
      </c>
      <c r="B635" s="2">
        <v>45644</v>
      </c>
      <c r="C635" s="1" t="s">
        <v>35</v>
      </c>
      <c r="D635" s="1" t="s">
        <v>73</v>
      </c>
      <c r="E635" s="1" t="s">
        <v>28</v>
      </c>
      <c r="F635" s="1">
        <v>4920.09</v>
      </c>
      <c r="G635" s="1" t="s">
        <v>230</v>
      </c>
      <c r="H635" s="2">
        <v>35642</v>
      </c>
      <c r="I635" s="2">
        <v>45645</v>
      </c>
      <c r="J635" s="1">
        <v>33.64</v>
      </c>
      <c r="K635" s="1">
        <f t="shared" si="24"/>
        <v>1655.1182760000002</v>
      </c>
      <c r="L635" s="1">
        <f t="shared" si="25"/>
        <v>3264.971724</v>
      </c>
      <c r="U635">
        <v>2108.9901690000002</v>
      </c>
      <c r="X635" s="1">
        <v>1876</v>
      </c>
      <c r="Y635" s="2">
        <v>44153</v>
      </c>
      <c r="Z635" s="1" t="str">
        <v>North</v>
      </c>
      <c r="AA635" s="1" t="str">
        <v>Shoes</v>
      </c>
      <c r="AB635" s="1" t="str">
        <v>Sports</v>
      </c>
      <c r="AC635" s="1">
        <v>4191.99</v>
      </c>
      <c r="AD635" s="1" t="str">
        <v>Elizabeth Obrien</v>
      </c>
      <c r="AE635" s="1">
        <v>35818</v>
      </c>
      <c r="AF635" s="1">
        <v>44157</v>
      </c>
      <c r="AG635" s="1">
        <v>49.69</v>
      </c>
      <c r="AH635" s="1">
        <v>2082.9998309999996</v>
      </c>
      <c r="AI635" s="1">
        <v>2108.9901690000002</v>
      </c>
    </row>
    <row r="636" spans="1:35" x14ac:dyDescent="0.35">
      <c r="A636" s="1">
        <v>1634</v>
      </c>
      <c r="B636" s="2">
        <v>44307</v>
      </c>
      <c r="C636" s="1" t="s">
        <v>21</v>
      </c>
      <c r="D636" s="1" t="s">
        <v>36</v>
      </c>
      <c r="E636" s="1" t="s">
        <v>28</v>
      </c>
      <c r="F636" s="1">
        <v>2036.85</v>
      </c>
      <c r="G636" s="1" t="s">
        <v>264</v>
      </c>
      <c r="H636" s="2">
        <v>30232</v>
      </c>
      <c r="I636" s="2">
        <v>44315</v>
      </c>
      <c r="J636" s="1">
        <v>45.65</v>
      </c>
      <c r="K636" s="1">
        <f t="shared" si="24"/>
        <v>929.82202499999983</v>
      </c>
      <c r="L636" s="1">
        <f t="shared" si="25"/>
        <v>1107.027975</v>
      </c>
      <c r="U636">
        <v>1890.3293999999999</v>
      </c>
      <c r="X636" s="1">
        <v>1877</v>
      </c>
      <c r="Y636" s="2">
        <v>45420</v>
      </c>
      <c r="Z636" s="1" t="str">
        <v>South</v>
      </c>
      <c r="AA636" s="1" t="str">
        <v>Jacket</v>
      </c>
      <c r="AB636" s="1" t="str">
        <v>Clothing</v>
      </c>
      <c r="AC636" s="1">
        <v>2333.7399999999998</v>
      </c>
      <c r="AD636" s="1" t="str">
        <v>Garrett Delgado</v>
      </c>
      <c r="AE636" s="1">
        <v>38510</v>
      </c>
      <c r="AF636" s="1">
        <v>45423</v>
      </c>
      <c r="AG636" s="1">
        <v>19</v>
      </c>
      <c r="AH636" s="1">
        <v>443.41059999999999</v>
      </c>
      <c r="AI636" s="1">
        <v>1890.3293999999999</v>
      </c>
    </row>
    <row r="637" spans="1:35" x14ac:dyDescent="0.35">
      <c r="A637" s="1">
        <v>1635</v>
      </c>
      <c r="B637" s="2">
        <v>44704</v>
      </c>
      <c r="C637" s="1" t="s">
        <v>21</v>
      </c>
      <c r="D637" s="1" t="s">
        <v>73</v>
      </c>
      <c r="E637" s="1" t="s">
        <v>28</v>
      </c>
      <c r="F637" s="1">
        <v>792.31</v>
      </c>
      <c r="G637" s="1" t="s">
        <v>46</v>
      </c>
      <c r="H637" s="2">
        <v>24670</v>
      </c>
      <c r="I637" s="2">
        <v>44713</v>
      </c>
      <c r="J637" s="1">
        <v>10.91</v>
      </c>
      <c r="K637" s="1">
        <f t="shared" si="24"/>
        <v>86.441020999999992</v>
      </c>
      <c r="L637" s="1">
        <f t="shared" si="25"/>
        <v>705.86897899999997</v>
      </c>
      <c r="U637">
        <v>1417.5590590000002</v>
      </c>
      <c r="X637" s="1">
        <v>1878</v>
      </c>
      <c r="Y637" s="2">
        <v>45672</v>
      </c>
      <c r="Z637" s="1" t="str">
        <v>South</v>
      </c>
      <c r="AA637" s="1" t="str">
        <v>Cap</v>
      </c>
      <c r="AB637" s="1" t="str">
        <v>Clothing</v>
      </c>
      <c r="AC637" s="1">
        <v>2214.59</v>
      </c>
      <c r="AD637" s="1" t="str">
        <v>John King</v>
      </c>
      <c r="AE637" s="1">
        <v>25815</v>
      </c>
      <c r="AF637" s="1">
        <v>45680</v>
      </c>
      <c r="AG637" s="1">
        <v>35.99</v>
      </c>
      <c r="AH637" s="1">
        <v>797.0309410000001</v>
      </c>
      <c r="AI637" s="1">
        <v>1417.5590590000002</v>
      </c>
    </row>
    <row r="638" spans="1:35" x14ac:dyDescent="0.35">
      <c r="A638" s="1">
        <v>1636</v>
      </c>
      <c r="B638" s="2">
        <v>45358</v>
      </c>
      <c r="C638" s="1" t="s">
        <v>14</v>
      </c>
      <c r="D638" s="1" t="s">
        <v>44</v>
      </c>
      <c r="E638" s="1" t="s">
        <v>16</v>
      </c>
      <c r="F638" s="1">
        <v>2263.83</v>
      </c>
      <c r="G638" s="1" t="s">
        <v>298</v>
      </c>
      <c r="H638" s="2">
        <v>30410</v>
      </c>
      <c r="I638" s="2">
        <v>45367</v>
      </c>
      <c r="J638" s="1">
        <v>22.05</v>
      </c>
      <c r="K638" s="1">
        <f t="shared" si="24"/>
        <v>499.17451499999999</v>
      </c>
      <c r="L638" s="1">
        <f t="shared" si="25"/>
        <v>1764.655485</v>
      </c>
      <c r="U638">
        <v>3058.4407040000001</v>
      </c>
      <c r="X638" s="1">
        <v>1879</v>
      </c>
      <c r="Y638" s="2">
        <v>45408</v>
      </c>
      <c r="Z638" s="1" t="str">
        <v>Central</v>
      </c>
      <c r="AA638" s="1" t="str">
        <v>Laptop</v>
      </c>
      <c r="AB638" s="1" t="str">
        <v>Electronics</v>
      </c>
      <c r="AC638" s="1">
        <v>4760.96</v>
      </c>
      <c r="AD638" s="1" t="str">
        <v>Holly Wilson</v>
      </c>
      <c r="AE638" s="1">
        <v>32940</v>
      </c>
      <c r="AF638" s="1">
        <v>45419</v>
      </c>
      <c r="AG638" s="1">
        <v>35.76</v>
      </c>
      <c r="AH638" s="1">
        <v>1702.5192959999999</v>
      </c>
      <c r="AI638" s="1">
        <v>3058.4407040000001</v>
      </c>
    </row>
    <row r="639" spans="1:35" x14ac:dyDescent="0.35">
      <c r="A639" s="1">
        <v>1637</v>
      </c>
      <c r="B639" s="2">
        <v>45883</v>
      </c>
      <c r="C639" s="1" t="s">
        <v>21</v>
      </c>
      <c r="D639" s="1" t="s">
        <v>73</v>
      </c>
      <c r="E639" s="1" t="s">
        <v>28</v>
      </c>
      <c r="F639" s="1">
        <v>515.75</v>
      </c>
      <c r="G639" s="1" t="s">
        <v>293</v>
      </c>
      <c r="H639" s="2">
        <v>26379</v>
      </c>
      <c r="I639" s="2">
        <v>45892</v>
      </c>
      <c r="J639" s="1">
        <v>44.38</v>
      </c>
      <c r="K639" s="1">
        <f t="shared" si="24"/>
        <v>228.88985000000002</v>
      </c>
      <c r="L639" s="1">
        <f t="shared" si="25"/>
        <v>286.86014999999998</v>
      </c>
      <c r="U639">
        <v>1779.0703299999998</v>
      </c>
      <c r="X639" s="1">
        <v>1880</v>
      </c>
      <c r="Y639" s="2">
        <v>45566</v>
      </c>
      <c r="Z639" s="1" t="str">
        <v>West</v>
      </c>
      <c r="AA639" s="1" t="str">
        <v>Cricket Bat</v>
      </c>
      <c r="AB639" s="1" t="str">
        <v>Sports</v>
      </c>
      <c r="AC639" s="1">
        <v>3235.85</v>
      </c>
      <c r="AD639" s="1" t="str">
        <v>Darren Coleman</v>
      </c>
      <c r="AE639" s="1">
        <v>24719</v>
      </c>
      <c r="AF639" s="1">
        <v>45571</v>
      </c>
      <c r="AG639" s="1">
        <v>45.02</v>
      </c>
      <c r="AH639" s="1">
        <v>1456.7796700000001</v>
      </c>
      <c r="AI639" s="1">
        <v>1779.0703299999998</v>
      </c>
    </row>
    <row r="640" spans="1:35" x14ac:dyDescent="0.35">
      <c r="A640" s="1">
        <v>1638</v>
      </c>
      <c r="B640" s="2">
        <v>45552</v>
      </c>
      <c r="C640" s="1" t="s">
        <v>14</v>
      </c>
      <c r="D640" s="1" t="s">
        <v>15</v>
      </c>
      <c r="E640" s="1" t="s">
        <v>16</v>
      </c>
      <c r="F640" s="1">
        <v>2138.29</v>
      </c>
      <c r="G640" s="1" t="s">
        <v>119</v>
      </c>
      <c r="H640" s="2">
        <v>34954</v>
      </c>
      <c r="I640" s="2">
        <v>45558</v>
      </c>
      <c r="J640" s="1">
        <v>4.1399999999999997</v>
      </c>
      <c r="K640" s="1">
        <f t="shared" si="24"/>
        <v>88.525205999999997</v>
      </c>
      <c r="L640" s="1">
        <f t="shared" si="25"/>
        <v>2049.7647940000002</v>
      </c>
      <c r="U640">
        <v>1108.4172880000001</v>
      </c>
      <c r="X640" s="1">
        <v>1882</v>
      </c>
      <c r="Y640" s="2">
        <v>44507</v>
      </c>
      <c r="Z640" s="1" t="str">
        <v>West</v>
      </c>
      <c r="AA640" s="1" t="str">
        <v>Jeans</v>
      </c>
      <c r="AB640" s="1" t="str">
        <v>Clothing</v>
      </c>
      <c r="AC640" s="1">
        <v>1293.52</v>
      </c>
      <c r="AD640" s="1" t="str">
        <v>Patrick Woods</v>
      </c>
      <c r="AE640" s="1">
        <v>34932</v>
      </c>
      <c r="AF640" s="1">
        <v>44508</v>
      </c>
      <c r="AG640" s="1">
        <v>14.31</v>
      </c>
      <c r="AH640" s="1">
        <v>185.102712</v>
      </c>
      <c r="AI640" s="1">
        <v>1108.4172880000001</v>
      </c>
    </row>
    <row r="641" spans="1:35" x14ac:dyDescent="0.35">
      <c r="A641" s="1">
        <v>1639</v>
      </c>
      <c r="B641" s="2">
        <v>44586</v>
      </c>
      <c r="C641" s="1" t="s">
        <v>21</v>
      </c>
      <c r="D641" s="1" t="s">
        <v>24</v>
      </c>
      <c r="E641" s="1" t="s">
        <v>19</v>
      </c>
      <c r="F641" s="1">
        <v>2315.33</v>
      </c>
      <c r="G641" s="1" t="s">
        <v>180</v>
      </c>
      <c r="H641" s="2">
        <v>25163</v>
      </c>
      <c r="I641" s="2">
        <v>44597</v>
      </c>
      <c r="J641" s="1">
        <v>34.07</v>
      </c>
      <c r="K641" s="1">
        <f t="shared" si="24"/>
        <v>788.83293100000003</v>
      </c>
      <c r="L641" s="1">
        <f t="shared" si="25"/>
        <v>1526.497069</v>
      </c>
      <c r="U641">
        <v>1810.1946720000001</v>
      </c>
      <c r="X641" s="1">
        <v>1884</v>
      </c>
      <c r="Y641" s="2">
        <v>45504</v>
      </c>
      <c r="Z641" s="1" t="str">
        <v>Central</v>
      </c>
      <c r="AA641" s="1" t="str">
        <v>Tennis Racket</v>
      </c>
      <c r="AB641" s="1" t="str">
        <v>Sports</v>
      </c>
      <c r="AC641" s="1">
        <v>2637.23</v>
      </c>
      <c r="AD641" s="1" t="str">
        <v>Jamie Day</v>
      </c>
      <c r="AE641" s="1">
        <v>32359</v>
      </c>
      <c r="AF641" s="1">
        <v>45507</v>
      </c>
      <c r="AG641" s="1">
        <v>31.36</v>
      </c>
      <c r="AH641" s="1">
        <v>827.03532799999994</v>
      </c>
      <c r="AI641" s="1">
        <v>1810.1946720000001</v>
      </c>
    </row>
    <row r="642" spans="1:35" x14ac:dyDescent="0.35">
      <c r="A642" s="1">
        <v>1640</v>
      </c>
      <c r="B642" s="2">
        <v>45661</v>
      </c>
      <c r="C642" s="1" t="s">
        <v>35</v>
      </c>
      <c r="D642" s="1" t="s">
        <v>15</v>
      </c>
      <c r="E642" s="1" t="s">
        <v>16</v>
      </c>
      <c r="F642" s="1">
        <v>3804.9</v>
      </c>
      <c r="G642" s="1" t="s">
        <v>298</v>
      </c>
      <c r="H642" s="2">
        <v>30410</v>
      </c>
      <c r="I642" s="2">
        <v>45663</v>
      </c>
      <c r="J642" s="1">
        <v>6.91</v>
      </c>
      <c r="K642" s="1">
        <f t="shared" si="24"/>
        <v>262.91858999999999</v>
      </c>
      <c r="L642" s="1">
        <f t="shared" si="25"/>
        <v>3541.9814100000003</v>
      </c>
      <c r="U642">
        <v>2345.0578380000002</v>
      </c>
      <c r="X642" s="1">
        <v>1886</v>
      </c>
      <c r="Y642" s="2">
        <v>44555</v>
      </c>
      <c r="Z642" s="1" t="str">
        <v>South</v>
      </c>
      <c r="AA642" s="1" t="str">
        <v>Cricket Bat</v>
      </c>
      <c r="AB642" s="1" t="str">
        <v>Sports</v>
      </c>
      <c r="AC642" s="1">
        <v>4477.01</v>
      </c>
      <c r="AD642" s="1" t="str">
        <v>Andrew Weaver</v>
      </c>
      <c r="AE642" s="1">
        <v>33394</v>
      </c>
      <c r="AF642" s="1">
        <v>44566</v>
      </c>
      <c r="AG642" s="1">
        <v>47.62</v>
      </c>
      <c r="AH642" s="1">
        <v>2131.952162</v>
      </c>
      <c r="AI642" s="1">
        <v>2345.0578380000002</v>
      </c>
    </row>
    <row r="643" spans="1:35" x14ac:dyDescent="0.35">
      <c r="A643" s="1">
        <v>1641</v>
      </c>
      <c r="B643" s="2">
        <v>45770</v>
      </c>
      <c r="C643" s="1" t="s">
        <v>26</v>
      </c>
      <c r="D643" s="1" t="s">
        <v>44</v>
      </c>
      <c r="E643" s="1" t="s">
        <v>16</v>
      </c>
      <c r="F643" s="1">
        <v>1233.6500000000001</v>
      </c>
      <c r="G643" s="1" t="s">
        <v>233</v>
      </c>
      <c r="H643" s="2">
        <v>38826</v>
      </c>
      <c r="I643" s="2">
        <v>45782</v>
      </c>
      <c r="J643" s="1">
        <v>7.16</v>
      </c>
      <c r="K643" s="1">
        <f t="shared" ref="K643:K706" si="26">F643*J643%</f>
        <v>88.329340000000002</v>
      </c>
      <c r="L643" s="1">
        <f t="shared" ref="L643:L706" si="27">F643-K643</f>
        <v>1145.3206600000001</v>
      </c>
      <c r="U643">
        <v>3049.1234199999999</v>
      </c>
      <c r="X643" s="1">
        <v>1887</v>
      </c>
      <c r="Y643" s="2">
        <v>44535</v>
      </c>
      <c r="Z643" s="1" t="str">
        <v>North</v>
      </c>
      <c r="AA643" s="1" t="str">
        <v>Oil</v>
      </c>
      <c r="AB643" s="1" t="str">
        <v>Groceries</v>
      </c>
      <c r="AC643" s="1">
        <v>3116.12</v>
      </c>
      <c r="AD643" s="1" t="str">
        <v>Savannah Smith</v>
      </c>
      <c r="AE643" s="1">
        <v>35889</v>
      </c>
      <c r="AF643" s="1">
        <v>44548</v>
      </c>
      <c r="AG643" s="1">
        <v>2.15</v>
      </c>
      <c r="AH643" s="1">
        <v>66.996579999999994</v>
      </c>
      <c r="AI643" s="1">
        <v>3049.1234199999999</v>
      </c>
    </row>
    <row r="644" spans="1:35" x14ac:dyDescent="0.35">
      <c r="A644" s="1">
        <v>1642</v>
      </c>
      <c r="B644" s="2">
        <v>45094</v>
      </c>
      <c r="C644" s="1" t="s">
        <v>35</v>
      </c>
      <c r="D644" s="1" t="s">
        <v>44</v>
      </c>
      <c r="E644" s="1" t="s">
        <v>16</v>
      </c>
      <c r="F644" s="1">
        <v>2282.48</v>
      </c>
      <c r="G644" s="1" t="s">
        <v>144</v>
      </c>
      <c r="H644" s="2">
        <v>34571</v>
      </c>
      <c r="I644" s="2">
        <v>45095</v>
      </c>
      <c r="J644" s="1">
        <v>1.72</v>
      </c>
      <c r="K644" s="1">
        <f t="shared" si="26"/>
        <v>39.258656000000002</v>
      </c>
      <c r="L644" s="1">
        <f t="shared" si="27"/>
        <v>2243.221344</v>
      </c>
      <c r="U644">
        <v>1405.3682879999999</v>
      </c>
      <c r="X644" s="1">
        <v>1888</v>
      </c>
      <c r="Y644" s="2">
        <v>45855</v>
      </c>
      <c r="Z644" s="1" t="str">
        <v>North</v>
      </c>
      <c r="AA644" s="1" t="str">
        <v>Wardrobe</v>
      </c>
      <c r="AB644" s="1" t="str">
        <v>Furniture</v>
      </c>
      <c r="AC644" s="1">
        <v>2568.29</v>
      </c>
      <c r="AD644" s="1" t="str">
        <v>Regina Lopez</v>
      </c>
      <c r="AE644" s="1">
        <v>24544</v>
      </c>
      <c r="AF644" s="1">
        <v>45856</v>
      </c>
      <c r="AG644" s="1">
        <v>45.28</v>
      </c>
      <c r="AH644" s="1">
        <v>1162.9217120000001</v>
      </c>
      <c r="AI644" s="1">
        <v>1405.3682879999999</v>
      </c>
    </row>
    <row r="645" spans="1:35" x14ac:dyDescent="0.35">
      <c r="A645" s="1">
        <v>1643</v>
      </c>
      <c r="B645" s="2">
        <v>44347</v>
      </c>
      <c r="C645" s="1" t="s">
        <v>26</v>
      </c>
      <c r="D645" s="1" t="s">
        <v>30</v>
      </c>
      <c r="E645" s="1" t="s">
        <v>31</v>
      </c>
      <c r="F645" s="1">
        <v>4221.93</v>
      </c>
      <c r="G645" s="1" t="s">
        <v>37</v>
      </c>
      <c r="H645" s="2">
        <v>27534</v>
      </c>
      <c r="I645" s="2">
        <v>44356</v>
      </c>
      <c r="J645" s="1">
        <v>31.97</v>
      </c>
      <c r="K645" s="1">
        <f t="shared" si="26"/>
        <v>1349.751021</v>
      </c>
      <c r="L645" s="1">
        <f t="shared" si="27"/>
        <v>2872.1789790000003</v>
      </c>
      <c r="U645">
        <v>2862.5650919999998</v>
      </c>
      <c r="X645" s="1">
        <v>1889</v>
      </c>
      <c r="Y645" s="2">
        <v>45770</v>
      </c>
      <c r="Z645" s="1" t="str">
        <v>East</v>
      </c>
      <c r="AA645" s="1" t="str">
        <v>Bed</v>
      </c>
      <c r="AB645" s="1" t="str">
        <v>Furniture</v>
      </c>
      <c r="AC645" s="1">
        <v>3969.72</v>
      </c>
      <c r="AD645" s="1" t="str">
        <v>Melissa Douglas</v>
      </c>
      <c r="AE645" s="1">
        <v>33386</v>
      </c>
      <c r="AF645" s="1">
        <v>45782</v>
      </c>
      <c r="AG645" s="1">
        <v>27.89</v>
      </c>
      <c r="AH645" s="1">
        <v>1107.154908</v>
      </c>
      <c r="AI645" s="1">
        <v>2862.5650919999998</v>
      </c>
    </row>
    <row r="646" spans="1:35" x14ac:dyDescent="0.35">
      <c r="A646" s="1">
        <v>1644</v>
      </c>
      <c r="B646" s="2">
        <v>44353</v>
      </c>
      <c r="C646" s="1" t="s">
        <v>10</v>
      </c>
      <c r="D646" s="1" t="s">
        <v>65</v>
      </c>
      <c r="E646" s="1" t="s">
        <v>19</v>
      </c>
      <c r="F646" s="1">
        <v>2669.73</v>
      </c>
      <c r="G646" s="1" t="s">
        <v>301</v>
      </c>
      <c r="H646" s="2">
        <v>31775</v>
      </c>
      <c r="I646" s="2">
        <v>44358</v>
      </c>
      <c r="J646" s="1">
        <v>41.87</v>
      </c>
      <c r="K646" s="1">
        <f t="shared" si="26"/>
        <v>1117.8159509999998</v>
      </c>
      <c r="L646" s="1">
        <f t="shared" si="27"/>
        <v>1551.9140490000002</v>
      </c>
      <c r="U646">
        <v>1855.9427919999998</v>
      </c>
      <c r="X646" s="1">
        <v>1890</v>
      </c>
      <c r="Y646" s="2">
        <v>44206</v>
      </c>
      <c r="Z646" s="1" t="str">
        <v>East</v>
      </c>
      <c r="AA646" s="1" t="str">
        <v>Laptop</v>
      </c>
      <c r="AB646" s="1" t="str">
        <v>Electronics</v>
      </c>
      <c r="AC646" s="1">
        <v>1915.12</v>
      </c>
      <c r="AD646" s="1" t="str">
        <v>Elizabeth Lee MD</v>
      </c>
      <c r="AE646" s="1">
        <v>25948</v>
      </c>
      <c r="AF646" s="1">
        <v>44209</v>
      </c>
      <c r="AG646" s="1">
        <v>3.09</v>
      </c>
      <c r="AH646" s="1">
        <v>59.177207999999993</v>
      </c>
      <c r="AI646" s="1">
        <v>1855.9427919999998</v>
      </c>
    </row>
    <row r="647" spans="1:35" x14ac:dyDescent="0.35">
      <c r="A647" s="1">
        <v>1645</v>
      </c>
      <c r="B647" s="2">
        <v>44100</v>
      </c>
      <c r="C647" s="1" t="s">
        <v>21</v>
      </c>
      <c r="D647" s="1" t="s">
        <v>38</v>
      </c>
      <c r="E647" s="1" t="s">
        <v>28</v>
      </c>
      <c r="F647" s="1">
        <v>1691.89</v>
      </c>
      <c r="G647" s="1" t="s">
        <v>191</v>
      </c>
      <c r="H647" s="2">
        <v>37495</v>
      </c>
      <c r="I647" s="2">
        <v>44107</v>
      </c>
      <c r="J647" s="1">
        <v>15.04</v>
      </c>
      <c r="K647" s="1">
        <f t="shared" si="26"/>
        <v>254.46025599999999</v>
      </c>
      <c r="L647" s="1">
        <f t="shared" si="27"/>
        <v>1437.429744</v>
      </c>
      <c r="U647">
        <v>2092.0283119999999</v>
      </c>
      <c r="X647" s="1">
        <v>1891</v>
      </c>
      <c r="Y647" s="2">
        <v>44188</v>
      </c>
      <c r="Z647" s="1" t="str">
        <v>Central</v>
      </c>
      <c r="AA647" s="1" t="str">
        <v>Milk</v>
      </c>
      <c r="AB647" s="1" t="str">
        <v>Groceries</v>
      </c>
      <c r="AC647" s="1">
        <v>2591.71</v>
      </c>
      <c r="AD647" s="1" t="str">
        <v>Michael Robinson</v>
      </c>
      <c r="AE647" s="1">
        <v>33702</v>
      </c>
      <c r="AF647" s="1">
        <v>44192</v>
      </c>
      <c r="AG647" s="1">
        <v>19.28</v>
      </c>
      <c r="AH647" s="1">
        <v>499.68168800000001</v>
      </c>
      <c r="AI647" s="1">
        <v>2092.0283119999999</v>
      </c>
    </row>
    <row r="648" spans="1:35" x14ac:dyDescent="0.35">
      <c r="A648" s="1">
        <v>1646</v>
      </c>
      <c r="B648" s="2">
        <v>45630</v>
      </c>
      <c r="C648" s="1" t="s">
        <v>10</v>
      </c>
      <c r="D648" s="1" t="s">
        <v>33</v>
      </c>
      <c r="E648" s="1" t="s">
        <v>16</v>
      </c>
      <c r="F648" s="1">
        <v>830.37</v>
      </c>
      <c r="G648" s="1" t="s">
        <v>261</v>
      </c>
      <c r="H648" s="2">
        <v>23920</v>
      </c>
      <c r="I648" s="2">
        <v>45636</v>
      </c>
      <c r="J648" s="1">
        <v>4.28</v>
      </c>
      <c r="K648" s="1">
        <f t="shared" si="26"/>
        <v>35.539836000000001</v>
      </c>
      <c r="L648" s="1">
        <f t="shared" si="27"/>
        <v>794.83016399999997</v>
      </c>
      <c r="U648">
        <v>1311.512097</v>
      </c>
      <c r="X648" s="1">
        <v>1893</v>
      </c>
      <c r="Y648" s="2">
        <v>44597</v>
      </c>
      <c r="Z648" s="1" t="str">
        <v>Central</v>
      </c>
      <c r="AA648" s="1" t="str">
        <v>Bed</v>
      </c>
      <c r="AB648" s="1" t="str">
        <v>Furniture</v>
      </c>
      <c r="AC648" s="1">
        <v>1953.69</v>
      </c>
      <c r="AD648" s="1" t="str">
        <v>Dorothy Thomas</v>
      </c>
      <c r="AE648" s="1">
        <v>30364</v>
      </c>
      <c r="AF648" s="1">
        <v>44611</v>
      </c>
      <c r="AG648" s="1">
        <v>32.869999999999997</v>
      </c>
      <c r="AH648" s="1">
        <v>642.17790300000001</v>
      </c>
      <c r="AI648" s="1">
        <v>1311.512097</v>
      </c>
    </row>
    <row r="649" spans="1:35" x14ac:dyDescent="0.35">
      <c r="A649" s="1">
        <v>1647</v>
      </c>
      <c r="B649" s="2">
        <v>45397</v>
      </c>
      <c r="C649" s="1" t="s">
        <v>10</v>
      </c>
      <c r="D649" s="1" t="s">
        <v>36</v>
      </c>
      <c r="E649" s="1" t="s">
        <v>28</v>
      </c>
      <c r="F649" s="1">
        <v>3017.29</v>
      </c>
      <c r="G649" s="1" t="s">
        <v>50</v>
      </c>
      <c r="H649" s="2">
        <v>22594</v>
      </c>
      <c r="I649" s="2">
        <v>45408</v>
      </c>
      <c r="J649" s="1">
        <v>40.770000000000003</v>
      </c>
      <c r="K649" s="1">
        <f t="shared" si="26"/>
        <v>1230.1491329999999</v>
      </c>
      <c r="L649" s="1">
        <f t="shared" si="27"/>
        <v>1787.1408670000001</v>
      </c>
      <c r="U649">
        <v>1044.8375270000001</v>
      </c>
      <c r="X649" s="1">
        <v>1895</v>
      </c>
      <c r="Y649" s="2">
        <v>45847</v>
      </c>
      <c r="Z649" s="1" t="str">
        <v>East</v>
      </c>
      <c r="AA649" s="1" t="str">
        <v>Cap</v>
      </c>
      <c r="AB649" s="1" t="str">
        <v>Clothing</v>
      </c>
      <c r="AC649" s="1">
        <v>1426.01</v>
      </c>
      <c r="AD649" s="1" t="str">
        <v>Karla Garcia</v>
      </c>
      <c r="AE649" s="1">
        <v>31331</v>
      </c>
      <c r="AF649" s="1">
        <v>45851</v>
      </c>
      <c r="AG649" s="1">
        <v>26.73</v>
      </c>
      <c r="AH649" s="1">
        <v>381.17247299999997</v>
      </c>
      <c r="AI649" s="1">
        <v>1044.8375270000001</v>
      </c>
    </row>
    <row r="650" spans="1:35" x14ac:dyDescent="0.35">
      <c r="A650" s="1">
        <v>1648</v>
      </c>
      <c r="B650" s="2">
        <v>44377</v>
      </c>
      <c r="C650" s="1" t="s">
        <v>35</v>
      </c>
      <c r="D650" s="1" t="s">
        <v>18</v>
      </c>
      <c r="E650" s="1" t="s">
        <v>19</v>
      </c>
      <c r="F650" s="1">
        <v>1210.22</v>
      </c>
      <c r="G650" s="1" t="s">
        <v>303</v>
      </c>
      <c r="H650" s="2">
        <v>30474</v>
      </c>
      <c r="I650" s="2">
        <v>44382</v>
      </c>
      <c r="J650" s="1">
        <v>46.37</v>
      </c>
      <c r="K650" s="1">
        <f t="shared" si="26"/>
        <v>561.17901400000005</v>
      </c>
      <c r="L650" s="1">
        <f t="shared" si="27"/>
        <v>649.04098599999998</v>
      </c>
      <c r="U650">
        <v>3350.407408</v>
      </c>
      <c r="X650" s="1">
        <v>1896</v>
      </c>
      <c r="Y650" s="2">
        <v>44786</v>
      </c>
      <c r="Z650" s="1" t="str">
        <v>Central</v>
      </c>
      <c r="AA650" s="1" t="str">
        <v>Chair</v>
      </c>
      <c r="AB650" s="1" t="str">
        <v>Furniture</v>
      </c>
      <c r="AC650" s="1">
        <v>4689.82</v>
      </c>
      <c r="AD650" s="1" t="str">
        <v>David Raymond</v>
      </c>
      <c r="AE650" s="1">
        <v>32196</v>
      </c>
      <c r="AF650" s="1">
        <v>44796</v>
      </c>
      <c r="AG650" s="1">
        <v>28.56</v>
      </c>
      <c r="AH650" s="1">
        <v>1339.4125919999997</v>
      </c>
      <c r="AI650" s="1">
        <v>3350.407408</v>
      </c>
    </row>
    <row r="651" spans="1:35" x14ac:dyDescent="0.35">
      <c r="A651" s="1">
        <v>1649</v>
      </c>
      <c r="B651" s="2">
        <v>44132</v>
      </c>
      <c r="C651" s="1" t="s">
        <v>35</v>
      </c>
      <c r="D651" s="1" t="s">
        <v>73</v>
      </c>
      <c r="E651" s="1" t="s">
        <v>28</v>
      </c>
      <c r="F651" s="1">
        <v>4753.34</v>
      </c>
      <c r="G651" s="1" t="s">
        <v>222</v>
      </c>
      <c r="H651" s="2">
        <v>28619</v>
      </c>
      <c r="I651" s="2">
        <v>44140</v>
      </c>
      <c r="J651" s="1">
        <v>6.29</v>
      </c>
      <c r="K651" s="1">
        <f t="shared" si="26"/>
        <v>298.98508600000002</v>
      </c>
      <c r="L651" s="1">
        <f t="shared" si="27"/>
        <v>4454.3549140000005</v>
      </c>
      <c r="U651">
        <v>2227.4551000000001</v>
      </c>
      <c r="X651" s="1">
        <v>1897</v>
      </c>
      <c r="Y651" s="2">
        <v>44225</v>
      </c>
      <c r="Z651" s="1" t="str">
        <v>South</v>
      </c>
      <c r="AA651" s="1" t="str">
        <v>Smartphone</v>
      </c>
      <c r="AB651" s="1" t="str">
        <v>Electronics</v>
      </c>
      <c r="AC651" s="1">
        <v>2668.25</v>
      </c>
      <c r="AD651" s="1" t="str">
        <v>Curtis George</v>
      </c>
      <c r="AE651" s="1">
        <v>31467</v>
      </c>
      <c r="AF651" s="1">
        <v>44232</v>
      </c>
      <c r="AG651" s="1">
        <v>16.52</v>
      </c>
      <c r="AH651" s="1">
        <v>440.79489999999998</v>
      </c>
      <c r="AI651" s="1">
        <v>2227.4551000000001</v>
      </c>
    </row>
    <row r="652" spans="1:35" x14ac:dyDescent="0.35">
      <c r="A652" s="1">
        <v>1650</v>
      </c>
      <c r="B652" s="2">
        <v>44820</v>
      </c>
      <c r="C652" s="1" t="s">
        <v>26</v>
      </c>
      <c r="D652" s="1" t="s">
        <v>33</v>
      </c>
      <c r="E652" s="1" t="s">
        <v>16</v>
      </c>
      <c r="F652" s="1">
        <v>981.87</v>
      </c>
      <c r="G652" s="1" t="s">
        <v>165</v>
      </c>
      <c r="H652" s="2">
        <v>29887</v>
      </c>
      <c r="I652" s="2">
        <v>44827</v>
      </c>
      <c r="J652" s="1">
        <v>0.65</v>
      </c>
      <c r="K652" s="1">
        <f t="shared" si="26"/>
        <v>6.3821550000000009</v>
      </c>
      <c r="L652" s="1">
        <f t="shared" si="27"/>
        <v>975.48784499999999</v>
      </c>
      <c r="U652">
        <v>3171.4681989999999</v>
      </c>
      <c r="X652" s="1">
        <v>1898</v>
      </c>
      <c r="Y652" s="2">
        <v>44273</v>
      </c>
      <c r="Z652" s="1" t="str">
        <v>Central</v>
      </c>
      <c r="AA652" s="1" t="str">
        <v>T-Shirt</v>
      </c>
      <c r="AB652" s="1" t="str">
        <v>Clothing</v>
      </c>
      <c r="AC652" s="1">
        <v>3591.29</v>
      </c>
      <c r="AD652" s="1" t="str">
        <v>Cassandra Mckinney</v>
      </c>
      <c r="AE652" s="1">
        <v>36760</v>
      </c>
      <c r="AF652" s="1">
        <v>44283</v>
      </c>
      <c r="AG652" s="1">
        <v>11.69</v>
      </c>
      <c r="AH652" s="1">
        <v>419.82180099999994</v>
      </c>
      <c r="AI652" s="1">
        <v>3171.4681989999999</v>
      </c>
    </row>
    <row r="653" spans="1:35" x14ac:dyDescent="0.35">
      <c r="A653" s="1">
        <v>1651</v>
      </c>
      <c r="B653" s="2">
        <v>44720</v>
      </c>
      <c r="C653" s="1" t="s">
        <v>10</v>
      </c>
      <c r="D653" s="1" t="s">
        <v>65</v>
      </c>
      <c r="E653" s="1" t="s">
        <v>19</v>
      </c>
      <c r="F653" s="1">
        <v>563.67999999999995</v>
      </c>
      <c r="G653" s="1" t="s">
        <v>143</v>
      </c>
      <c r="H653" s="2">
        <v>37490</v>
      </c>
      <c r="I653" s="2">
        <v>44724</v>
      </c>
      <c r="J653" s="1">
        <v>18.170000000000002</v>
      </c>
      <c r="K653" s="1">
        <f t="shared" si="26"/>
        <v>102.42065600000001</v>
      </c>
      <c r="L653" s="1">
        <f t="shared" si="27"/>
        <v>461.25934399999994</v>
      </c>
      <c r="U653">
        <v>3003.872609</v>
      </c>
      <c r="X653" s="1">
        <v>1900</v>
      </c>
      <c r="Y653" s="2">
        <v>45824</v>
      </c>
      <c r="Z653" s="1" t="str">
        <v>West</v>
      </c>
      <c r="AA653" s="1" t="str">
        <v>Bed</v>
      </c>
      <c r="AB653" s="1" t="str">
        <v>Furniture</v>
      </c>
      <c r="AC653" s="1">
        <v>3162.97</v>
      </c>
      <c r="AD653" s="1" t="str">
        <v>Mark Swanson</v>
      </c>
      <c r="AE653" s="1">
        <v>36099</v>
      </c>
      <c r="AF653" s="1">
        <v>45836</v>
      </c>
      <c r="AG653" s="1">
        <v>5.03</v>
      </c>
      <c r="AH653" s="1">
        <v>159.09739100000002</v>
      </c>
      <c r="AI653" s="1">
        <v>3003.872609</v>
      </c>
    </row>
    <row r="654" spans="1:35" x14ac:dyDescent="0.35">
      <c r="A654" s="1">
        <v>1652</v>
      </c>
      <c r="B654" s="2">
        <v>44476</v>
      </c>
      <c r="C654" s="1" t="s">
        <v>10</v>
      </c>
      <c r="D654" s="1" t="s">
        <v>58</v>
      </c>
      <c r="E654" s="1" t="s">
        <v>31</v>
      </c>
      <c r="F654" s="1">
        <v>1065.97</v>
      </c>
      <c r="G654" s="1" t="s">
        <v>135</v>
      </c>
      <c r="H654" s="2">
        <v>38018</v>
      </c>
      <c r="I654" s="2">
        <v>44489</v>
      </c>
      <c r="J654" s="1">
        <v>16.690000000000001</v>
      </c>
      <c r="K654" s="1">
        <f t="shared" si="26"/>
        <v>177.91039300000003</v>
      </c>
      <c r="L654" s="1">
        <f t="shared" si="27"/>
        <v>888.05960700000003</v>
      </c>
      <c r="U654">
        <v>1454.504492</v>
      </c>
      <c r="X654" s="1">
        <v>1901</v>
      </c>
      <c r="Y654" s="2">
        <v>45510</v>
      </c>
      <c r="Z654" s="1" t="str">
        <v>North</v>
      </c>
      <c r="AA654" s="1" t="str">
        <v>Wheat</v>
      </c>
      <c r="AB654" s="1" t="str">
        <v>Groceries</v>
      </c>
      <c r="AC654" s="1">
        <v>1671.46</v>
      </c>
      <c r="AD654" s="1" t="str">
        <v>Jerry Smith</v>
      </c>
      <c r="AE654" s="1">
        <v>26027</v>
      </c>
      <c r="AF654" s="1">
        <v>45523</v>
      </c>
      <c r="AG654" s="1">
        <v>12.98</v>
      </c>
      <c r="AH654" s="1">
        <v>216.95550800000001</v>
      </c>
      <c r="AI654" s="1">
        <v>1454.504492</v>
      </c>
    </row>
    <row r="655" spans="1:35" x14ac:dyDescent="0.35">
      <c r="A655" s="1">
        <v>1653</v>
      </c>
      <c r="B655" s="2">
        <v>44374</v>
      </c>
      <c r="C655" s="1" t="s">
        <v>14</v>
      </c>
      <c r="D655" s="1" t="s">
        <v>36</v>
      </c>
      <c r="E655" s="1" t="s">
        <v>28</v>
      </c>
      <c r="F655" s="1">
        <v>1898.29</v>
      </c>
      <c r="G655" s="1" t="s">
        <v>304</v>
      </c>
      <c r="H655" s="2">
        <v>36246</v>
      </c>
      <c r="I655" s="2">
        <v>44386</v>
      </c>
      <c r="J655" s="1">
        <v>30.32</v>
      </c>
      <c r="K655" s="1">
        <f t="shared" si="26"/>
        <v>575.56152800000007</v>
      </c>
      <c r="L655" s="1">
        <f t="shared" si="27"/>
        <v>1322.7284719999998</v>
      </c>
      <c r="U655">
        <v>3453.5921939999998</v>
      </c>
      <c r="X655" s="1">
        <v>1902</v>
      </c>
      <c r="Y655" s="2">
        <v>45722</v>
      </c>
      <c r="Z655" s="1" t="str">
        <v>East</v>
      </c>
      <c r="AA655" s="1" t="str">
        <v>Rice</v>
      </c>
      <c r="AB655" s="1" t="str">
        <v>Groceries</v>
      </c>
      <c r="AC655" s="1">
        <v>4425.9799999999996</v>
      </c>
      <c r="AD655" s="1" t="str">
        <v>Savannah Smith</v>
      </c>
      <c r="AE655" s="1">
        <v>35889</v>
      </c>
      <c r="AF655" s="1">
        <v>45731</v>
      </c>
      <c r="AG655" s="1">
        <v>21.97</v>
      </c>
      <c r="AH655" s="1">
        <v>972.38780599999984</v>
      </c>
      <c r="AI655" s="1">
        <v>3453.5921939999998</v>
      </c>
    </row>
    <row r="656" spans="1:35" x14ac:dyDescent="0.35">
      <c r="A656" s="1">
        <v>1654</v>
      </c>
      <c r="B656" s="2">
        <v>44437</v>
      </c>
      <c r="C656" s="1" t="s">
        <v>26</v>
      </c>
      <c r="D656" s="1" t="s">
        <v>30</v>
      </c>
      <c r="E656" s="1" t="s">
        <v>31</v>
      </c>
      <c r="F656" s="1">
        <v>2209.92</v>
      </c>
      <c r="G656" s="1" t="s">
        <v>238</v>
      </c>
      <c r="H656" s="2">
        <v>31880</v>
      </c>
      <c r="I656" s="2">
        <v>44450</v>
      </c>
      <c r="J656" s="1">
        <v>4.3099999999999996</v>
      </c>
      <c r="K656" s="1">
        <f t="shared" si="26"/>
        <v>95.247551999999999</v>
      </c>
      <c r="L656" s="1">
        <f t="shared" si="27"/>
        <v>2114.6724480000003</v>
      </c>
      <c r="U656">
        <v>1314.6398220000001</v>
      </c>
      <c r="X656" s="1">
        <v>1903</v>
      </c>
      <c r="Y656" s="2">
        <v>45709</v>
      </c>
      <c r="Z656" s="1" t="str">
        <v>East</v>
      </c>
      <c r="AA656" s="1" t="str">
        <v>Oil</v>
      </c>
      <c r="AB656" s="1" t="str">
        <v>Groceries</v>
      </c>
      <c r="AC656" s="1">
        <v>2140.41</v>
      </c>
      <c r="AD656" s="1" t="str">
        <v>Wesley Olson</v>
      </c>
      <c r="AE656" s="1">
        <v>27166</v>
      </c>
      <c r="AF656" s="1">
        <v>45719</v>
      </c>
      <c r="AG656" s="1">
        <v>38.58</v>
      </c>
      <c r="AH656" s="1">
        <v>825.77017799999987</v>
      </c>
      <c r="AI656" s="1">
        <v>1314.6398220000001</v>
      </c>
    </row>
    <row r="657" spans="1:35" x14ac:dyDescent="0.35">
      <c r="A657" s="1">
        <v>1655</v>
      </c>
      <c r="B657" s="2">
        <v>44345</v>
      </c>
      <c r="C657" s="1" t="s">
        <v>26</v>
      </c>
      <c r="D657" s="1" t="s">
        <v>22</v>
      </c>
      <c r="E657" s="1" t="s">
        <v>19</v>
      </c>
      <c r="F657" s="1">
        <v>2307.13</v>
      </c>
      <c r="G657" s="1" t="s">
        <v>171</v>
      </c>
      <c r="H657" s="2">
        <v>31261</v>
      </c>
      <c r="I657" s="2">
        <v>44354</v>
      </c>
      <c r="J657" s="1">
        <v>37.06</v>
      </c>
      <c r="K657" s="1">
        <f t="shared" si="26"/>
        <v>855.02237800000012</v>
      </c>
      <c r="L657" s="1">
        <f t="shared" si="27"/>
        <v>1452.107622</v>
      </c>
      <c r="U657">
        <v>3171.2131720000002</v>
      </c>
      <c r="X657" s="1">
        <v>1904</v>
      </c>
      <c r="Y657" s="2">
        <v>45077</v>
      </c>
      <c r="Z657" s="1" t="str">
        <v>East</v>
      </c>
      <c r="AA657" s="1" t="str">
        <v>Headphones</v>
      </c>
      <c r="AB657" s="1" t="str">
        <v>Electronics</v>
      </c>
      <c r="AC657" s="1">
        <v>3313.01</v>
      </c>
      <c r="AD657" s="1" t="str">
        <v>Tony Rose</v>
      </c>
      <c r="AE657" s="1">
        <v>31764</v>
      </c>
      <c r="AF657" s="1">
        <v>45090</v>
      </c>
      <c r="AG657" s="1">
        <v>4.28</v>
      </c>
      <c r="AH657" s="1">
        <v>141.79682800000003</v>
      </c>
      <c r="AI657" s="1">
        <v>3171.2131720000002</v>
      </c>
    </row>
    <row r="658" spans="1:35" x14ac:dyDescent="0.35">
      <c r="A658" s="1">
        <v>1656</v>
      </c>
      <c r="B658" s="2">
        <v>44918</v>
      </c>
      <c r="C658" s="1" t="s">
        <v>35</v>
      </c>
      <c r="D658" s="1" t="s">
        <v>88</v>
      </c>
      <c r="E658" s="1" t="s">
        <v>16</v>
      </c>
      <c r="F658" s="1">
        <v>1309.18</v>
      </c>
      <c r="G658" s="1" t="s">
        <v>130</v>
      </c>
      <c r="H658" s="2">
        <v>38750</v>
      </c>
      <c r="I658" s="2">
        <v>44928</v>
      </c>
      <c r="J658" s="1">
        <v>26.82</v>
      </c>
      <c r="K658" s="1">
        <f t="shared" si="26"/>
        <v>351.12207599999999</v>
      </c>
      <c r="L658" s="1">
        <f t="shared" si="27"/>
        <v>958.05792400000007</v>
      </c>
      <c r="U658">
        <v>3781.1749450000002</v>
      </c>
      <c r="X658" s="1">
        <v>1905</v>
      </c>
      <c r="Y658" s="2">
        <v>44945</v>
      </c>
      <c r="Z658" s="1" t="str">
        <v>North</v>
      </c>
      <c r="AA658" s="1" t="str">
        <v>Chair</v>
      </c>
      <c r="AB658" s="1" t="str">
        <v>Furniture</v>
      </c>
      <c r="AC658" s="1">
        <v>4965.43</v>
      </c>
      <c r="AD658" s="1" t="str">
        <v>Richard Gould</v>
      </c>
      <c r="AE658" s="1">
        <v>28747</v>
      </c>
      <c r="AF658" s="1">
        <v>44956</v>
      </c>
      <c r="AG658" s="1">
        <v>23.85</v>
      </c>
      <c r="AH658" s="1">
        <v>1184.2550550000001</v>
      </c>
      <c r="AI658" s="1">
        <v>3781.1749450000002</v>
      </c>
    </row>
    <row r="659" spans="1:35" x14ac:dyDescent="0.35">
      <c r="A659" s="1">
        <v>1657</v>
      </c>
      <c r="B659" s="2">
        <v>44362</v>
      </c>
      <c r="C659" s="1" t="s">
        <v>10</v>
      </c>
      <c r="D659" s="1" t="s">
        <v>55</v>
      </c>
      <c r="E659" s="1" t="s">
        <v>31</v>
      </c>
      <c r="F659" s="1">
        <v>528.41999999999996</v>
      </c>
      <c r="G659" s="1" t="s">
        <v>108</v>
      </c>
      <c r="H659" s="2">
        <v>33413</v>
      </c>
      <c r="I659" s="2">
        <v>44371</v>
      </c>
      <c r="J659" s="1">
        <v>23.23</v>
      </c>
      <c r="K659" s="1">
        <f t="shared" si="26"/>
        <v>122.751966</v>
      </c>
      <c r="L659" s="1">
        <f t="shared" si="27"/>
        <v>405.66803399999998</v>
      </c>
      <c r="U659">
        <v>4126.3878350000005</v>
      </c>
      <c r="X659" s="1">
        <v>1906</v>
      </c>
      <c r="Y659" s="2">
        <v>44731</v>
      </c>
      <c r="Z659" s="1" t="str">
        <v>West</v>
      </c>
      <c r="AA659" s="1" t="str">
        <v>Cricket Bat</v>
      </c>
      <c r="AB659" s="1" t="str">
        <v>Sports</v>
      </c>
      <c r="AC659" s="1">
        <v>4140.05</v>
      </c>
      <c r="AD659" s="1" t="str">
        <v>David Noble</v>
      </c>
      <c r="AE659" s="1">
        <v>22594</v>
      </c>
      <c r="AF659" s="1">
        <v>44736</v>
      </c>
      <c r="AG659" s="1">
        <v>0.33</v>
      </c>
      <c r="AH659" s="1">
        <v>13.662165</v>
      </c>
      <c r="AI659" s="1">
        <v>4126.3878350000005</v>
      </c>
    </row>
    <row r="660" spans="1:35" x14ac:dyDescent="0.35">
      <c r="A660" s="1">
        <v>1658</v>
      </c>
      <c r="B660" s="2">
        <v>44430</v>
      </c>
      <c r="C660" s="1" t="s">
        <v>35</v>
      </c>
      <c r="D660" s="1" t="s">
        <v>49</v>
      </c>
      <c r="E660" s="1" t="s">
        <v>12</v>
      </c>
      <c r="F660" s="1">
        <v>2670.17</v>
      </c>
      <c r="G660" s="1" t="s">
        <v>288</v>
      </c>
      <c r="H660" s="2">
        <v>29810</v>
      </c>
      <c r="I660" s="2">
        <v>44441</v>
      </c>
      <c r="J660" s="1">
        <v>15.3</v>
      </c>
      <c r="K660" s="1">
        <f t="shared" si="26"/>
        <v>408.53600999999998</v>
      </c>
      <c r="L660" s="1">
        <f t="shared" si="27"/>
        <v>2261.6339900000003</v>
      </c>
      <c r="U660">
        <v>1247.1928320000002</v>
      </c>
      <c r="X660" s="1">
        <v>1907</v>
      </c>
      <c r="Y660" s="2">
        <v>45762</v>
      </c>
      <c r="Z660" s="1" t="str">
        <v>South</v>
      </c>
      <c r="AA660" s="1" t="str">
        <v>Camera</v>
      </c>
      <c r="AB660" s="1" t="str">
        <v>Electronics</v>
      </c>
      <c r="AC660" s="1">
        <v>1722.88</v>
      </c>
      <c r="AD660" s="1" t="str">
        <v>Robert Edwards</v>
      </c>
      <c r="AE660" s="1">
        <v>32330</v>
      </c>
      <c r="AF660" s="1">
        <v>45764</v>
      </c>
      <c r="AG660" s="1">
        <v>27.61</v>
      </c>
      <c r="AH660" s="1">
        <v>475.68716800000004</v>
      </c>
      <c r="AI660" s="1">
        <v>1247.1928320000002</v>
      </c>
    </row>
    <row r="661" spans="1:35" x14ac:dyDescent="0.35">
      <c r="A661" s="1">
        <v>1659</v>
      </c>
      <c r="B661" s="2">
        <v>45036</v>
      </c>
      <c r="C661" s="1" t="s">
        <v>21</v>
      </c>
      <c r="D661" s="1" t="s">
        <v>71</v>
      </c>
      <c r="E661" s="1" t="s">
        <v>31</v>
      </c>
      <c r="F661" s="1">
        <v>2555.38</v>
      </c>
      <c r="G661" s="1" t="s">
        <v>305</v>
      </c>
      <c r="H661" s="2">
        <v>21940</v>
      </c>
      <c r="I661" s="2">
        <v>45041</v>
      </c>
      <c r="J661" s="1">
        <v>19.41</v>
      </c>
      <c r="K661" s="1">
        <f t="shared" si="26"/>
        <v>495.999258</v>
      </c>
      <c r="L661" s="1">
        <f t="shared" si="27"/>
        <v>2059.3807420000003</v>
      </c>
      <c r="U661">
        <v>1213.1795040000002</v>
      </c>
      <c r="X661" s="1">
        <v>1908</v>
      </c>
      <c r="Y661" s="2">
        <v>45286</v>
      </c>
      <c r="Z661" s="1" t="str">
        <v>West</v>
      </c>
      <c r="AA661" s="1" t="str">
        <v>Tennis Racket</v>
      </c>
      <c r="AB661" s="1" t="str">
        <v>Sports</v>
      </c>
      <c r="AC661" s="1">
        <v>1275.42</v>
      </c>
      <c r="AD661" s="1" t="str">
        <v>Kurt Cabrera</v>
      </c>
      <c r="AE661" s="1">
        <v>28065</v>
      </c>
      <c r="AF661" s="1">
        <v>45296</v>
      </c>
      <c r="AG661" s="1">
        <v>4.88</v>
      </c>
      <c r="AH661" s="1">
        <v>62.240496</v>
      </c>
      <c r="AI661" s="1">
        <v>1213.1795040000002</v>
      </c>
    </row>
    <row r="662" spans="1:35" x14ac:dyDescent="0.35">
      <c r="A662" s="1">
        <v>1660</v>
      </c>
      <c r="B662" s="2">
        <v>44120</v>
      </c>
      <c r="C662" s="1" t="s">
        <v>26</v>
      </c>
      <c r="D662" s="1" t="s">
        <v>55</v>
      </c>
      <c r="E662" s="1" t="s">
        <v>31</v>
      </c>
      <c r="F662" s="1">
        <v>4831.3999999999996</v>
      </c>
      <c r="G662" s="1" t="s">
        <v>163</v>
      </c>
      <c r="H662" s="2">
        <v>30364</v>
      </c>
      <c r="I662" s="2">
        <v>44127</v>
      </c>
      <c r="J662" s="1">
        <v>19.36</v>
      </c>
      <c r="K662" s="1">
        <f t="shared" si="26"/>
        <v>935.35903999999994</v>
      </c>
      <c r="L662" s="1">
        <f t="shared" si="27"/>
        <v>3896.0409599999998</v>
      </c>
      <c r="U662">
        <v>2230.9830400000001</v>
      </c>
      <c r="X662" s="1">
        <v>1909</v>
      </c>
      <c r="Y662" s="2">
        <v>44909</v>
      </c>
      <c r="Z662" s="1" t="str">
        <v>West</v>
      </c>
      <c r="AA662" s="1" t="str">
        <v>Camera</v>
      </c>
      <c r="AB662" s="1" t="str">
        <v>Electronics</v>
      </c>
      <c r="AC662" s="1">
        <v>3335.8</v>
      </c>
      <c r="AD662" s="1" t="str">
        <v>Mrs. Rebecca Young</v>
      </c>
      <c r="AE662" s="1">
        <v>30820</v>
      </c>
      <c r="AF662" s="1">
        <v>44917</v>
      </c>
      <c r="AG662" s="1">
        <v>33.119999999999997</v>
      </c>
      <c r="AH662" s="1">
        <v>1104.8169600000001</v>
      </c>
      <c r="AI662" s="1">
        <v>2230.9830400000001</v>
      </c>
    </row>
    <row r="663" spans="1:35" x14ac:dyDescent="0.35">
      <c r="A663" s="1">
        <v>1661</v>
      </c>
      <c r="B663" s="2">
        <v>45816</v>
      </c>
      <c r="C663" s="1" t="s">
        <v>14</v>
      </c>
      <c r="D663" s="1" t="s">
        <v>22</v>
      </c>
      <c r="E663" s="1" t="s">
        <v>19</v>
      </c>
      <c r="F663" s="1">
        <v>4672.3599999999997</v>
      </c>
      <c r="G663" s="1" t="s">
        <v>189</v>
      </c>
      <c r="H663" s="2">
        <v>34164</v>
      </c>
      <c r="I663" s="2">
        <v>45827</v>
      </c>
      <c r="J663" s="1">
        <v>14.4</v>
      </c>
      <c r="K663" s="1">
        <f t="shared" si="26"/>
        <v>672.81984</v>
      </c>
      <c r="L663" s="1">
        <f t="shared" si="27"/>
        <v>3999.5401599999996</v>
      </c>
      <c r="U663">
        <v>1279.639197</v>
      </c>
      <c r="X663" s="1">
        <v>1911</v>
      </c>
      <c r="Y663" s="2">
        <v>45354</v>
      </c>
      <c r="Z663" s="1" t="str">
        <v>North</v>
      </c>
      <c r="AA663" s="1" t="str">
        <v>Football</v>
      </c>
      <c r="AB663" s="1" t="str">
        <v>Sports</v>
      </c>
      <c r="AC663" s="1">
        <v>2218.13</v>
      </c>
      <c r="AD663" s="1" t="str">
        <v>Edward Gonzalez</v>
      </c>
      <c r="AE663" s="1">
        <v>38750</v>
      </c>
      <c r="AF663" s="1">
        <v>45361</v>
      </c>
      <c r="AG663" s="1">
        <v>42.31</v>
      </c>
      <c r="AH663" s="1">
        <v>938.49080300000014</v>
      </c>
      <c r="AI663" s="1">
        <v>1279.639197</v>
      </c>
    </row>
    <row r="664" spans="1:35" x14ac:dyDescent="0.35">
      <c r="A664" s="1">
        <v>1662</v>
      </c>
      <c r="B664" s="2">
        <v>44407</v>
      </c>
      <c r="C664" s="1" t="s">
        <v>26</v>
      </c>
      <c r="D664" s="1" t="s">
        <v>38</v>
      </c>
      <c r="E664" s="1" t="s">
        <v>28</v>
      </c>
      <c r="F664" s="1">
        <v>849.78</v>
      </c>
      <c r="G664" s="1" t="s">
        <v>262</v>
      </c>
      <c r="H664" s="2">
        <v>36590</v>
      </c>
      <c r="I664" s="2">
        <v>44420</v>
      </c>
      <c r="J664" s="1">
        <v>1.58</v>
      </c>
      <c r="K664" s="1">
        <f t="shared" si="26"/>
        <v>13.426524000000001</v>
      </c>
      <c r="L664" s="1">
        <f t="shared" si="27"/>
        <v>836.353476</v>
      </c>
      <c r="U664">
        <v>2626.0381640000001</v>
      </c>
      <c r="X664" s="1">
        <v>1913</v>
      </c>
      <c r="Y664" s="2">
        <v>45260</v>
      </c>
      <c r="Z664" s="1" t="str">
        <v>East</v>
      </c>
      <c r="AA664" s="1" t="str">
        <v>Oil</v>
      </c>
      <c r="AB664" s="1" t="str">
        <v>Groceries</v>
      </c>
      <c r="AC664" s="1">
        <v>3442.63</v>
      </c>
      <c r="AD664" s="1" t="str">
        <v>Gabriel Watson</v>
      </c>
      <c r="AE664" s="1">
        <v>34427</v>
      </c>
      <c r="AF664" s="1">
        <v>45274</v>
      </c>
      <c r="AG664" s="1">
        <v>23.72</v>
      </c>
      <c r="AH664" s="1">
        <v>816.59183600000006</v>
      </c>
      <c r="AI664" s="1">
        <v>2626.0381640000001</v>
      </c>
    </row>
    <row r="665" spans="1:35" x14ac:dyDescent="0.35">
      <c r="A665" s="1">
        <v>1663</v>
      </c>
      <c r="B665" s="2">
        <v>44120</v>
      </c>
      <c r="C665" s="1" t="s">
        <v>21</v>
      </c>
      <c r="D665" s="1" t="s">
        <v>88</v>
      </c>
      <c r="E665" s="1" t="s">
        <v>16</v>
      </c>
      <c r="F665" s="1">
        <v>1174.31</v>
      </c>
      <c r="G665" s="1" t="s">
        <v>300</v>
      </c>
      <c r="H665" s="2">
        <v>24322</v>
      </c>
      <c r="I665" s="2">
        <v>44129</v>
      </c>
      <c r="J665" s="1">
        <v>14.95</v>
      </c>
      <c r="K665" s="1">
        <f t="shared" si="26"/>
        <v>175.55934499999998</v>
      </c>
      <c r="L665" s="1">
        <f t="shared" si="27"/>
        <v>998.75065499999994</v>
      </c>
      <c r="U665">
        <v>3918.8910180000003</v>
      </c>
      <c r="X665" s="1">
        <v>1914</v>
      </c>
      <c r="Y665" s="2">
        <v>44398</v>
      </c>
      <c r="Z665" s="1" t="str">
        <v>West</v>
      </c>
      <c r="AA665" s="1" t="str">
        <v>Cricket Bat</v>
      </c>
      <c r="AB665" s="1" t="str">
        <v>Sports</v>
      </c>
      <c r="AC665" s="1">
        <v>4270.34</v>
      </c>
      <c r="AD665" s="1" t="str">
        <v>Timothy Castaneda</v>
      </c>
      <c r="AE665" s="1">
        <v>31880</v>
      </c>
      <c r="AF665" s="1">
        <v>44410</v>
      </c>
      <c r="AG665" s="1">
        <v>8.23</v>
      </c>
      <c r="AH665" s="1">
        <v>351.448982</v>
      </c>
      <c r="AI665" s="1">
        <v>3918.8910180000003</v>
      </c>
    </row>
    <row r="666" spans="1:35" x14ac:dyDescent="0.35">
      <c r="A666" s="1">
        <v>1664</v>
      </c>
      <c r="B666" s="2">
        <v>45789</v>
      </c>
      <c r="C666" s="1" t="s">
        <v>14</v>
      </c>
      <c r="D666" s="1" t="s">
        <v>27</v>
      </c>
      <c r="E666" s="1" t="s">
        <v>28</v>
      </c>
      <c r="F666" s="1">
        <v>209.13</v>
      </c>
      <c r="G666" s="1" t="s">
        <v>149</v>
      </c>
      <c r="H666" s="2">
        <v>26155</v>
      </c>
      <c r="I666" s="2">
        <v>45793</v>
      </c>
      <c r="J666" s="1">
        <v>19.75</v>
      </c>
      <c r="K666" s="1">
        <f t="shared" si="26"/>
        <v>41.303175000000003</v>
      </c>
      <c r="L666" s="1">
        <f t="shared" si="27"/>
        <v>167.82682499999999</v>
      </c>
      <c r="U666">
        <v>1372.40481</v>
      </c>
      <c r="X666" s="1">
        <v>1915</v>
      </c>
      <c r="Y666" s="2">
        <v>44264</v>
      </c>
      <c r="Z666" s="1" t="str">
        <v>Central</v>
      </c>
      <c r="AA666" s="1" t="str">
        <v>Basketball</v>
      </c>
      <c r="AB666" s="1" t="str">
        <v>Sports</v>
      </c>
      <c r="AC666" s="1">
        <v>1651.51</v>
      </c>
      <c r="AD666" s="1" t="str">
        <v>Nathaniel Gonzalez</v>
      </c>
      <c r="AE666" s="1">
        <v>31082</v>
      </c>
      <c r="AF666" s="1">
        <v>44266</v>
      </c>
      <c r="AG666" s="1">
        <v>16.899999999999999</v>
      </c>
      <c r="AH666" s="1">
        <v>279.10518999999999</v>
      </c>
      <c r="AI666" s="1">
        <v>1372.40481</v>
      </c>
    </row>
    <row r="667" spans="1:35" x14ac:dyDescent="0.35">
      <c r="A667" s="1">
        <v>1665</v>
      </c>
      <c r="B667" s="2">
        <v>44583</v>
      </c>
      <c r="C667" s="1" t="s">
        <v>26</v>
      </c>
      <c r="D667" s="1" t="s">
        <v>11</v>
      </c>
      <c r="E667" s="1" t="s">
        <v>12</v>
      </c>
      <c r="F667" s="1">
        <v>4882.18</v>
      </c>
      <c r="G667" s="1" t="s">
        <v>169</v>
      </c>
      <c r="H667" s="2">
        <v>37894</v>
      </c>
      <c r="I667" s="2">
        <v>44590</v>
      </c>
      <c r="J667" s="1">
        <v>28.88</v>
      </c>
      <c r="K667" s="1">
        <f t="shared" si="26"/>
        <v>1409.9735840000001</v>
      </c>
      <c r="L667" s="1">
        <f t="shared" si="27"/>
        <v>3472.206416</v>
      </c>
      <c r="U667">
        <v>1697.3883679999999</v>
      </c>
      <c r="X667" s="1">
        <v>1916</v>
      </c>
      <c r="Y667" s="2">
        <v>44360</v>
      </c>
      <c r="Z667" s="1" t="str">
        <v>Central</v>
      </c>
      <c r="AA667" s="1" t="str">
        <v>Rice</v>
      </c>
      <c r="AB667" s="1" t="str">
        <v>Groceries</v>
      </c>
      <c r="AC667" s="1">
        <v>2540.2399999999998</v>
      </c>
      <c r="AD667" s="1" t="str">
        <v>Andrew Weaver</v>
      </c>
      <c r="AE667" s="1">
        <v>33394</v>
      </c>
      <c r="AF667" s="1">
        <v>44372</v>
      </c>
      <c r="AG667" s="1">
        <v>33.18</v>
      </c>
      <c r="AH667" s="1">
        <v>842.85163199999988</v>
      </c>
      <c r="AI667" s="1">
        <v>1697.3883679999999</v>
      </c>
    </row>
    <row r="668" spans="1:35" x14ac:dyDescent="0.35">
      <c r="A668" s="1">
        <v>1666</v>
      </c>
      <c r="B668" s="2">
        <v>45636</v>
      </c>
      <c r="C668" s="1" t="s">
        <v>10</v>
      </c>
      <c r="D668" s="1" t="s">
        <v>71</v>
      </c>
      <c r="E668" s="1" t="s">
        <v>31</v>
      </c>
      <c r="F668" s="1">
        <v>639.63</v>
      </c>
      <c r="G668" s="1" t="s">
        <v>301</v>
      </c>
      <c r="H668" s="2">
        <v>31775</v>
      </c>
      <c r="I668" s="2">
        <v>45641</v>
      </c>
      <c r="J668" s="1">
        <v>41.11</v>
      </c>
      <c r="K668" s="1">
        <f t="shared" si="26"/>
        <v>262.95189299999998</v>
      </c>
      <c r="L668" s="1">
        <f t="shared" si="27"/>
        <v>376.67810700000001</v>
      </c>
      <c r="U668">
        <v>3591.3208959999997</v>
      </c>
      <c r="X668" s="1">
        <v>1917</v>
      </c>
      <c r="Y668" s="2">
        <v>45643</v>
      </c>
      <c r="Z668" s="1" t="str">
        <v>East</v>
      </c>
      <c r="AA668" s="1" t="str">
        <v>Basketball</v>
      </c>
      <c r="AB668" s="1" t="str">
        <v>Sports</v>
      </c>
      <c r="AC668" s="1">
        <v>4900.82</v>
      </c>
      <c r="AD668" s="1" t="str">
        <v>Lee Hobbs</v>
      </c>
      <c r="AE668" s="1">
        <v>30299</v>
      </c>
      <c r="AF668" s="1">
        <v>45655</v>
      </c>
      <c r="AG668" s="1">
        <v>26.72</v>
      </c>
      <c r="AH668" s="1">
        <v>1309.499104</v>
      </c>
      <c r="AI668" s="1">
        <v>3591.3208959999997</v>
      </c>
    </row>
    <row r="669" spans="1:35" x14ac:dyDescent="0.35">
      <c r="A669" s="1">
        <v>1667</v>
      </c>
      <c r="B669" s="2">
        <v>44932</v>
      </c>
      <c r="C669" s="1" t="s">
        <v>35</v>
      </c>
      <c r="D669" s="1" t="s">
        <v>24</v>
      </c>
      <c r="E669" s="1" t="s">
        <v>19</v>
      </c>
      <c r="F669" s="1">
        <v>2188.62</v>
      </c>
      <c r="G669" s="1" t="s">
        <v>136</v>
      </c>
      <c r="H669" s="2">
        <v>23704</v>
      </c>
      <c r="I669" s="2">
        <v>44942</v>
      </c>
      <c r="J669" s="1">
        <v>30.97</v>
      </c>
      <c r="K669" s="1">
        <f t="shared" si="26"/>
        <v>677.81561399999987</v>
      </c>
      <c r="L669" s="1">
        <f t="shared" si="27"/>
        <v>1510.804386</v>
      </c>
      <c r="U669">
        <v>2316.9913459999998</v>
      </c>
      <c r="X669" s="1">
        <v>1918</v>
      </c>
      <c r="Y669" s="2">
        <v>45298</v>
      </c>
      <c r="Z669" s="1" t="str">
        <v>South</v>
      </c>
      <c r="AA669" s="1" t="str">
        <v>Chair</v>
      </c>
      <c r="AB669" s="1" t="str">
        <v>Furniture</v>
      </c>
      <c r="AC669" s="1">
        <v>4280.42</v>
      </c>
      <c r="AD669" s="1" t="str">
        <v>Darren Coleman</v>
      </c>
      <c r="AE669" s="1">
        <v>24719</v>
      </c>
      <c r="AF669" s="1">
        <v>45300</v>
      </c>
      <c r="AG669" s="1">
        <v>45.87</v>
      </c>
      <c r="AH669" s="1">
        <v>1963.4286540000001</v>
      </c>
      <c r="AI669" s="1">
        <v>2316.9913459999998</v>
      </c>
    </row>
    <row r="670" spans="1:35" x14ac:dyDescent="0.35">
      <c r="A670" s="1">
        <v>1668</v>
      </c>
      <c r="B670" s="2">
        <v>44744</v>
      </c>
      <c r="C670" s="1" t="s">
        <v>35</v>
      </c>
      <c r="D670" s="1" t="s">
        <v>69</v>
      </c>
      <c r="E670" s="1" t="s">
        <v>12</v>
      </c>
      <c r="F670" s="1">
        <v>789.74</v>
      </c>
      <c r="G670" s="1" t="s">
        <v>89</v>
      </c>
      <c r="H670" s="2">
        <v>37141</v>
      </c>
      <c r="I670" s="2">
        <v>44749</v>
      </c>
      <c r="J670" s="1">
        <v>5.84</v>
      </c>
      <c r="K670" s="1">
        <f t="shared" si="26"/>
        <v>46.120815999999998</v>
      </c>
      <c r="L670" s="1">
        <f t="shared" si="27"/>
        <v>743.61918400000002</v>
      </c>
      <c r="U670">
        <v>1309.688883</v>
      </c>
      <c r="X670" s="1">
        <v>1920</v>
      </c>
      <c r="Y670" s="2">
        <v>45806</v>
      </c>
      <c r="Z670" s="1" t="str">
        <v>East</v>
      </c>
      <c r="AA670" s="1" t="str">
        <v>Rice</v>
      </c>
      <c r="AB670" s="1" t="str">
        <v>Groceries</v>
      </c>
      <c r="AC670" s="1">
        <v>1915.59</v>
      </c>
      <c r="AD670" s="1" t="str">
        <v>Tyler Frye</v>
      </c>
      <c r="AE670" s="1">
        <v>22210</v>
      </c>
      <c r="AF670" s="1">
        <v>45810</v>
      </c>
      <c r="AG670" s="1">
        <v>31.63</v>
      </c>
      <c r="AH670" s="1">
        <v>605.90111699999989</v>
      </c>
      <c r="AI670" s="1">
        <v>1309.688883</v>
      </c>
    </row>
    <row r="671" spans="1:35" x14ac:dyDescent="0.35">
      <c r="A671" s="1">
        <v>1669</v>
      </c>
      <c r="B671" s="2">
        <v>44270</v>
      </c>
      <c r="C671" s="1" t="s">
        <v>26</v>
      </c>
      <c r="D671" s="1" t="s">
        <v>65</v>
      </c>
      <c r="E671" s="1" t="s">
        <v>19</v>
      </c>
      <c r="F671" s="1">
        <v>3669.41</v>
      </c>
      <c r="G671" s="1" t="s">
        <v>207</v>
      </c>
      <c r="H671" s="2">
        <v>23988</v>
      </c>
      <c r="I671" s="2">
        <v>44284</v>
      </c>
      <c r="J671" s="1">
        <v>42.15</v>
      </c>
      <c r="K671" s="1">
        <f t="shared" si="26"/>
        <v>1546.6563149999999</v>
      </c>
      <c r="L671" s="1">
        <f t="shared" si="27"/>
        <v>2122.7536849999997</v>
      </c>
      <c r="U671">
        <v>1846.4436380000002</v>
      </c>
      <c r="X671" s="1">
        <v>1922</v>
      </c>
      <c r="Y671" s="2">
        <v>45034</v>
      </c>
      <c r="Z671" s="1" t="str">
        <v>Central</v>
      </c>
      <c r="AA671" s="1" t="str">
        <v>Eggs</v>
      </c>
      <c r="AB671" s="1" t="str">
        <v>Groceries</v>
      </c>
      <c r="AC671" s="1">
        <v>3524.42</v>
      </c>
      <c r="AD671" s="1" t="str">
        <v>Jacqueline Chen</v>
      </c>
      <c r="AE671" s="1">
        <v>25163</v>
      </c>
      <c r="AF671" s="1">
        <v>45040</v>
      </c>
      <c r="AG671" s="1">
        <v>47.61</v>
      </c>
      <c r="AH671" s="1">
        <v>1677.9763619999999</v>
      </c>
      <c r="AI671" s="1">
        <v>1846.4436380000002</v>
      </c>
    </row>
    <row r="672" spans="1:35" x14ac:dyDescent="0.35">
      <c r="A672" s="1">
        <v>1670</v>
      </c>
      <c r="B672" s="2">
        <v>45041</v>
      </c>
      <c r="C672" s="1" t="s">
        <v>21</v>
      </c>
      <c r="D672" s="1" t="s">
        <v>69</v>
      </c>
      <c r="E672" s="1" t="s">
        <v>31</v>
      </c>
      <c r="F672" s="1">
        <v>2238.67</v>
      </c>
      <c r="G672" s="1" t="s">
        <v>142</v>
      </c>
      <c r="H672" s="2">
        <v>29541</v>
      </c>
      <c r="I672" s="2">
        <v>45049</v>
      </c>
      <c r="J672" s="1">
        <v>12.27</v>
      </c>
      <c r="K672" s="1">
        <f t="shared" si="26"/>
        <v>274.68480899999997</v>
      </c>
      <c r="L672" s="1">
        <f t="shared" si="27"/>
        <v>1963.9851910000002</v>
      </c>
      <c r="U672">
        <v>1268.1087</v>
      </c>
      <c r="X672" s="1">
        <v>1923</v>
      </c>
      <c r="Y672" s="2">
        <v>44304</v>
      </c>
      <c r="Z672" s="1" t="str">
        <v>South</v>
      </c>
      <c r="AA672" s="1" t="str">
        <v>Tablet</v>
      </c>
      <c r="AB672" s="1" t="str">
        <v>Electronics</v>
      </c>
      <c r="AC672" s="1">
        <v>1287.42</v>
      </c>
      <c r="AD672" s="1" t="str">
        <v>Robert Nunez</v>
      </c>
      <c r="AE672" s="1">
        <v>26300</v>
      </c>
      <c r="AF672" s="1">
        <v>44313</v>
      </c>
      <c r="AG672" s="1">
        <v>1.5</v>
      </c>
      <c r="AH672" s="1">
        <v>19.311299999999999</v>
      </c>
      <c r="AI672" s="1">
        <v>1268.1087</v>
      </c>
    </row>
    <row r="673" spans="1:35" x14ac:dyDescent="0.35">
      <c r="A673" s="1">
        <v>1671</v>
      </c>
      <c r="B673" s="2">
        <v>45412</v>
      </c>
      <c r="C673" s="1" t="s">
        <v>10</v>
      </c>
      <c r="D673" s="1" t="s">
        <v>15</v>
      </c>
      <c r="E673" s="1" t="s">
        <v>16</v>
      </c>
      <c r="F673" s="1">
        <v>1138.79</v>
      </c>
      <c r="G673" s="1" t="s">
        <v>85</v>
      </c>
      <c r="H673" s="2">
        <v>37236</v>
      </c>
      <c r="I673" s="2">
        <v>45422</v>
      </c>
      <c r="J673" s="1">
        <v>32.72</v>
      </c>
      <c r="K673" s="1">
        <f t="shared" si="26"/>
        <v>372.61208799999997</v>
      </c>
      <c r="L673" s="1">
        <f t="shared" si="27"/>
        <v>766.17791199999999</v>
      </c>
      <c r="U673">
        <v>3989.0145600000005</v>
      </c>
      <c r="X673" s="1">
        <v>1926</v>
      </c>
      <c r="Y673" s="2">
        <v>44778</v>
      </c>
      <c r="Z673" s="1" t="str">
        <v>Central</v>
      </c>
      <c r="AA673" s="1" t="str">
        <v>Table</v>
      </c>
      <c r="AB673" s="1" t="str">
        <v>Furniture</v>
      </c>
      <c r="AC673" s="1">
        <v>4978.8</v>
      </c>
      <c r="AD673" s="1" t="str">
        <v>William Key</v>
      </c>
      <c r="AE673" s="1">
        <v>34209</v>
      </c>
      <c r="AF673" s="1">
        <v>44790</v>
      </c>
      <c r="AG673" s="1">
        <v>19.88</v>
      </c>
      <c r="AH673" s="1">
        <v>989.78543999999988</v>
      </c>
      <c r="AI673" s="1">
        <v>3989.0145600000005</v>
      </c>
    </row>
    <row r="674" spans="1:35" x14ac:dyDescent="0.35">
      <c r="A674" s="1">
        <v>1672</v>
      </c>
      <c r="B674" s="2">
        <v>45872</v>
      </c>
      <c r="C674" s="1" t="s">
        <v>21</v>
      </c>
      <c r="D674" s="1" t="s">
        <v>11</v>
      </c>
      <c r="E674" s="1" t="s">
        <v>12</v>
      </c>
      <c r="F674" s="1">
        <v>1098.3800000000001</v>
      </c>
      <c r="G674" s="1" t="s">
        <v>133</v>
      </c>
      <c r="H674" s="2">
        <v>23264</v>
      </c>
      <c r="I674" s="2">
        <v>45875</v>
      </c>
      <c r="J674" s="1">
        <v>9.08</v>
      </c>
      <c r="K674" s="1">
        <f t="shared" si="26"/>
        <v>99.732904000000019</v>
      </c>
      <c r="L674" s="1">
        <f t="shared" si="27"/>
        <v>998.64709600000015</v>
      </c>
      <c r="U674">
        <v>3099.8509089999998</v>
      </c>
      <c r="X674" s="1">
        <v>1927</v>
      </c>
      <c r="Y674" s="2">
        <v>44664</v>
      </c>
      <c r="Z674" s="1" t="str">
        <v>North</v>
      </c>
      <c r="AA674" s="1" t="str">
        <v>Milk</v>
      </c>
      <c r="AB674" s="1" t="str">
        <v>Groceries</v>
      </c>
      <c r="AC674" s="1">
        <v>4206.6099999999997</v>
      </c>
      <c r="AD674" s="1" t="str">
        <v>Alyssa Schroeder</v>
      </c>
      <c r="AE674" s="1">
        <v>34557</v>
      </c>
      <c r="AF674" s="1">
        <v>44670</v>
      </c>
      <c r="AG674" s="1">
        <v>26.31</v>
      </c>
      <c r="AH674" s="1">
        <v>1106.7590909999999</v>
      </c>
      <c r="AI674" s="1">
        <v>3099.8509089999998</v>
      </c>
    </row>
    <row r="675" spans="1:35" x14ac:dyDescent="0.35">
      <c r="A675" s="1">
        <v>1673</v>
      </c>
      <c r="B675" s="2">
        <v>44190</v>
      </c>
      <c r="C675" s="1" t="s">
        <v>35</v>
      </c>
      <c r="D675" s="1" t="s">
        <v>44</v>
      </c>
      <c r="E675" s="1" t="s">
        <v>16</v>
      </c>
      <c r="F675" s="1">
        <v>1502.05</v>
      </c>
      <c r="G675" s="1" t="s">
        <v>95</v>
      </c>
      <c r="H675" s="2">
        <v>25821</v>
      </c>
      <c r="I675" s="2">
        <v>44201</v>
      </c>
      <c r="J675" s="1">
        <v>10.3</v>
      </c>
      <c r="K675" s="1">
        <f t="shared" si="26"/>
        <v>154.71115</v>
      </c>
      <c r="L675" s="1">
        <f t="shared" si="27"/>
        <v>1347.3388499999999</v>
      </c>
      <c r="U675">
        <v>3206.6947449999998</v>
      </c>
      <c r="X675" s="1">
        <v>1928</v>
      </c>
      <c r="Y675" s="2">
        <v>45402</v>
      </c>
      <c r="Z675" s="1" t="str">
        <v>Central</v>
      </c>
      <c r="AA675" s="1" t="str">
        <v>Table</v>
      </c>
      <c r="AB675" s="1" t="str">
        <v>Furniture</v>
      </c>
      <c r="AC675" s="1">
        <v>3917.77</v>
      </c>
      <c r="AD675" s="1" t="str">
        <v>Daniel Cabrera</v>
      </c>
      <c r="AE675" s="1">
        <v>24033</v>
      </c>
      <c r="AF675" s="1">
        <v>45403</v>
      </c>
      <c r="AG675" s="1">
        <v>18.149999999999999</v>
      </c>
      <c r="AH675" s="1">
        <v>711.07525499999997</v>
      </c>
      <c r="AI675" s="1">
        <v>3206.6947449999998</v>
      </c>
    </row>
    <row r="676" spans="1:35" x14ac:dyDescent="0.35">
      <c r="A676" s="1">
        <v>1674</v>
      </c>
      <c r="B676" s="2">
        <v>45177</v>
      </c>
      <c r="C676" s="1" t="s">
        <v>14</v>
      </c>
      <c r="D676" s="1" t="s">
        <v>18</v>
      </c>
      <c r="E676" s="1" t="s">
        <v>19</v>
      </c>
      <c r="F676" s="1">
        <v>542.29999999999995</v>
      </c>
      <c r="G676" s="1" t="s">
        <v>190</v>
      </c>
      <c r="H676" s="2">
        <v>33354</v>
      </c>
      <c r="I676" s="2">
        <v>45190</v>
      </c>
      <c r="J676" s="1">
        <v>41.18</v>
      </c>
      <c r="K676" s="1">
        <f t="shared" si="26"/>
        <v>223.31913999999998</v>
      </c>
      <c r="L676" s="1">
        <f t="shared" si="27"/>
        <v>318.98086000000001</v>
      </c>
      <c r="U676">
        <v>3394.7501280000001</v>
      </c>
      <c r="X676" s="1">
        <v>1930</v>
      </c>
      <c r="Y676" s="2">
        <v>45578</v>
      </c>
      <c r="Z676" s="1" t="str">
        <v>East</v>
      </c>
      <c r="AA676" s="1" t="str">
        <v>Table</v>
      </c>
      <c r="AB676" s="1" t="str">
        <v>Furniture</v>
      </c>
      <c r="AC676" s="1">
        <v>3782.03</v>
      </c>
      <c r="AD676" s="1" t="str">
        <v>Joshua Joseph</v>
      </c>
      <c r="AE676" s="1">
        <v>29386</v>
      </c>
      <c r="AF676" s="1">
        <v>45590</v>
      </c>
      <c r="AG676" s="1">
        <v>10.24</v>
      </c>
      <c r="AH676" s="1">
        <v>387.27987200000001</v>
      </c>
      <c r="AI676" s="1">
        <v>3394.7501280000001</v>
      </c>
    </row>
    <row r="677" spans="1:35" x14ac:dyDescent="0.35">
      <c r="A677" s="1">
        <v>1675</v>
      </c>
      <c r="B677" s="2">
        <v>45015</v>
      </c>
      <c r="C677" s="1" t="s">
        <v>35</v>
      </c>
      <c r="D677" s="1" t="s">
        <v>33</v>
      </c>
      <c r="E677" s="1" t="s">
        <v>16</v>
      </c>
      <c r="F677" s="1">
        <v>1210.26</v>
      </c>
      <c r="G677" s="1" t="s">
        <v>306</v>
      </c>
      <c r="H677" s="2">
        <v>23652</v>
      </c>
      <c r="I677" s="2">
        <v>45027</v>
      </c>
      <c r="J677" s="1">
        <v>45.32</v>
      </c>
      <c r="K677" s="1">
        <f t="shared" si="26"/>
        <v>548.48983199999998</v>
      </c>
      <c r="L677" s="1">
        <f t="shared" si="27"/>
        <v>661.77016800000001</v>
      </c>
      <c r="U677">
        <v>3681.3970600000002</v>
      </c>
      <c r="X677" s="1">
        <v>1932</v>
      </c>
      <c r="Y677" s="2">
        <v>44067</v>
      </c>
      <c r="Z677" s="1" t="str">
        <v>North</v>
      </c>
      <c r="AA677" s="1" t="str">
        <v>Headphones</v>
      </c>
      <c r="AB677" s="1" t="str">
        <v>Electronics</v>
      </c>
      <c r="AC677" s="1">
        <v>4472.6000000000004</v>
      </c>
      <c r="AD677" s="1" t="str">
        <v>Cassandra Mckinney</v>
      </c>
      <c r="AE677" s="1">
        <v>36760</v>
      </c>
      <c r="AF677" s="1">
        <v>44072</v>
      </c>
      <c r="AG677" s="1">
        <v>17.690000000000001</v>
      </c>
      <c r="AH677" s="1">
        <v>791.20294000000013</v>
      </c>
      <c r="AI677" s="1">
        <v>3681.3970600000002</v>
      </c>
    </row>
    <row r="678" spans="1:35" x14ac:dyDescent="0.35">
      <c r="A678" s="1">
        <v>1676</v>
      </c>
      <c r="B678" s="2">
        <v>44325</v>
      </c>
      <c r="C678" s="1" t="s">
        <v>10</v>
      </c>
      <c r="D678" s="1" t="s">
        <v>11</v>
      </c>
      <c r="E678" s="1" t="s">
        <v>12</v>
      </c>
      <c r="F678" s="1">
        <v>1155.43</v>
      </c>
      <c r="G678" s="1" t="s">
        <v>37</v>
      </c>
      <c r="H678" s="2">
        <v>27534</v>
      </c>
      <c r="I678" s="2">
        <v>44326</v>
      </c>
      <c r="J678" s="1">
        <v>36.01</v>
      </c>
      <c r="K678" s="1">
        <f t="shared" si="26"/>
        <v>416.07034299999998</v>
      </c>
      <c r="L678" s="1">
        <f t="shared" si="27"/>
        <v>739.35965700000008</v>
      </c>
      <c r="U678">
        <v>1275.0433799999998</v>
      </c>
      <c r="X678" s="1">
        <v>1933</v>
      </c>
      <c r="Y678" s="2">
        <v>44864</v>
      </c>
      <c r="Z678" s="1" t="str">
        <v>Central</v>
      </c>
      <c r="AA678" s="1" t="str">
        <v>T-Shirt</v>
      </c>
      <c r="AB678" s="1" t="str">
        <v>Clothing</v>
      </c>
      <c r="AC678" s="1">
        <v>2128.62</v>
      </c>
      <c r="AD678" s="1" t="str">
        <v>Jason Gomez</v>
      </c>
      <c r="AE678" s="1">
        <v>32685</v>
      </c>
      <c r="AF678" s="1">
        <v>44878</v>
      </c>
      <c r="AG678" s="1">
        <v>40.1</v>
      </c>
      <c r="AH678" s="1">
        <v>853.57662000000005</v>
      </c>
      <c r="AI678" s="1">
        <v>1275.0433799999998</v>
      </c>
    </row>
    <row r="679" spans="1:35" x14ac:dyDescent="0.35">
      <c r="A679" s="1">
        <v>1677</v>
      </c>
      <c r="B679" s="2">
        <v>44508</v>
      </c>
      <c r="C679" s="1" t="s">
        <v>35</v>
      </c>
      <c r="D679" s="1" t="s">
        <v>58</v>
      </c>
      <c r="E679" s="1" t="s">
        <v>31</v>
      </c>
      <c r="F679" s="1">
        <v>4727.7700000000004</v>
      </c>
      <c r="G679" s="1" t="s">
        <v>307</v>
      </c>
      <c r="H679" s="2">
        <v>30321</v>
      </c>
      <c r="I679" s="2">
        <v>44513</v>
      </c>
      <c r="J679" s="1">
        <v>7.46</v>
      </c>
      <c r="K679" s="1">
        <f t="shared" si="26"/>
        <v>352.69164200000006</v>
      </c>
      <c r="L679" s="1">
        <f t="shared" si="27"/>
        <v>4375.0783580000007</v>
      </c>
      <c r="U679">
        <v>2061.7990379999997</v>
      </c>
      <c r="X679" s="1">
        <v>1935</v>
      </c>
      <c r="Y679" s="2">
        <v>45710</v>
      </c>
      <c r="Z679" s="1" t="str">
        <v>East</v>
      </c>
      <c r="AA679" s="1" t="str">
        <v>Football</v>
      </c>
      <c r="AB679" s="1" t="str">
        <v>Sports</v>
      </c>
      <c r="AC679" s="1">
        <v>3345.99</v>
      </c>
      <c r="AD679" s="1" t="str">
        <v>Joseph Vaughan</v>
      </c>
      <c r="AE679" s="1">
        <v>24706</v>
      </c>
      <c r="AF679" s="1">
        <v>45721</v>
      </c>
      <c r="AG679" s="1">
        <v>38.380000000000003</v>
      </c>
      <c r="AH679" s="1">
        <v>1284.1909620000001</v>
      </c>
      <c r="AI679" s="1">
        <v>2061.7990379999997</v>
      </c>
    </row>
    <row r="680" spans="1:35" x14ac:dyDescent="0.35">
      <c r="A680" s="1">
        <v>1678</v>
      </c>
      <c r="B680" s="2">
        <v>44869</v>
      </c>
      <c r="C680" s="1" t="s">
        <v>26</v>
      </c>
      <c r="D680" s="1" t="s">
        <v>58</v>
      </c>
      <c r="E680" s="1" t="s">
        <v>31</v>
      </c>
      <c r="F680" s="1">
        <v>542.16999999999996</v>
      </c>
      <c r="G680" s="1" t="s">
        <v>159</v>
      </c>
      <c r="H680" s="2">
        <v>38194</v>
      </c>
      <c r="I680" s="2">
        <v>44870</v>
      </c>
      <c r="J680" s="1">
        <v>12.99</v>
      </c>
      <c r="K680" s="1">
        <f t="shared" si="26"/>
        <v>70.427883000000008</v>
      </c>
      <c r="L680" s="1">
        <f t="shared" si="27"/>
        <v>471.74211699999995</v>
      </c>
      <c r="U680">
        <v>2263.2095199999999</v>
      </c>
      <c r="X680" s="1">
        <v>1937</v>
      </c>
      <c r="Y680" s="2">
        <v>44704</v>
      </c>
      <c r="Z680" s="1" t="str">
        <v>West</v>
      </c>
      <c r="AA680" s="1" t="str">
        <v>Wardrobe</v>
      </c>
      <c r="AB680" s="1" t="str">
        <v>Furniture</v>
      </c>
      <c r="AC680" s="1">
        <v>4141.28</v>
      </c>
      <c r="AD680" s="1" t="str">
        <v>William Stevenson</v>
      </c>
      <c r="AE680" s="1">
        <v>38442</v>
      </c>
      <c r="AF680" s="1">
        <v>44713</v>
      </c>
      <c r="AG680" s="1">
        <v>45.35</v>
      </c>
      <c r="AH680" s="1">
        <v>1878.0704799999999</v>
      </c>
      <c r="AI680" s="1">
        <v>2263.2095199999999</v>
      </c>
    </row>
    <row r="681" spans="1:35" x14ac:dyDescent="0.35">
      <c r="A681" s="1">
        <v>1679</v>
      </c>
      <c r="B681" s="2">
        <v>44505</v>
      </c>
      <c r="C681" s="1" t="s">
        <v>35</v>
      </c>
      <c r="D681" s="1" t="s">
        <v>55</v>
      </c>
      <c r="E681" s="1" t="s">
        <v>31</v>
      </c>
      <c r="F681" s="1">
        <v>4303.21</v>
      </c>
      <c r="G681" s="1" t="s">
        <v>139</v>
      </c>
      <c r="H681" s="2">
        <v>29381</v>
      </c>
      <c r="I681" s="2">
        <v>44512</v>
      </c>
      <c r="J681" s="1">
        <v>33.68</v>
      </c>
      <c r="K681" s="1">
        <f t="shared" si="26"/>
        <v>1449.321128</v>
      </c>
      <c r="L681" s="1">
        <f t="shared" si="27"/>
        <v>2853.888872</v>
      </c>
      <c r="U681">
        <v>3058.0585200000005</v>
      </c>
      <c r="X681" s="1">
        <v>1938</v>
      </c>
      <c r="Y681" s="2">
        <v>45162</v>
      </c>
      <c r="Z681" s="1" t="str">
        <v>West</v>
      </c>
      <c r="AA681" s="1" t="str">
        <v>Headphones</v>
      </c>
      <c r="AB681" s="1" t="str">
        <v>Electronics</v>
      </c>
      <c r="AC681" s="1">
        <v>3591.8</v>
      </c>
      <c r="AD681" s="1" t="str">
        <v>Matthew Gonzalez</v>
      </c>
      <c r="AE681" s="1">
        <v>25321</v>
      </c>
      <c r="AF681" s="1">
        <v>45171</v>
      </c>
      <c r="AG681" s="1">
        <v>14.86</v>
      </c>
      <c r="AH681" s="1">
        <v>533.74147999999991</v>
      </c>
      <c r="AI681" s="1">
        <v>3058.0585200000005</v>
      </c>
    </row>
    <row r="682" spans="1:35" x14ac:dyDescent="0.35">
      <c r="A682" s="1">
        <v>1680</v>
      </c>
      <c r="B682" s="2">
        <v>45161</v>
      </c>
      <c r="C682" s="1" t="s">
        <v>35</v>
      </c>
      <c r="D682" s="1" t="s">
        <v>71</v>
      </c>
      <c r="E682" s="1" t="s">
        <v>31</v>
      </c>
      <c r="F682" s="1">
        <v>4991.41</v>
      </c>
      <c r="G682" s="1" t="s">
        <v>308</v>
      </c>
      <c r="H682" s="2">
        <v>35336</v>
      </c>
      <c r="I682" s="2">
        <v>45167</v>
      </c>
      <c r="J682" s="1">
        <v>41.94</v>
      </c>
      <c r="K682" s="1">
        <f t="shared" si="26"/>
        <v>2093.3973539999997</v>
      </c>
      <c r="L682" s="1">
        <f t="shared" si="27"/>
        <v>2898.0126460000001</v>
      </c>
      <c r="U682">
        <v>3796.3978979999997</v>
      </c>
      <c r="X682" s="1">
        <v>1939</v>
      </c>
      <c r="Y682" s="2">
        <v>44974</v>
      </c>
      <c r="Z682" s="1" t="str">
        <v>North</v>
      </c>
      <c r="AA682" s="1" t="str">
        <v>Laptop</v>
      </c>
      <c r="AB682" s="1" t="str">
        <v>Electronics</v>
      </c>
      <c r="AC682" s="1">
        <v>4649.03</v>
      </c>
      <c r="AD682" s="1" t="str">
        <v>Samuel Humphrey</v>
      </c>
      <c r="AE682" s="1">
        <v>30887</v>
      </c>
      <c r="AF682" s="1">
        <v>44983</v>
      </c>
      <c r="AG682" s="1">
        <v>18.34</v>
      </c>
      <c r="AH682" s="1">
        <v>852.63210200000003</v>
      </c>
      <c r="AI682" s="1">
        <v>3796.3978979999997</v>
      </c>
    </row>
    <row r="683" spans="1:35" x14ac:dyDescent="0.35">
      <c r="A683" s="1">
        <v>1681</v>
      </c>
      <c r="B683" s="2">
        <v>44233</v>
      </c>
      <c r="C683" s="1" t="s">
        <v>26</v>
      </c>
      <c r="D683" s="1" t="s">
        <v>69</v>
      </c>
      <c r="E683" s="1" t="s">
        <v>12</v>
      </c>
      <c r="F683" s="1">
        <v>3113.17</v>
      </c>
      <c r="G683" s="1" t="s">
        <v>276</v>
      </c>
      <c r="H683" s="2">
        <v>33394</v>
      </c>
      <c r="I683" s="2">
        <v>44244</v>
      </c>
      <c r="J683" s="1">
        <v>1.17</v>
      </c>
      <c r="K683" s="1">
        <f t="shared" si="26"/>
        <v>36.424088999999995</v>
      </c>
      <c r="L683" s="1">
        <f t="shared" si="27"/>
        <v>3076.745911</v>
      </c>
      <c r="U683">
        <v>2575.5179199999998</v>
      </c>
      <c r="X683" s="1">
        <v>1940</v>
      </c>
      <c r="Y683" s="2">
        <v>44896</v>
      </c>
      <c r="Z683" s="1" t="str">
        <v>East</v>
      </c>
      <c r="AA683" s="1" t="str">
        <v>Table</v>
      </c>
      <c r="AB683" s="1" t="str">
        <v>Furniture</v>
      </c>
      <c r="AC683" s="1">
        <v>2701.12</v>
      </c>
      <c r="AD683" s="1" t="str">
        <v>Elizabeth Obrien</v>
      </c>
      <c r="AE683" s="1">
        <v>35818</v>
      </c>
      <c r="AF683" s="1">
        <v>44902</v>
      </c>
      <c r="AG683" s="1">
        <v>4.6500000000000004</v>
      </c>
      <c r="AH683" s="1">
        <v>125.60208000000002</v>
      </c>
      <c r="AI683" s="1">
        <v>2575.5179199999998</v>
      </c>
    </row>
    <row r="684" spans="1:35" x14ac:dyDescent="0.35">
      <c r="A684" s="1">
        <v>1682</v>
      </c>
      <c r="B684" s="2">
        <v>44756</v>
      </c>
      <c r="C684" s="1" t="s">
        <v>21</v>
      </c>
      <c r="D684" s="1" t="s">
        <v>71</v>
      </c>
      <c r="E684" s="1" t="s">
        <v>31</v>
      </c>
      <c r="F684" s="1">
        <v>1401.86</v>
      </c>
      <c r="G684" s="1" t="s">
        <v>140</v>
      </c>
      <c r="H684" s="2">
        <v>24579</v>
      </c>
      <c r="I684" s="2">
        <v>44764</v>
      </c>
      <c r="J684" s="1">
        <v>46.91</v>
      </c>
      <c r="K684" s="1">
        <f t="shared" si="26"/>
        <v>657.61252599999989</v>
      </c>
      <c r="L684" s="1">
        <f t="shared" si="27"/>
        <v>744.24747400000001</v>
      </c>
      <c r="U684">
        <v>1311.9263639999999</v>
      </c>
      <c r="X684" s="1">
        <v>1941</v>
      </c>
      <c r="Y684" s="2">
        <v>45776</v>
      </c>
      <c r="Z684" s="1" t="str">
        <v>North</v>
      </c>
      <c r="AA684" s="1" t="str">
        <v>Laptop</v>
      </c>
      <c r="AB684" s="1" t="str">
        <v>Electronics</v>
      </c>
      <c r="AC684" s="1">
        <v>1951.11</v>
      </c>
      <c r="AD684" s="1" t="str">
        <v>Curtis George</v>
      </c>
      <c r="AE684" s="1">
        <v>31467</v>
      </c>
      <c r="AF684" s="1">
        <v>45781</v>
      </c>
      <c r="AG684" s="1">
        <v>32.76</v>
      </c>
      <c r="AH684" s="1">
        <v>639.18363599999998</v>
      </c>
      <c r="AI684" s="1">
        <v>1311.9263639999999</v>
      </c>
    </row>
    <row r="685" spans="1:35" x14ac:dyDescent="0.35">
      <c r="A685" s="1">
        <v>1683</v>
      </c>
      <c r="B685" s="2">
        <v>44229</v>
      </c>
      <c r="C685" s="1" t="s">
        <v>35</v>
      </c>
      <c r="D685" s="1" t="s">
        <v>18</v>
      </c>
      <c r="E685" s="1" t="s">
        <v>19</v>
      </c>
      <c r="F685" s="1">
        <v>2109.39</v>
      </c>
      <c r="G685" s="1" t="s">
        <v>261</v>
      </c>
      <c r="H685" s="2">
        <v>23920</v>
      </c>
      <c r="I685" s="2">
        <v>44235</v>
      </c>
      <c r="J685" s="1">
        <v>19.059999999999999</v>
      </c>
      <c r="K685" s="1">
        <f t="shared" si="26"/>
        <v>402.04973399999994</v>
      </c>
      <c r="L685" s="1">
        <f t="shared" si="27"/>
        <v>1707.3402659999999</v>
      </c>
      <c r="U685">
        <v>2582.8512599999999</v>
      </c>
      <c r="X685" s="1">
        <v>1942</v>
      </c>
      <c r="Y685" s="2">
        <v>44399</v>
      </c>
      <c r="Z685" s="1" t="str">
        <v>South</v>
      </c>
      <c r="AA685" s="1" t="str">
        <v>Rice</v>
      </c>
      <c r="AB685" s="1" t="str">
        <v>Groceries</v>
      </c>
      <c r="AC685" s="1">
        <v>4608.12</v>
      </c>
      <c r="AD685" s="1" t="str">
        <v>Timothy Castaneda</v>
      </c>
      <c r="AE685" s="1">
        <v>31880</v>
      </c>
      <c r="AF685" s="1">
        <v>44403</v>
      </c>
      <c r="AG685" s="1">
        <v>43.95</v>
      </c>
      <c r="AH685" s="1">
        <v>2025.26874</v>
      </c>
      <c r="AI685" s="1">
        <v>2582.8512599999999</v>
      </c>
    </row>
    <row r="686" spans="1:35" x14ac:dyDescent="0.35">
      <c r="A686" s="1">
        <v>1684</v>
      </c>
      <c r="B686" s="2">
        <v>45114</v>
      </c>
      <c r="C686" s="1" t="s">
        <v>21</v>
      </c>
      <c r="D686" s="1" t="s">
        <v>15</v>
      </c>
      <c r="E686" s="1" t="s">
        <v>16</v>
      </c>
      <c r="F686" s="1">
        <v>3439.5</v>
      </c>
      <c r="G686" s="1" t="s">
        <v>64</v>
      </c>
      <c r="H686" s="2">
        <v>32375</v>
      </c>
      <c r="I686" s="2">
        <v>45126</v>
      </c>
      <c r="J686" s="1">
        <v>16.34</v>
      </c>
      <c r="K686" s="1">
        <f t="shared" si="26"/>
        <v>562.01429999999993</v>
      </c>
      <c r="L686" s="1">
        <f t="shared" si="27"/>
        <v>2877.4857000000002</v>
      </c>
      <c r="U686">
        <v>1972.0730120000001</v>
      </c>
      <c r="X686" s="1">
        <v>1943</v>
      </c>
      <c r="Y686" s="2">
        <v>44656</v>
      </c>
      <c r="Z686" s="1" t="str">
        <v>North</v>
      </c>
      <c r="AA686" s="1" t="str">
        <v>Chair</v>
      </c>
      <c r="AB686" s="1" t="str">
        <v>Furniture</v>
      </c>
      <c r="AC686" s="1">
        <v>2211.34</v>
      </c>
      <c r="AD686" s="1" t="str">
        <v>Justin Robinson</v>
      </c>
      <c r="AE686" s="1">
        <v>35629</v>
      </c>
      <c r="AF686" s="1">
        <v>44662</v>
      </c>
      <c r="AG686" s="1">
        <v>10.82</v>
      </c>
      <c r="AH686" s="1">
        <v>239.26698800000003</v>
      </c>
      <c r="AI686" s="1">
        <v>1972.0730120000001</v>
      </c>
    </row>
    <row r="687" spans="1:35" x14ac:dyDescent="0.35">
      <c r="A687" s="1">
        <v>1685</v>
      </c>
      <c r="B687" s="2">
        <v>44226</v>
      </c>
      <c r="C687" s="1" t="s">
        <v>14</v>
      </c>
      <c r="D687" s="1" t="s">
        <v>61</v>
      </c>
      <c r="E687" s="1" t="s">
        <v>19</v>
      </c>
      <c r="F687" s="1">
        <v>3971.47</v>
      </c>
      <c r="G687" s="1" t="s">
        <v>309</v>
      </c>
      <c r="H687" s="2">
        <v>23838</v>
      </c>
      <c r="I687" s="2">
        <v>44227</v>
      </c>
      <c r="J687" s="1">
        <v>0.9</v>
      </c>
      <c r="K687" s="1">
        <f t="shared" si="26"/>
        <v>35.743230000000004</v>
      </c>
      <c r="L687" s="1">
        <f t="shared" si="27"/>
        <v>3935.7267699999998</v>
      </c>
      <c r="U687">
        <v>2610.020634</v>
      </c>
      <c r="X687" s="1">
        <v>1944</v>
      </c>
      <c r="Y687" s="2">
        <v>44115</v>
      </c>
      <c r="Z687" s="1" t="str">
        <v>Central</v>
      </c>
      <c r="AA687" s="1" t="str">
        <v>Sofa</v>
      </c>
      <c r="AB687" s="1" t="str">
        <v>Furniture</v>
      </c>
      <c r="AC687" s="1">
        <v>2815.86</v>
      </c>
      <c r="AD687" s="1" t="str">
        <v>Sylvia Landry</v>
      </c>
      <c r="AE687" s="1">
        <v>35642</v>
      </c>
      <c r="AF687" s="1">
        <v>44119</v>
      </c>
      <c r="AG687" s="1">
        <v>7.31</v>
      </c>
      <c r="AH687" s="1">
        <v>205.83936600000001</v>
      </c>
      <c r="AI687" s="1">
        <v>2610.020634</v>
      </c>
    </row>
    <row r="688" spans="1:35" x14ac:dyDescent="0.35">
      <c r="A688" s="1">
        <v>1686</v>
      </c>
      <c r="B688" s="2">
        <v>44632</v>
      </c>
      <c r="C688" s="1" t="s">
        <v>14</v>
      </c>
      <c r="D688" s="1" t="s">
        <v>71</v>
      </c>
      <c r="E688" s="1" t="s">
        <v>31</v>
      </c>
      <c r="F688" s="1">
        <v>1083.4100000000001</v>
      </c>
      <c r="G688" s="1" t="s">
        <v>117</v>
      </c>
      <c r="H688" s="2">
        <v>23513</v>
      </c>
      <c r="I688" s="2">
        <v>44633</v>
      </c>
      <c r="J688" s="1">
        <v>36.5</v>
      </c>
      <c r="K688" s="1">
        <f t="shared" si="26"/>
        <v>395.44465000000002</v>
      </c>
      <c r="L688" s="1">
        <f t="shared" si="27"/>
        <v>687.96535000000006</v>
      </c>
      <c r="U688">
        <v>1422.0384749999998</v>
      </c>
      <c r="X688" s="1">
        <v>1945</v>
      </c>
      <c r="Y688" s="2">
        <v>45006</v>
      </c>
      <c r="Z688" s="1" t="str">
        <v>West</v>
      </c>
      <c r="AA688" s="1" t="str">
        <v>Milk</v>
      </c>
      <c r="AB688" s="1" t="str">
        <v>Groceries</v>
      </c>
      <c r="AC688" s="1">
        <v>2209.85</v>
      </c>
      <c r="AD688" s="1" t="str">
        <v>David Ingram</v>
      </c>
      <c r="AE688" s="1">
        <v>25663</v>
      </c>
      <c r="AF688" s="1">
        <v>45011</v>
      </c>
      <c r="AG688" s="1">
        <v>35.65</v>
      </c>
      <c r="AH688" s="1">
        <v>787.81152499999996</v>
      </c>
      <c r="AI688" s="1">
        <v>1422.0384749999998</v>
      </c>
    </row>
    <row r="689" spans="1:35" x14ac:dyDescent="0.35">
      <c r="A689" s="1">
        <v>1687</v>
      </c>
      <c r="B689" s="2">
        <v>45763</v>
      </c>
      <c r="C689" s="1" t="s">
        <v>21</v>
      </c>
      <c r="D689" s="1" t="s">
        <v>69</v>
      </c>
      <c r="E689" s="1" t="s">
        <v>12</v>
      </c>
      <c r="F689" s="1">
        <v>2262.52</v>
      </c>
      <c r="G689" s="1" t="s">
        <v>303</v>
      </c>
      <c r="H689" s="2">
        <v>30474</v>
      </c>
      <c r="I689" s="2">
        <v>45775</v>
      </c>
      <c r="J689" s="1">
        <v>4.95</v>
      </c>
      <c r="K689" s="1">
        <f t="shared" si="26"/>
        <v>111.99474000000001</v>
      </c>
      <c r="L689" s="1">
        <f t="shared" si="27"/>
        <v>2150.5252599999999</v>
      </c>
      <c r="U689">
        <v>1933.1118719999999</v>
      </c>
      <c r="X689" s="1">
        <v>1946</v>
      </c>
      <c r="Y689" s="2">
        <v>45032</v>
      </c>
      <c r="Z689" s="1" t="str">
        <v>Central</v>
      </c>
      <c r="AA689" s="1" t="str">
        <v>Basketball</v>
      </c>
      <c r="AB689" s="1" t="str">
        <v>Sports</v>
      </c>
      <c r="AC689" s="1">
        <v>3412.98</v>
      </c>
      <c r="AD689" s="1" t="str">
        <v>Samuel Humphrey</v>
      </c>
      <c r="AE689" s="1">
        <v>30887</v>
      </c>
      <c r="AF689" s="1">
        <v>45041</v>
      </c>
      <c r="AG689" s="1">
        <v>43.36</v>
      </c>
      <c r="AH689" s="1">
        <v>1479.8681280000001</v>
      </c>
      <c r="AI689" s="1">
        <v>1933.1118719999999</v>
      </c>
    </row>
    <row r="690" spans="1:35" x14ac:dyDescent="0.35">
      <c r="A690" s="1">
        <v>1688</v>
      </c>
      <c r="B690" s="2">
        <v>44973</v>
      </c>
      <c r="C690" s="1" t="s">
        <v>21</v>
      </c>
      <c r="D690" s="1" t="s">
        <v>71</v>
      </c>
      <c r="E690" s="1" t="s">
        <v>31</v>
      </c>
      <c r="F690" s="1">
        <v>4036.71</v>
      </c>
      <c r="G690" s="1" t="s">
        <v>260</v>
      </c>
      <c r="H690" s="2">
        <v>38628</v>
      </c>
      <c r="I690" s="2">
        <v>44976</v>
      </c>
      <c r="J690" s="1">
        <v>30.2</v>
      </c>
      <c r="K690" s="1">
        <f t="shared" si="26"/>
        <v>1219.0864199999999</v>
      </c>
      <c r="L690" s="1">
        <f t="shared" si="27"/>
        <v>2817.6235800000004</v>
      </c>
      <c r="U690">
        <v>2197.49028</v>
      </c>
      <c r="X690" s="1">
        <v>1947</v>
      </c>
      <c r="Y690" s="2">
        <v>44509</v>
      </c>
      <c r="Z690" s="1" t="str">
        <v>South</v>
      </c>
      <c r="AA690" s="1" t="str">
        <v>Jeans</v>
      </c>
      <c r="AB690" s="1" t="str">
        <v>Clothing</v>
      </c>
      <c r="AC690" s="1">
        <v>3690.16</v>
      </c>
      <c r="AD690" s="1" t="str">
        <v>Jesse Green</v>
      </c>
      <c r="AE690" s="1">
        <v>36087</v>
      </c>
      <c r="AF690" s="1">
        <v>44517</v>
      </c>
      <c r="AG690" s="1">
        <v>40.450000000000003</v>
      </c>
      <c r="AH690" s="1">
        <v>1492.6697200000001</v>
      </c>
      <c r="AI690" s="1">
        <v>2197.49028</v>
      </c>
    </row>
    <row r="691" spans="1:35" x14ac:dyDescent="0.35">
      <c r="A691" s="1">
        <v>1689</v>
      </c>
      <c r="B691" s="2">
        <v>44624</v>
      </c>
      <c r="C691" s="1" t="s">
        <v>14</v>
      </c>
      <c r="D691" s="1" t="s">
        <v>53</v>
      </c>
      <c r="E691" s="1" t="s">
        <v>28</v>
      </c>
      <c r="F691" s="1">
        <v>2762.66</v>
      </c>
      <c r="G691" s="1" t="s">
        <v>310</v>
      </c>
      <c r="H691" s="2">
        <v>23309</v>
      </c>
      <c r="I691" s="2">
        <v>44631</v>
      </c>
      <c r="J691" s="1">
        <v>21.79</v>
      </c>
      <c r="K691" s="1">
        <f t="shared" si="26"/>
        <v>601.98361399999987</v>
      </c>
      <c r="L691" s="1">
        <f t="shared" si="27"/>
        <v>2160.6763860000001</v>
      </c>
      <c r="U691">
        <v>1950.0285000000001</v>
      </c>
      <c r="X691" s="1">
        <v>1948</v>
      </c>
      <c r="Y691" s="2">
        <v>45669</v>
      </c>
      <c r="Z691" s="1" t="str">
        <v>North</v>
      </c>
      <c r="AA691" s="1" t="str">
        <v>Smartphone</v>
      </c>
      <c r="AB691" s="1" t="str">
        <v>Electronics</v>
      </c>
      <c r="AC691" s="1">
        <v>3714.34</v>
      </c>
      <c r="AD691" s="1" t="str">
        <v>Shane Morgan</v>
      </c>
      <c r="AE691" s="1">
        <v>25099</v>
      </c>
      <c r="AF691" s="1">
        <v>45670</v>
      </c>
      <c r="AG691" s="1">
        <v>47.5</v>
      </c>
      <c r="AH691" s="1">
        <v>1764.3115</v>
      </c>
      <c r="AI691" s="1">
        <v>1950.0285000000001</v>
      </c>
    </row>
    <row r="692" spans="1:35" x14ac:dyDescent="0.35">
      <c r="A692" s="1">
        <v>1690</v>
      </c>
      <c r="B692" s="2">
        <v>44526</v>
      </c>
      <c r="C692" s="1" t="s">
        <v>14</v>
      </c>
      <c r="D692" s="1" t="s">
        <v>24</v>
      </c>
      <c r="E692" s="1" t="s">
        <v>19</v>
      </c>
      <c r="F692" s="1">
        <v>2795.54</v>
      </c>
      <c r="G692" s="1" t="s">
        <v>32</v>
      </c>
      <c r="H692" s="2">
        <v>27166</v>
      </c>
      <c r="I692" s="2">
        <v>44537</v>
      </c>
      <c r="J692" s="1">
        <v>14.81</v>
      </c>
      <c r="K692" s="1">
        <f t="shared" si="26"/>
        <v>414.019474</v>
      </c>
      <c r="L692" s="1">
        <f t="shared" si="27"/>
        <v>2381.5205259999998</v>
      </c>
      <c r="U692">
        <v>2687.3308120000002</v>
      </c>
      <c r="X692" s="1">
        <v>1950</v>
      </c>
      <c r="Y692" s="2">
        <v>45678</v>
      </c>
      <c r="Z692" s="1" t="str">
        <v>West</v>
      </c>
      <c r="AA692" s="1" t="str">
        <v>Basketball</v>
      </c>
      <c r="AB692" s="1" t="str">
        <v>Sports</v>
      </c>
      <c r="AC692" s="1">
        <v>3443.53</v>
      </c>
      <c r="AD692" s="1" t="str">
        <v>Elizabeth Lee MD</v>
      </c>
      <c r="AE692" s="1">
        <v>25948</v>
      </c>
      <c r="AF692" s="1">
        <v>45679</v>
      </c>
      <c r="AG692" s="1">
        <v>21.96</v>
      </c>
      <c r="AH692" s="1">
        <v>756.19918800000005</v>
      </c>
      <c r="AI692" s="1">
        <v>2687.3308120000002</v>
      </c>
    </row>
    <row r="693" spans="1:35" x14ac:dyDescent="0.35">
      <c r="A693" s="1">
        <v>1691</v>
      </c>
      <c r="B693" s="2">
        <v>44396</v>
      </c>
      <c r="C693" s="1" t="s">
        <v>21</v>
      </c>
      <c r="D693" s="1" t="s">
        <v>61</v>
      </c>
      <c r="E693" s="1" t="s">
        <v>19</v>
      </c>
      <c r="F693" s="1">
        <v>2136.2600000000002</v>
      </c>
      <c r="G693" s="1" t="s">
        <v>264</v>
      </c>
      <c r="H693" s="2">
        <v>30232</v>
      </c>
      <c r="I693" s="2">
        <v>44404</v>
      </c>
      <c r="J693" s="1">
        <v>4</v>
      </c>
      <c r="K693" s="1">
        <f t="shared" si="26"/>
        <v>85.450400000000016</v>
      </c>
      <c r="L693" s="1">
        <f t="shared" si="27"/>
        <v>2050.8096</v>
      </c>
      <c r="U693">
        <v>2461.2052430000003</v>
      </c>
      <c r="X693" s="1">
        <v>1951</v>
      </c>
      <c r="Y693" s="2">
        <v>44071</v>
      </c>
      <c r="Z693" s="1" t="str">
        <v>South</v>
      </c>
      <c r="AA693" s="1" t="str">
        <v>Shoes</v>
      </c>
      <c r="AB693" s="1" t="str">
        <v>Sports</v>
      </c>
      <c r="AC693" s="1">
        <v>3359.09</v>
      </c>
      <c r="AD693" s="1" t="str">
        <v>Donald Burke</v>
      </c>
      <c r="AE693" s="1">
        <v>35702</v>
      </c>
      <c r="AF693" s="1">
        <v>44074</v>
      </c>
      <c r="AG693" s="1">
        <v>26.73</v>
      </c>
      <c r="AH693" s="1">
        <v>897.88475699999992</v>
      </c>
      <c r="AI693" s="1">
        <v>2461.2052430000003</v>
      </c>
    </row>
    <row r="694" spans="1:35" x14ac:dyDescent="0.35">
      <c r="A694" s="1">
        <v>1692</v>
      </c>
      <c r="B694" s="2">
        <v>45302</v>
      </c>
      <c r="C694" s="1" t="s">
        <v>21</v>
      </c>
      <c r="D694" s="1" t="s">
        <v>40</v>
      </c>
      <c r="E694" s="1" t="s">
        <v>16</v>
      </c>
      <c r="F694" s="1">
        <v>4150.93</v>
      </c>
      <c r="G694" s="1" t="s">
        <v>223</v>
      </c>
      <c r="H694" s="2">
        <v>35407</v>
      </c>
      <c r="I694" s="2">
        <v>45315</v>
      </c>
      <c r="J694" s="1">
        <v>46.04</v>
      </c>
      <c r="K694" s="1">
        <f t="shared" si="26"/>
        <v>1911.088172</v>
      </c>
      <c r="L694" s="1">
        <f t="shared" si="27"/>
        <v>2239.8418280000005</v>
      </c>
      <c r="U694">
        <v>2366.9836100000002</v>
      </c>
      <c r="X694" s="1">
        <v>1952</v>
      </c>
      <c r="Y694" s="2">
        <v>45575</v>
      </c>
      <c r="Z694" s="1" t="str">
        <v>North</v>
      </c>
      <c r="AA694" s="1" t="str">
        <v>Football</v>
      </c>
      <c r="AB694" s="1" t="str">
        <v>Sports</v>
      </c>
      <c r="AC694" s="1">
        <v>2503.42</v>
      </c>
      <c r="AD694" s="1" t="str">
        <v>Kyle Thomas</v>
      </c>
      <c r="AE694" s="1">
        <v>29541</v>
      </c>
      <c r="AF694" s="1">
        <v>45580</v>
      </c>
      <c r="AG694" s="1">
        <v>5.45</v>
      </c>
      <c r="AH694" s="1">
        <v>136.43639000000002</v>
      </c>
      <c r="AI694" s="1">
        <v>2366.9836100000002</v>
      </c>
    </row>
    <row r="695" spans="1:35" x14ac:dyDescent="0.35">
      <c r="A695" s="1">
        <v>1693</v>
      </c>
      <c r="B695" s="2">
        <v>44528</v>
      </c>
      <c r="C695" s="1" t="s">
        <v>21</v>
      </c>
      <c r="D695" s="1" t="s">
        <v>40</v>
      </c>
      <c r="E695" s="1" t="s">
        <v>16</v>
      </c>
      <c r="F695" s="1">
        <v>3648.4</v>
      </c>
      <c r="G695" s="1" t="s">
        <v>221</v>
      </c>
      <c r="H695" s="2">
        <v>35658</v>
      </c>
      <c r="I695" s="2">
        <v>44542</v>
      </c>
      <c r="J695" s="1">
        <v>42.7</v>
      </c>
      <c r="K695" s="1">
        <f t="shared" si="26"/>
        <v>1557.8668000000002</v>
      </c>
      <c r="L695" s="1">
        <f t="shared" si="27"/>
        <v>2090.5331999999999</v>
      </c>
      <c r="U695">
        <v>1545.7485060000001</v>
      </c>
      <c r="X695" s="1">
        <v>1953</v>
      </c>
      <c r="Y695" s="2">
        <v>45189</v>
      </c>
      <c r="Z695" s="1" t="str">
        <v>East</v>
      </c>
      <c r="AA695" s="1" t="str">
        <v>Laptop</v>
      </c>
      <c r="AB695" s="1" t="str">
        <v>Electronics</v>
      </c>
      <c r="AC695" s="1">
        <v>1687.13</v>
      </c>
      <c r="AD695" s="1" t="str">
        <v>Juan White</v>
      </c>
      <c r="AE695" s="1">
        <v>35321</v>
      </c>
      <c r="AF695" s="1">
        <v>45201</v>
      </c>
      <c r="AG695" s="1">
        <v>8.3800000000000008</v>
      </c>
      <c r="AH695" s="1">
        <v>141.38149400000003</v>
      </c>
      <c r="AI695" s="1">
        <v>1545.7485060000001</v>
      </c>
    </row>
    <row r="696" spans="1:35" x14ac:dyDescent="0.35">
      <c r="A696" s="1">
        <v>1694</v>
      </c>
      <c r="B696" s="2">
        <v>45503</v>
      </c>
      <c r="C696" s="1" t="s">
        <v>26</v>
      </c>
      <c r="D696" s="1" t="s">
        <v>15</v>
      </c>
      <c r="E696" s="1" t="s">
        <v>16</v>
      </c>
      <c r="F696" s="1">
        <v>4655.5200000000004</v>
      </c>
      <c r="G696" s="1" t="s">
        <v>128</v>
      </c>
      <c r="H696" s="2">
        <v>37961</v>
      </c>
      <c r="I696" s="2">
        <v>45516</v>
      </c>
      <c r="J696" s="1">
        <v>14.23</v>
      </c>
      <c r="K696" s="1">
        <f t="shared" si="26"/>
        <v>662.48049600000013</v>
      </c>
      <c r="L696" s="1">
        <f t="shared" si="27"/>
        <v>3993.0395040000003</v>
      </c>
      <c r="U696">
        <v>1349.930472</v>
      </c>
      <c r="X696" s="1">
        <v>1955</v>
      </c>
      <c r="Y696" s="2">
        <v>44402</v>
      </c>
      <c r="Z696" s="1" t="str">
        <v>East</v>
      </c>
      <c r="AA696" s="1" t="str">
        <v>Milk</v>
      </c>
      <c r="AB696" s="1" t="str">
        <v>Groceries</v>
      </c>
      <c r="AC696" s="1">
        <v>1837.14</v>
      </c>
      <c r="AD696" s="1" t="str">
        <v>Sylvia Landry</v>
      </c>
      <c r="AE696" s="1">
        <v>35642</v>
      </c>
      <c r="AF696" s="1">
        <v>44412</v>
      </c>
      <c r="AG696" s="1">
        <v>26.52</v>
      </c>
      <c r="AH696" s="1">
        <v>487.20952800000003</v>
      </c>
      <c r="AI696" s="1">
        <v>1349.930472</v>
      </c>
    </row>
    <row r="697" spans="1:35" x14ac:dyDescent="0.35">
      <c r="A697" s="1">
        <v>1695</v>
      </c>
      <c r="B697" s="2">
        <v>44766</v>
      </c>
      <c r="C697" s="1" t="s">
        <v>10</v>
      </c>
      <c r="D697" s="1" t="s">
        <v>38</v>
      </c>
      <c r="E697" s="1" t="s">
        <v>28</v>
      </c>
      <c r="F697" s="1">
        <v>1621.73</v>
      </c>
      <c r="G697" s="1" t="s">
        <v>237</v>
      </c>
      <c r="H697" s="2">
        <v>27455</v>
      </c>
      <c r="I697" s="2">
        <v>44773</v>
      </c>
      <c r="J697" s="1">
        <v>28.48</v>
      </c>
      <c r="K697" s="1">
        <f t="shared" si="26"/>
        <v>461.86870399999998</v>
      </c>
      <c r="L697" s="1">
        <f t="shared" si="27"/>
        <v>1159.861296</v>
      </c>
      <c r="U697">
        <v>2674.1989749999993</v>
      </c>
      <c r="X697" s="1">
        <v>1956</v>
      </c>
      <c r="Y697" s="2">
        <v>44520</v>
      </c>
      <c r="Z697" s="1" t="str">
        <v>West</v>
      </c>
      <c r="AA697" s="1" t="str">
        <v>Basketball</v>
      </c>
      <c r="AB697" s="1" t="str">
        <v>Sports</v>
      </c>
      <c r="AC697" s="1">
        <v>4483.1499999999996</v>
      </c>
      <c r="AD697" s="1" t="str">
        <v>Anthony Kim</v>
      </c>
      <c r="AE697" s="1">
        <v>34205</v>
      </c>
      <c r="AF697" s="1">
        <v>44526</v>
      </c>
      <c r="AG697" s="1">
        <v>40.35</v>
      </c>
      <c r="AH697" s="1">
        <v>1808.9510250000001</v>
      </c>
      <c r="AI697" s="1">
        <v>2674.1989749999993</v>
      </c>
    </row>
    <row r="698" spans="1:35" x14ac:dyDescent="0.35">
      <c r="A698" s="1">
        <v>1696</v>
      </c>
      <c r="B698" s="2">
        <v>44546</v>
      </c>
      <c r="C698" s="1" t="s">
        <v>14</v>
      </c>
      <c r="D698" s="1" t="s">
        <v>73</v>
      </c>
      <c r="E698" s="1" t="s">
        <v>28</v>
      </c>
      <c r="F698" s="1">
        <v>4970.46</v>
      </c>
      <c r="G698" s="1" t="s">
        <v>271</v>
      </c>
      <c r="H698" s="2">
        <v>22796</v>
      </c>
      <c r="I698" s="2">
        <v>44554</v>
      </c>
      <c r="J698" s="1">
        <v>7.16</v>
      </c>
      <c r="K698" s="1">
        <f t="shared" si="26"/>
        <v>355.88493599999998</v>
      </c>
      <c r="L698" s="1">
        <f t="shared" si="27"/>
        <v>4614.5750639999997</v>
      </c>
      <c r="U698">
        <v>1716.6219839999999</v>
      </c>
      <c r="X698" s="1">
        <v>1958</v>
      </c>
      <c r="Y698" s="2">
        <v>44353</v>
      </c>
      <c r="Z698" s="1" t="str">
        <v>South</v>
      </c>
      <c r="AA698" s="1" t="str">
        <v>Rice</v>
      </c>
      <c r="AB698" s="1" t="str">
        <v>Groceries</v>
      </c>
      <c r="AC698" s="1">
        <v>2931.39</v>
      </c>
      <c r="AD698" s="1" t="str">
        <v>Robert Simon</v>
      </c>
      <c r="AE698" s="1">
        <v>28675</v>
      </c>
      <c r="AF698" s="1">
        <v>44356</v>
      </c>
      <c r="AG698" s="1">
        <v>41.44</v>
      </c>
      <c r="AH698" s="1">
        <v>1214.768016</v>
      </c>
      <c r="AI698" s="1">
        <v>1716.6219839999999</v>
      </c>
    </row>
    <row r="699" spans="1:35" x14ac:dyDescent="0.35">
      <c r="A699" s="1">
        <v>1697</v>
      </c>
      <c r="B699" s="2">
        <v>44208</v>
      </c>
      <c r="C699" s="1" t="s">
        <v>26</v>
      </c>
      <c r="D699" s="1" t="s">
        <v>49</v>
      </c>
      <c r="E699" s="1" t="s">
        <v>12</v>
      </c>
      <c r="F699" s="1">
        <v>3077.28</v>
      </c>
      <c r="G699" s="1" t="s">
        <v>60</v>
      </c>
      <c r="H699" s="2">
        <v>33482</v>
      </c>
      <c r="I699" s="2">
        <v>44211</v>
      </c>
      <c r="J699" s="1">
        <v>8.57</v>
      </c>
      <c r="K699" s="1">
        <f t="shared" si="26"/>
        <v>263.72289599999999</v>
      </c>
      <c r="L699" s="1">
        <f t="shared" si="27"/>
        <v>2813.5571040000004</v>
      </c>
      <c r="U699">
        <v>2424.9838100000002</v>
      </c>
      <c r="X699" s="1">
        <v>1959</v>
      </c>
      <c r="Y699" s="2">
        <v>45785</v>
      </c>
      <c r="Z699" s="1" t="str">
        <v>East</v>
      </c>
      <c r="AA699" s="1" t="str">
        <v>Football</v>
      </c>
      <c r="AB699" s="1" t="str">
        <v>Sports</v>
      </c>
      <c r="AC699" s="1">
        <v>4482.41</v>
      </c>
      <c r="AD699" s="1" t="str">
        <v>Michelle Pitts</v>
      </c>
      <c r="AE699" s="1">
        <v>38087</v>
      </c>
      <c r="AF699" s="1">
        <v>45797</v>
      </c>
      <c r="AG699" s="1">
        <v>45.9</v>
      </c>
      <c r="AH699" s="1">
        <v>2057.4261899999997</v>
      </c>
      <c r="AI699" s="1">
        <v>2424.9838100000002</v>
      </c>
    </row>
    <row r="700" spans="1:35" x14ac:dyDescent="0.35">
      <c r="A700" s="1">
        <v>1698</v>
      </c>
      <c r="B700" s="2">
        <v>45490</v>
      </c>
      <c r="C700" s="1" t="s">
        <v>10</v>
      </c>
      <c r="D700" s="1" t="s">
        <v>73</v>
      </c>
      <c r="E700" s="1" t="s">
        <v>28</v>
      </c>
      <c r="F700" s="1">
        <v>4876.51</v>
      </c>
      <c r="G700" s="1" t="s">
        <v>121</v>
      </c>
      <c r="H700" s="2">
        <v>24580</v>
      </c>
      <c r="I700" s="2">
        <v>45501</v>
      </c>
      <c r="J700" s="1">
        <v>10.16</v>
      </c>
      <c r="K700" s="1">
        <f t="shared" si="26"/>
        <v>495.453416</v>
      </c>
      <c r="L700" s="1">
        <f t="shared" si="27"/>
        <v>4381.0565839999999</v>
      </c>
      <c r="U700">
        <v>1482.65517</v>
      </c>
      <c r="X700" s="1">
        <v>1960</v>
      </c>
      <c r="Y700" s="2">
        <v>45063</v>
      </c>
      <c r="Z700" s="1" t="str">
        <v>Central</v>
      </c>
      <c r="AA700" s="1" t="str">
        <v>Shoes</v>
      </c>
      <c r="AB700" s="1" t="str">
        <v>Clothing</v>
      </c>
      <c r="AC700" s="1">
        <v>2174.3000000000002</v>
      </c>
      <c r="AD700" s="1" t="str">
        <v>David Ingram</v>
      </c>
      <c r="AE700" s="1">
        <v>25663</v>
      </c>
      <c r="AF700" s="1">
        <v>45073</v>
      </c>
      <c r="AG700" s="1">
        <v>31.81</v>
      </c>
      <c r="AH700" s="1">
        <v>691.64483000000007</v>
      </c>
      <c r="AI700" s="1">
        <v>1482.65517</v>
      </c>
    </row>
    <row r="701" spans="1:35" x14ac:dyDescent="0.35">
      <c r="A701" s="1">
        <v>1699</v>
      </c>
      <c r="B701" s="2">
        <v>45506</v>
      </c>
      <c r="C701" s="1" t="s">
        <v>21</v>
      </c>
      <c r="D701" s="1" t="s">
        <v>36</v>
      </c>
      <c r="E701" s="1" t="s">
        <v>28</v>
      </c>
      <c r="F701" s="1">
        <v>482.18</v>
      </c>
      <c r="G701" s="1" t="s">
        <v>278</v>
      </c>
      <c r="H701" s="2">
        <v>36036</v>
      </c>
      <c r="I701" s="2">
        <v>45517</v>
      </c>
      <c r="J701" s="1">
        <v>11.55</v>
      </c>
      <c r="K701" s="1">
        <f t="shared" si="26"/>
        <v>55.691790000000005</v>
      </c>
      <c r="L701" s="1">
        <f t="shared" si="27"/>
        <v>426.48820999999998</v>
      </c>
      <c r="U701">
        <v>1675.9052100000001</v>
      </c>
      <c r="X701" s="1">
        <v>1962</v>
      </c>
      <c r="Y701" s="2">
        <v>44515</v>
      </c>
      <c r="Z701" s="1" t="str">
        <v>East</v>
      </c>
      <c r="AA701" s="1" t="str">
        <v>Tablet</v>
      </c>
      <c r="AB701" s="1" t="str">
        <v>Electronics</v>
      </c>
      <c r="AC701" s="1">
        <v>3171.06</v>
      </c>
      <c r="AD701" s="1" t="str">
        <v>David Blevins</v>
      </c>
      <c r="AE701" s="1">
        <v>30410</v>
      </c>
      <c r="AF701" s="1">
        <v>44529</v>
      </c>
      <c r="AG701" s="1">
        <v>47.15</v>
      </c>
      <c r="AH701" s="1">
        <v>1495.1547899999998</v>
      </c>
      <c r="AI701" s="1">
        <v>1675.9052100000001</v>
      </c>
    </row>
    <row r="702" spans="1:35" x14ac:dyDescent="0.35">
      <c r="A702" s="1">
        <v>1700</v>
      </c>
      <c r="B702" s="2">
        <v>44706</v>
      </c>
      <c r="C702" s="1" t="s">
        <v>35</v>
      </c>
      <c r="D702" s="1" t="s">
        <v>69</v>
      </c>
      <c r="E702" s="1" t="s">
        <v>12</v>
      </c>
      <c r="F702" s="1">
        <v>842.12</v>
      </c>
      <c r="G702" s="1" t="s">
        <v>196</v>
      </c>
      <c r="H702" s="2">
        <v>26300</v>
      </c>
      <c r="I702" s="2">
        <v>44714</v>
      </c>
      <c r="J702" s="1">
        <v>1.36</v>
      </c>
      <c r="K702" s="1">
        <f t="shared" si="26"/>
        <v>11.452832000000001</v>
      </c>
      <c r="L702" s="1">
        <f t="shared" si="27"/>
        <v>830.66716799999995</v>
      </c>
      <c r="U702">
        <v>2995.2942360000002</v>
      </c>
      <c r="X702" s="1">
        <v>1963</v>
      </c>
      <c r="Y702" s="2">
        <v>44608</v>
      </c>
      <c r="Z702" s="1" t="str">
        <v>Central</v>
      </c>
      <c r="AA702" s="1" t="str">
        <v>Jacket</v>
      </c>
      <c r="AB702" s="1" t="str">
        <v>Clothing</v>
      </c>
      <c r="AC702" s="1">
        <v>4888.68</v>
      </c>
      <c r="AD702" s="1" t="str">
        <v>Matthew Stone</v>
      </c>
      <c r="AE702" s="1">
        <v>34871</v>
      </c>
      <c r="AF702" s="1">
        <v>44619</v>
      </c>
      <c r="AG702" s="1">
        <v>38.729999999999997</v>
      </c>
      <c r="AH702" s="1">
        <v>1893.3857640000001</v>
      </c>
      <c r="AI702" s="1">
        <v>2995.2942360000002</v>
      </c>
    </row>
    <row r="703" spans="1:35" x14ac:dyDescent="0.35">
      <c r="A703" s="1">
        <v>1701</v>
      </c>
      <c r="B703" s="2">
        <v>44103</v>
      </c>
      <c r="C703" s="1" t="s">
        <v>35</v>
      </c>
      <c r="D703" s="1" t="s">
        <v>24</v>
      </c>
      <c r="E703" s="1" t="s">
        <v>19</v>
      </c>
      <c r="F703" s="1">
        <v>970.42</v>
      </c>
      <c r="G703" s="1" t="s">
        <v>249</v>
      </c>
      <c r="H703" s="2">
        <v>28555</v>
      </c>
      <c r="I703" s="2">
        <v>44106</v>
      </c>
      <c r="J703" s="1">
        <v>23.45</v>
      </c>
      <c r="K703" s="1">
        <f t="shared" si="26"/>
        <v>227.56348999999997</v>
      </c>
      <c r="L703" s="1">
        <f t="shared" si="27"/>
        <v>742.85650999999996</v>
      </c>
      <c r="U703">
        <v>2423.9287929999996</v>
      </c>
      <c r="X703" s="1">
        <v>1965</v>
      </c>
      <c r="Y703" s="2">
        <v>44788</v>
      </c>
      <c r="Z703" s="1" t="str">
        <v>South</v>
      </c>
      <c r="AA703" s="1" t="str">
        <v>Laptop</v>
      </c>
      <c r="AB703" s="1" t="str">
        <v>Electronics</v>
      </c>
      <c r="AC703" s="1">
        <v>4581.2299999999996</v>
      </c>
      <c r="AD703" s="1" t="str">
        <v>Dorothy Thomas</v>
      </c>
      <c r="AE703" s="1">
        <v>30364</v>
      </c>
      <c r="AF703" s="1">
        <v>44793</v>
      </c>
      <c r="AG703" s="1">
        <v>47.09</v>
      </c>
      <c r="AH703" s="1">
        <v>2157.301207</v>
      </c>
      <c r="AI703" s="1">
        <v>2423.9287929999996</v>
      </c>
    </row>
    <row r="704" spans="1:35" x14ac:dyDescent="0.35">
      <c r="A704" s="1">
        <v>1702</v>
      </c>
      <c r="B704" s="2">
        <v>44907</v>
      </c>
      <c r="C704" s="1" t="s">
        <v>14</v>
      </c>
      <c r="D704" s="1" t="s">
        <v>61</v>
      </c>
      <c r="E704" s="1" t="s">
        <v>19</v>
      </c>
      <c r="F704" s="1">
        <v>1928.08</v>
      </c>
      <c r="G704" s="1" t="s">
        <v>13</v>
      </c>
      <c r="H704" s="2">
        <v>24348</v>
      </c>
      <c r="I704" s="2">
        <v>44908</v>
      </c>
      <c r="J704" s="1">
        <v>2.2200000000000002</v>
      </c>
      <c r="K704" s="1">
        <f t="shared" si="26"/>
        <v>42.803376</v>
      </c>
      <c r="L704" s="1">
        <f t="shared" si="27"/>
        <v>1885.2766239999999</v>
      </c>
      <c r="U704">
        <v>1675.061905</v>
      </c>
      <c r="X704" s="1">
        <v>1966</v>
      </c>
      <c r="Y704" s="2">
        <v>44086</v>
      </c>
      <c r="Z704" s="1" t="str">
        <v>East</v>
      </c>
      <c r="AA704" s="1" t="str">
        <v>Smartphone</v>
      </c>
      <c r="AB704" s="1" t="str">
        <v>Electronics</v>
      </c>
      <c r="AC704" s="1">
        <v>2299.33</v>
      </c>
      <c r="AD704" s="1" t="str">
        <v>Alexandria Stone</v>
      </c>
      <c r="AE704" s="1">
        <v>26472</v>
      </c>
      <c r="AF704" s="1">
        <v>44095</v>
      </c>
      <c r="AG704" s="1">
        <v>27.15</v>
      </c>
      <c r="AH704" s="1">
        <v>624.2680949999999</v>
      </c>
      <c r="AI704" s="1">
        <v>1675.061905</v>
      </c>
    </row>
    <row r="705" spans="1:35" x14ac:dyDescent="0.35">
      <c r="A705" s="1">
        <v>1703</v>
      </c>
      <c r="B705" s="2">
        <v>44329</v>
      </c>
      <c r="C705" s="1" t="s">
        <v>14</v>
      </c>
      <c r="D705" s="1" t="s">
        <v>55</v>
      </c>
      <c r="E705" s="1" t="s">
        <v>31</v>
      </c>
      <c r="F705" s="1">
        <v>710.4</v>
      </c>
      <c r="G705" s="1" t="s">
        <v>137</v>
      </c>
      <c r="H705" s="2">
        <v>36905</v>
      </c>
      <c r="I705" s="2">
        <v>44333</v>
      </c>
      <c r="J705" s="1">
        <v>6.09</v>
      </c>
      <c r="K705" s="1">
        <f t="shared" si="26"/>
        <v>43.263359999999999</v>
      </c>
      <c r="L705" s="1">
        <f t="shared" si="27"/>
        <v>667.13663999999994</v>
      </c>
      <c r="U705">
        <v>1472.799064</v>
      </c>
      <c r="X705" s="1">
        <v>1967</v>
      </c>
      <c r="Y705" s="2">
        <v>44316</v>
      </c>
      <c r="Z705" s="1" t="str">
        <v>South</v>
      </c>
      <c r="AA705" s="1" t="str">
        <v>Milk</v>
      </c>
      <c r="AB705" s="1" t="str">
        <v>Groceries</v>
      </c>
      <c r="AC705" s="1">
        <v>2148.19</v>
      </c>
      <c r="AD705" s="1" t="str">
        <v>Cynthia Brown</v>
      </c>
      <c r="AE705" s="1">
        <v>35407</v>
      </c>
      <c r="AF705" s="1">
        <v>44324</v>
      </c>
      <c r="AG705" s="1">
        <v>31.44</v>
      </c>
      <c r="AH705" s="1">
        <v>675.39093600000001</v>
      </c>
      <c r="AI705" s="1">
        <v>1472.799064</v>
      </c>
    </row>
    <row r="706" spans="1:35" x14ac:dyDescent="0.35">
      <c r="A706" s="1">
        <v>1704</v>
      </c>
      <c r="B706" s="2">
        <v>44120</v>
      </c>
      <c r="C706" s="1" t="s">
        <v>21</v>
      </c>
      <c r="D706" s="1" t="s">
        <v>36</v>
      </c>
      <c r="E706" s="1" t="s">
        <v>28</v>
      </c>
      <c r="F706" s="1">
        <v>1451.27</v>
      </c>
      <c r="G706" s="1" t="s">
        <v>56</v>
      </c>
      <c r="H706" s="2">
        <v>25712</v>
      </c>
      <c r="I706" s="2">
        <v>44128</v>
      </c>
      <c r="J706" s="1">
        <v>24.93</v>
      </c>
      <c r="K706" s="1">
        <f t="shared" si="26"/>
        <v>361.80161099999998</v>
      </c>
      <c r="L706" s="1">
        <f t="shared" si="27"/>
        <v>1089.4683890000001</v>
      </c>
      <c r="U706">
        <v>3100.2960919999996</v>
      </c>
      <c r="X706" s="1">
        <v>1968</v>
      </c>
      <c r="Y706" s="2">
        <v>44287</v>
      </c>
      <c r="Z706" s="1" t="str">
        <v>West</v>
      </c>
      <c r="AA706" s="1" t="str">
        <v>Headphones</v>
      </c>
      <c r="AB706" s="1" t="str">
        <v>Electronics</v>
      </c>
      <c r="AC706" s="1">
        <v>4578.1099999999997</v>
      </c>
      <c r="AD706" s="1" t="str">
        <v>Darryl Cooper</v>
      </c>
      <c r="AE706" s="1">
        <v>38378</v>
      </c>
      <c r="AF706" s="1">
        <v>44289</v>
      </c>
      <c r="AG706" s="1">
        <v>32.28</v>
      </c>
      <c r="AH706" s="1">
        <v>1477.8139080000001</v>
      </c>
      <c r="AI706" s="1">
        <v>3100.2960919999996</v>
      </c>
    </row>
    <row r="707" spans="1:35" x14ac:dyDescent="0.35">
      <c r="A707" s="1">
        <v>1705</v>
      </c>
      <c r="B707" s="2">
        <v>45019</v>
      </c>
      <c r="C707" s="1" t="s">
        <v>21</v>
      </c>
      <c r="D707" s="1" t="s">
        <v>55</v>
      </c>
      <c r="E707" s="1" t="s">
        <v>31</v>
      </c>
      <c r="F707" s="1">
        <v>4397.05</v>
      </c>
      <c r="G707" s="1" t="s">
        <v>216</v>
      </c>
      <c r="H707" s="2">
        <v>31419</v>
      </c>
      <c r="I707" s="2">
        <v>45022</v>
      </c>
      <c r="J707" s="1">
        <v>18.420000000000002</v>
      </c>
      <c r="K707" s="1">
        <f t="shared" ref="K707:K770" si="28">F707*J707%</f>
        <v>809.9366100000002</v>
      </c>
      <c r="L707" s="1">
        <f t="shared" ref="L707:L770" si="29">F707-K707</f>
        <v>3587.11339</v>
      </c>
      <c r="U707">
        <v>1207.4825699999999</v>
      </c>
      <c r="X707" s="1">
        <v>1969</v>
      </c>
      <c r="Y707" s="2">
        <v>45483</v>
      </c>
      <c r="Z707" s="1" t="str">
        <v>West</v>
      </c>
      <c r="AA707" s="1" t="str">
        <v>T-Shirt</v>
      </c>
      <c r="AB707" s="1" t="str">
        <v>Clothing</v>
      </c>
      <c r="AC707" s="1">
        <v>1321.82</v>
      </c>
      <c r="AD707" s="1" t="str">
        <v>Matthew Moore</v>
      </c>
      <c r="AE707" s="1">
        <v>29366</v>
      </c>
      <c r="AF707" s="1">
        <v>45497</v>
      </c>
      <c r="AG707" s="1">
        <v>8.65</v>
      </c>
      <c r="AH707" s="1">
        <v>114.33743</v>
      </c>
      <c r="AI707" s="1">
        <v>1207.4825699999999</v>
      </c>
    </row>
    <row r="708" spans="1:35" x14ac:dyDescent="0.35">
      <c r="A708" s="1">
        <v>1706</v>
      </c>
      <c r="B708" s="2">
        <v>45165</v>
      </c>
      <c r="C708" s="1" t="s">
        <v>35</v>
      </c>
      <c r="D708" s="1" t="s">
        <v>38</v>
      </c>
      <c r="E708" s="1" t="s">
        <v>28</v>
      </c>
      <c r="F708" s="1">
        <v>3244.23</v>
      </c>
      <c r="G708" s="1" t="s">
        <v>282</v>
      </c>
      <c r="H708" s="2">
        <v>38073</v>
      </c>
      <c r="I708" s="2">
        <v>45171</v>
      </c>
      <c r="J708" s="1">
        <v>48.8</v>
      </c>
      <c r="K708" s="1">
        <f t="shared" si="28"/>
        <v>1583.18424</v>
      </c>
      <c r="L708" s="1">
        <f t="shared" si="29"/>
        <v>1661.04576</v>
      </c>
      <c r="U708">
        <v>3143.6681120000003</v>
      </c>
      <c r="X708" s="1">
        <v>1970</v>
      </c>
      <c r="Y708" s="2">
        <v>44111</v>
      </c>
      <c r="Z708" s="1" t="str">
        <v>West</v>
      </c>
      <c r="AA708" s="1" t="str">
        <v>Cap</v>
      </c>
      <c r="AB708" s="1" t="str">
        <v>Clothing</v>
      </c>
      <c r="AC708" s="1">
        <v>4786.34</v>
      </c>
      <c r="AD708" s="1" t="str">
        <v>Kristin Brown</v>
      </c>
      <c r="AE708" s="1">
        <v>35343</v>
      </c>
      <c r="AF708" s="1">
        <v>44115</v>
      </c>
      <c r="AG708" s="1">
        <v>34.32</v>
      </c>
      <c r="AH708" s="1">
        <v>1642.6718880000001</v>
      </c>
      <c r="AI708" s="1">
        <v>3143.6681120000003</v>
      </c>
    </row>
    <row r="709" spans="1:35" x14ac:dyDescent="0.35">
      <c r="A709" s="1">
        <v>1707</v>
      </c>
      <c r="B709" s="2">
        <v>45213</v>
      </c>
      <c r="C709" s="1" t="s">
        <v>35</v>
      </c>
      <c r="D709" s="1" t="s">
        <v>73</v>
      </c>
      <c r="E709" s="1" t="s">
        <v>28</v>
      </c>
      <c r="F709" s="1">
        <v>963.24</v>
      </c>
      <c r="G709" s="1" t="s">
        <v>78</v>
      </c>
      <c r="H709" s="2">
        <v>25099</v>
      </c>
      <c r="I709" s="2">
        <v>45218</v>
      </c>
      <c r="J709" s="1">
        <v>46.92</v>
      </c>
      <c r="K709" s="1">
        <f t="shared" si="28"/>
        <v>451.95220799999998</v>
      </c>
      <c r="L709" s="1">
        <f t="shared" si="29"/>
        <v>511.28779200000002</v>
      </c>
      <c r="U709">
        <v>1655.6055680000002</v>
      </c>
      <c r="X709" s="1">
        <v>1971</v>
      </c>
      <c r="Y709" s="2">
        <v>45884</v>
      </c>
      <c r="Z709" s="1" t="str">
        <v>East</v>
      </c>
      <c r="AA709" s="1" t="str">
        <v>Wheat</v>
      </c>
      <c r="AB709" s="1" t="str">
        <v>Groceries</v>
      </c>
      <c r="AC709" s="1">
        <v>3228.56</v>
      </c>
      <c r="AD709" s="1" t="str">
        <v>Derek Boyle</v>
      </c>
      <c r="AE709" s="1">
        <v>27534</v>
      </c>
      <c r="AF709" s="1">
        <v>45890</v>
      </c>
      <c r="AG709" s="1">
        <v>48.72</v>
      </c>
      <c r="AH709" s="1">
        <v>1572.9544319999998</v>
      </c>
      <c r="AI709" s="1">
        <v>1655.6055680000002</v>
      </c>
    </row>
    <row r="710" spans="1:35" x14ac:dyDescent="0.35">
      <c r="A710" s="1">
        <v>1708</v>
      </c>
      <c r="B710" s="2">
        <v>45285</v>
      </c>
      <c r="C710" s="1" t="s">
        <v>26</v>
      </c>
      <c r="D710" s="1" t="s">
        <v>58</v>
      </c>
      <c r="E710" s="1" t="s">
        <v>31</v>
      </c>
      <c r="F710" s="1">
        <v>4234.68</v>
      </c>
      <c r="G710" s="1" t="s">
        <v>87</v>
      </c>
      <c r="H710" s="2">
        <v>36012</v>
      </c>
      <c r="I710" s="2">
        <v>45299</v>
      </c>
      <c r="J710" s="1">
        <v>44.06</v>
      </c>
      <c r="K710" s="1">
        <f t="shared" si="28"/>
        <v>1865.8000080000004</v>
      </c>
      <c r="L710" s="1">
        <f t="shared" si="29"/>
        <v>2368.8799920000001</v>
      </c>
      <c r="U710">
        <v>1596.6231379999999</v>
      </c>
      <c r="X710" s="1">
        <v>1972</v>
      </c>
      <c r="Y710" s="2">
        <v>44421</v>
      </c>
      <c r="Z710" s="1" t="str">
        <v>South</v>
      </c>
      <c r="AA710" s="1" t="str">
        <v>Rice</v>
      </c>
      <c r="AB710" s="1" t="str">
        <v>Groceries</v>
      </c>
      <c r="AC710" s="1">
        <v>2697.91</v>
      </c>
      <c r="AD710" s="1" t="str">
        <v>Lisa Garcia</v>
      </c>
      <c r="AE710" s="1">
        <v>31578</v>
      </c>
      <c r="AF710" s="1">
        <v>44431</v>
      </c>
      <c r="AG710" s="1">
        <v>40.82</v>
      </c>
      <c r="AH710" s="1">
        <v>1101.2868619999999</v>
      </c>
      <c r="AI710" s="1">
        <v>1596.6231379999999</v>
      </c>
    </row>
    <row r="711" spans="1:35" x14ac:dyDescent="0.35">
      <c r="A711" s="1">
        <v>1709</v>
      </c>
      <c r="B711" s="2">
        <v>45795</v>
      </c>
      <c r="C711" s="1" t="s">
        <v>14</v>
      </c>
      <c r="D711" s="1" t="s">
        <v>71</v>
      </c>
      <c r="E711" s="1" t="s">
        <v>31</v>
      </c>
      <c r="F711" s="1">
        <v>549.34</v>
      </c>
      <c r="G711" s="1" t="s">
        <v>81</v>
      </c>
      <c r="H711" s="2">
        <v>38350</v>
      </c>
      <c r="I711" s="2">
        <v>45807</v>
      </c>
      <c r="J711" s="1">
        <v>10.1</v>
      </c>
      <c r="K711" s="1">
        <f t="shared" si="28"/>
        <v>55.483339999999998</v>
      </c>
      <c r="L711" s="1">
        <f t="shared" si="29"/>
        <v>493.85666000000003</v>
      </c>
      <c r="U711">
        <v>1993.660443</v>
      </c>
      <c r="X711" s="1">
        <v>1973</v>
      </c>
      <c r="Y711" s="2">
        <v>44350</v>
      </c>
      <c r="Z711" s="1" t="str">
        <v>South</v>
      </c>
      <c r="AA711" s="1" t="str">
        <v>Rice</v>
      </c>
      <c r="AB711" s="1" t="str">
        <v>Groceries</v>
      </c>
      <c r="AC711" s="1">
        <v>3250.71</v>
      </c>
      <c r="AD711" s="1" t="str">
        <v>Sara Keller</v>
      </c>
      <c r="AE711" s="1">
        <v>27526</v>
      </c>
      <c r="AF711" s="1">
        <v>44352</v>
      </c>
      <c r="AG711" s="1">
        <v>38.67</v>
      </c>
      <c r="AH711" s="1">
        <v>1257.049557</v>
      </c>
      <c r="AI711" s="1">
        <v>1993.660443</v>
      </c>
    </row>
    <row r="712" spans="1:35" x14ac:dyDescent="0.35">
      <c r="A712" s="1">
        <v>1710</v>
      </c>
      <c r="B712" s="2">
        <v>44386</v>
      </c>
      <c r="C712" s="1" t="s">
        <v>14</v>
      </c>
      <c r="D712" s="1" t="s">
        <v>36</v>
      </c>
      <c r="E712" s="1" t="s">
        <v>28</v>
      </c>
      <c r="F712" s="1">
        <v>4680.0200000000004</v>
      </c>
      <c r="G712" s="1" t="s">
        <v>230</v>
      </c>
      <c r="H712" s="2">
        <v>35642</v>
      </c>
      <c r="I712" s="2">
        <v>44400</v>
      </c>
      <c r="J712" s="1">
        <v>13.82</v>
      </c>
      <c r="K712" s="1">
        <f t="shared" si="28"/>
        <v>646.77876400000002</v>
      </c>
      <c r="L712" s="1">
        <f t="shared" si="29"/>
        <v>4033.2412360000003</v>
      </c>
      <c r="U712">
        <v>1130.1538169999999</v>
      </c>
      <c r="X712" s="1">
        <v>1974</v>
      </c>
      <c r="Y712" s="2">
        <v>44959</v>
      </c>
      <c r="Z712" s="1" t="str">
        <v>South</v>
      </c>
      <c r="AA712" s="1" t="str">
        <v>Camera</v>
      </c>
      <c r="AB712" s="1" t="str">
        <v>Electronics</v>
      </c>
      <c r="AC712" s="1">
        <v>1777.81</v>
      </c>
      <c r="AD712" s="1" t="str">
        <v>Samuel Humphrey</v>
      </c>
      <c r="AE712" s="1">
        <v>30887</v>
      </c>
      <c r="AF712" s="1">
        <v>44966</v>
      </c>
      <c r="AG712" s="1">
        <v>36.43</v>
      </c>
      <c r="AH712" s="1">
        <v>647.65618300000006</v>
      </c>
      <c r="AI712" s="1">
        <v>1130.1538169999999</v>
      </c>
    </row>
    <row r="713" spans="1:35" x14ac:dyDescent="0.35">
      <c r="A713" s="1">
        <v>1711</v>
      </c>
      <c r="B713" s="2">
        <v>44813</v>
      </c>
      <c r="C713" s="1" t="s">
        <v>14</v>
      </c>
      <c r="D713" s="1" t="s">
        <v>44</v>
      </c>
      <c r="E713" s="1" t="s">
        <v>16</v>
      </c>
      <c r="F713" s="1">
        <v>2860.6</v>
      </c>
      <c r="G713" s="1" t="s">
        <v>174</v>
      </c>
      <c r="H713" s="2">
        <v>38118</v>
      </c>
      <c r="I713" s="2">
        <v>44826</v>
      </c>
      <c r="J713" s="1">
        <v>25.1</v>
      </c>
      <c r="K713" s="1">
        <f t="shared" si="28"/>
        <v>718.01059999999995</v>
      </c>
      <c r="L713" s="1">
        <f t="shared" si="29"/>
        <v>2142.5893999999998</v>
      </c>
      <c r="U713">
        <v>1920.0518980000002</v>
      </c>
      <c r="X713" s="1">
        <v>1975</v>
      </c>
      <c r="Y713" s="2">
        <v>45826</v>
      </c>
      <c r="Z713" s="1" t="str">
        <v>East</v>
      </c>
      <c r="AA713" s="1" t="str">
        <v>Basketball</v>
      </c>
      <c r="AB713" s="1" t="str">
        <v>Sports</v>
      </c>
      <c r="AC713" s="1">
        <v>3112.42</v>
      </c>
      <c r="AD713" s="1" t="str">
        <v>William Robles</v>
      </c>
      <c r="AE713" s="1">
        <v>30786</v>
      </c>
      <c r="AF713" s="1">
        <v>45830</v>
      </c>
      <c r="AG713" s="1">
        <v>38.31</v>
      </c>
      <c r="AH713" s="1">
        <v>1192.3681019999999</v>
      </c>
      <c r="AI713" s="1">
        <v>1920.0518980000002</v>
      </c>
    </row>
    <row r="714" spans="1:35" x14ac:dyDescent="0.35">
      <c r="A714" s="1">
        <v>1712</v>
      </c>
      <c r="B714" s="2">
        <v>44722</v>
      </c>
      <c r="C714" s="1" t="s">
        <v>14</v>
      </c>
      <c r="D714" s="1" t="s">
        <v>69</v>
      </c>
      <c r="E714" s="1" t="s">
        <v>31</v>
      </c>
      <c r="F714" s="1">
        <v>202.8</v>
      </c>
      <c r="G714" s="1" t="s">
        <v>311</v>
      </c>
      <c r="H714" s="2">
        <v>29242</v>
      </c>
      <c r="I714" s="2">
        <v>44728</v>
      </c>
      <c r="J714" s="1">
        <v>48.41</v>
      </c>
      <c r="K714" s="1">
        <f t="shared" si="28"/>
        <v>98.175480000000007</v>
      </c>
      <c r="L714" s="1">
        <f t="shared" si="29"/>
        <v>104.62452</v>
      </c>
      <c r="U714">
        <v>1201.060373</v>
      </c>
      <c r="X714" s="1">
        <v>1976</v>
      </c>
      <c r="Y714" s="2">
        <v>45528</v>
      </c>
      <c r="Z714" s="1" t="str">
        <v>North</v>
      </c>
      <c r="AA714" s="1" t="str">
        <v>Jeans</v>
      </c>
      <c r="AB714" s="1" t="str">
        <v>Clothing</v>
      </c>
      <c r="AC714" s="1">
        <v>1607.63</v>
      </c>
      <c r="AD714" s="1" t="str">
        <v>James Kerr</v>
      </c>
      <c r="AE714" s="1">
        <v>28863</v>
      </c>
      <c r="AF714" s="1">
        <v>45536</v>
      </c>
      <c r="AG714" s="1">
        <v>25.29</v>
      </c>
      <c r="AH714" s="1">
        <v>406.56962700000003</v>
      </c>
      <c r="AI714" s="1">
        <v>1201.060373</v>
      </c>
    </row>
    <row r="715" spans="1:35" x14ac:dyDescent="0.35">
      <c r="A715" s="1">
        <v>1713</v>
      </c>
      <c r="B715" s="2">
        <v>44443</v>
      </c>
      <c r="C715" s="1" t="s">
        <v>21</v>
      </c>
      <c r="D715" s="1" t="s">
        <v>102</v>
      </c>
      <c r="E715" s="1" t="s">
        <v>12</v>
      </c>
      <c r="F715" s="1">
        <v>540.61</v>
      </c>
      <c r="G715" s="1" t="s">
        <v>43</v>
      </c>
      <c r="H715" s="2">
        <v>33702</v>
      </c>
      <c r="I715" s="2">
        <v>44450</v>
      </c>
      <c r="J715" s="1">
        <v>7.72</v>
      </c>
      <c r="K715" s="1">
        <f t="shared" si="28"/>
        <v>41.735091999999995</v>
      </c>
      <c r="L715" s="1">
        <f t="shared" si="29"/>
        <v>498.874908</v>
      </c>
      <c r="U715">
        <v>3168.5287859999999</v>
      </c>
      <c r="X715" s="1">
        <v>1977</v>
      </c>
      <c r="Y715" s="2">
        <v>44608</v>
      </c>
      <c r="Z715" s="1" t="str">
        <v>Central</v>
      </c>
      <c r="AA715" s="1" t="str">
        <v>Sofa</v>
      </c>
      <c r="AB715" s="1" t="str">
        <v>Furniture</v>
      </c>
      <c r="AC715" s="1">
        <v>4210.1099999999997</v>
      </c>
      <c r="AD715" s="1" t="str">
        <v>Alicia Campbell</v>
      </c>
      <c r="AE715" s="1">
        <v>33984</v>
      </c>
      <c r="AF715" s="1">
        <v>44611</v>
      </c>
      <c r="AG715" s="1">
        <v>24.74</v>
      </c>
      <c r="AH715" s="1">
        <v>1041.5812139999998</v>
      </c>
      <c r="AI715" s="1">
        <v>3168.5287859999999</v>
      </c>
    </row>
    <row r="716" spans="1:35" x14ac:dyDescent="0.35">
      <c r="A716" s="1">
        <v>1714</v>
      </c>
      <c r="B716" s="2">
        <v>44594</v>
      </c>
      <c r="C716" s="1" t="s">
        <v>35</v>
      </c>
      <c r="D716" s="1" t="s">
        <v>65</v>
      </c>
      <c r="E716" s="1" t="s">
        <v>19</v>
      </c>
      <c r="F716" s="1">
        <v>3533.67</v>
      </c>
      <c r="G716" s="1" t="s">
        <v>289</v>
      </c>
      <c r="H716" s="2">
        <v>21923</v>
      </c>
      <c r="I716" s="2">
        <v>44607</v>
      </c>
      <c r="J716" s="1">
        <v>1.1299999999999999</v>
      </c>
      <c r="K716" s="1">
        <f t="shared" si="28"/>
        <v>39.930470999999997</v>
      </c>
      <c r="L716" s="1">
        <f t="shared" si="29"/>
        <v>3493.7395289999999</v>
      </c>
      <c r="U716">
        <v>3000.5608050000001</v>
      </c>
      <c r="X716" s="1">
        <v>1979</v>
      </c>
      <c r="Y716" s="2">
        <v>45714</v>
      </c>
      <c r="Z716" s="1" t="str">
        <v>West</v>
      </c>
      <c r="AA716" s="1" t="str">
        <v>Jacket</v>
      </c>
      <c r="AB716" s="1" t="str">
        <v>Clothing</v>
      </c>
      <c r="AC716" s="1">
        <v>3651.65</v>
      </c>
      <c r="AD716" s="1" t="str">
        <v>Jennifer Booth</v>
      </c>
      <c r="AE716" s="1">
        <v>23369</v>
      </c>
      <c r="AF716" s="1">
        <v>45723</v>
      </c>
      <c r="AG716" s="1">
        <v>17.829999999999998</v>
      </c>
      <c r="AH716" s="1">
        <v>651.08919500000002</v>
      </c>
      <c r="AI716" s="1">
        <v>3000.5608050000001</v>
      </c>
    </row>
    <row r="717" spans="1:35" x14ac:dyDescent="0.35">
      <c r="A717" s="1">
        <v>1715</v>
      </c>
      <c r="B717" s="2">
        <v>45049</v>
      </c>
      <c r="C717" s="1" t="s">
        <v>14</v>
      </c>
      <c r="D717" s="1" t="s">
        <v>11</v>
      </c>
      <c r="E717" s="1" t="s">
        <v>12</v>
      </c>
      <c r="F717" s="1">
        <v>2679.23</v>
      </c>
      <c r="G717" s="1" t="s">
        <v>113</v>
      </c>
      <c r="H717" s="2">
        <v>25579</v>
      </c>
      <c r="I717" s="2">
        <v>45059</v>
      </c>
      <c r="J717" s="1">
        <v>19.5</v>
      </c>
      <c r="K717" s="1">
        <f t="shared" si="28"/>
        <v>522.44984999999997</v>
      </c>
      <c r="L717" s="1">
        <f t="shared" si="29"/>
        <v>2156.78015</v>
      </c>
      <c r="U717">
        <v>2054.225136</v>
      </c>
      <c r="X717" s="1">
        <v>1980</v>
      </c>
      <c r="Y717" s="2">
        <v>44666</v>
      </c>
      <c r="Z717" s="1" t="str">
        <v>South</v>
      </c>
      <c r="AA717" s="1" t="str">
        <v>Smartphone</v>
      </c>
      <c r="AB717" s="1" t="str">
        <v>Electronics</v>
      </c>
      <c r="AC717" s="1">
        <v>2249.48</v>
      </c>
      <c r="AD717" s="1" t="str">
        <v>Steven Santiago</v>
      </c>
      <c r="AE717" s="1">
        <v>38478</v>
      </c>
      <c r="AF717" s="1">
        <v>44671</v>
      </c>
      <c r="AG717" s="1">
        <v>8.68</v>
      </c>
      <c r="AH717" s="1">
        <v>195.254864</v>
      </c>
      <c r="AI717" s="1">
        <v>2054.225136</v>
      </c>
    </row>
    <row r="718" spans="1:35" x14ac:dyDescent="0.35">
      <c r="A718" s="1">
        <v>1716</v>
      </c>
      <c r="B718" s="2">
        <v>45214</v>
      </c>
      <c r="C718" s="1" t="s">
        <v>21</v>
      </c>
      <c r="D718" s="1" t="s">
        <v>69</v>
      </c>
      <c r="E718" s="1" t="s">
        <v>31</v>
      </c>
      <c r="F718" s="1">
        <v>4121.55</v>
      </c>
      <c r="G718" s="1" t="s">
        <v>248</v>
      </c>
      <c r="H718" s="2">
        <v>32685</v>
      </c>
      <c r="I718" s="2">
        <v>45223</v>
      </c>
      <c r="J718" s="1">
        <v>35.71</v>
      </c>
      <c r="K718" s="1">
        <f t="shared" si="28"/>
        <v>1471.8055050000003</v>
      </c>
      <c r="L718" s="1">
        <f t="shared" si="29"/>
        <v>2649.7444949999999</v>
      </c>
      <c r="U718">
        <v>2228.490045</v>
      </c>
      <c r="X718" s="1">
        <v>1982</v>
      </c>
      <c r="Y718" s="2">
        <v>44780</v>
      </c>
      <c r="Z718" s="1" t="str">
        <v>South</v>
      </c>
      <c r="AA718" s="1" t="str">
        <v>Camera</v>
      </c>
      <c r="AB718" s="1" t="str">
        <v>Electronics</v>
      </c>
      <c r="AC718" s="1">
        <v>3738.45</v>
      </c>
      <c r="AD718" s="1" t="str">
        <v>Joseph Walter</v>
      </c>
      <c r="AE718" s="1">
        <v>36329</v>
      </c>
      <c r="AF718" s="1">
        <v>44783</v>
      </c>
      <c r="AG718" s="1">
        <v>40.39</v>
      </c>
      <c r="AH718" s="1">
        <v>1509.9599549999998</v>
      </c>
      <c r="AI718" s="1">
        <v>2228.490045</v>
      </c>
    </row>
    <row r="719" spans="1:35" x14ac:dyDescent="0.35">
      <c r="A719" s="1">
        <v>1717</v>
      </c>
      <c r="B719" s="2">
        <v>44535</v>
      </c>
      <c r="C719" s="1" t="s">
        <v>21</v>
      </c>
      <c r="D719" s="1" t="s">
        <v>88</v>
      </c>
      <c r="E719" s="1" t="s">
        <v>16</v>
      </c>
      <c r="F719" s="1">
        <v>3582.34</v>
      </c>
      <c r="G719" s="1" t="s">
        <v>113</v>
      </c>
      <c r="H719" s="2">
        <v>25579</v>
      </c>
      <c r="I719" s="2">
        <v>44540</v>
      </c>
      <c r="J719" s="1">
        <v>14.14</v>
      </c>
      <c r="K719" s="1">
        <f t="shared" si="28"/>
        <v>506.54287600000004</v>
      </c>
      <c r="L719" s="1">
        <f t="shared" si="29"/>
        <v>3075.7971240000002</v>
      </c>
      <c r="U719">
        <v>2589.4621080000002</v>
      </c>
      <c r="X719" s="1">
        <v>1983</v>
      </c>
      <c r="Y719" s="2">
        <v>45556</v>
      </c>
      <c r="Z719" s="1" t="str">
        <v>West</v>
      </c>
      <c r="AA719" s="1" t="str">
        <v>Tennis Racket</v>
      </c>
      <c r="AB719" s="1" t="str">
        <v>Sports</v>
      </c>
      <c r="AC719" s="1">
        <v>2860.02</v>
      </c>
      <c r="AD719" s="1" t="str">
        <v>Jonathan Gillespie MD</v>
      </c>
      <c r="AE719" s="1">
        <v>23838</v>
      </c>
      <c r="AF719" s="1">
        <v>45568</v>
      </c>
      <c r="AG719" s="1">
        <v>9.4600000000000009</v>
      </c>
      <c r="AH719" s="1">
        <v>270.55789199999998</v>
      </c>
      <c r="AI719" s="1">
        <v>2589.4621080000002</v>
      </c>
    </row>
    <row r="720" spans="1:35" x14ac:dyDescent="0.35">
      <c r="A720" s="1">
        <v>1718</v>
      </c>
      <c r="B720" s="2">
        <v>45287</v>
      </c>
      <c r="C720" s="1" t="s">
        <v>21</v>
      </c>
      <c r="D720" s="1" t="s">
        <v>22</v>
      </c>
      <c r="E720" s="1" t="s">
        <v>19</v>
      </c>
      <c r="F720" s="1">
        <v>3131.27</v>
      </c>
      <c r="G720" s="1" t="s">
        <v>145</v>
      </c>
      <c r="H720" s="2">
        <v>23470</v>
      </c>
      <c r="I720" s="2">
        <v>45298</v>
      </c>
      <c r="J720" s="1">
        <v>45.69</v>
      </c>
      <c r="K720" s="1">
        <f t="shared" si="28"/>
        <v>1430.6772629999998</v>
      </c>
      <c r="L720" s="1">
        <f t="shared" si="29"/>
        <v>1700.5927370000002</v>
      </c>
      <c r="U720">
        <v>1696.7705169999999</v>
      </c>
      <c r="X720" s="1">
        <v>1984</v>
      </c>
      <c r="Y720" s="2">
        <v>44207</v>
      </c>
      <c r="Z720" s="1" t="str">
        <v>West</v>
      </c>
      <c r="AA720" s="1" t="str">
        <v>Camera</v>
      </c>
      <c r="AB720" s="1" t="str">
        <v>Electronics</v>
      </c>
      <c r="AC720" s="1">
        <v>2382.77</v>
      </c>
      <c r="AD720" s="1" t="str">
        <v>Karen Hernandez</v>
      </c>
      <c r="AE720" s="1">
        <v>30976</v>
      </c>
      <c r="AF720" s="1">
        <v>44210</v>
      </c>
      <c r="AG720" s="1">
        <v>28.79</v>
      </c>
      <c r="AH720" s="1">
        <v>685.99948299999994</v>
      </c>
      <c r="AI720" s="1">
        <v>1696.7705169999999</v>
      </c>
    </row>
    <row r="721" spans="1:35" x14ac:dyDescent="0.35">
      <c r="A721" s="1">
        <v>1719</v>
      </c>
      <c r="B721" s="2">
        <v>45133</v>
      </c>
      <c r="C721" s="1" t="s">
        <v>14</v>
      </c>
      <c r="D721" s="1" t="s">
        <v>40</v>
      </c>
      <c r="E721" s="1" t="s">
        <v>16</v>
      </c>
      <c r="F721" s="1">
        <v>717.7</v>
      </c>
      <c r="G721" s="1" t="s">
        <v>295</v>
      </c>
      <c r="H721" s="2">
        <v>23369</v>
      </c>
      <c r="I721" s="2">
        <v>45135</v>
      </c>
      <c r="J721" s="1">
        <v>13.77</v>
      </c>
      <c r="K721" s="1">
        <f t="shared" si="28"/>
        <v>98.827290000000005</v>
      </c>
      <c r="L721" s="1">
        <f t="shared" si="29"/>
        <v>618.8727100000001</v>
      </c>
      <c r="U721">
        <v>1963.4352820000001</v>
      </c>
      <c r="X721" s="1">
        <v>1985</v>
      </c>
      <c r="Y721" s="2">
        <v>45108</v>
      </c>
      <c r="Z721" s="1" t="str">
        <v>North</v>
      </c>
      <c r="AA721" s="1" t="str">
        <v>Camera</v>
      </c>
      <c r="AB721" s="1" t="str">
        <v>Electronics</v>
      </c>
      <c r="AC721" s="1">
        <v>2464.46</v>
      </c>
      <c r="AD721" s="1" t="str">
        <v>Jimmy Lopez</v>
      </c>
      <c r="AE721" s="1">
        <v>36246</v>
      </c>
      <c r="AF721" s="1">
        <v>45111</v>
      </c>
      <c r="AG721" s="1">
        <v>20.329999999999998</v>
      </c>
      <c r="AH721" s="1">
        <v>501.02471799999995</v>
      </c>
      <c r="AI721" s="1">
        <v>1963.4352820000001</v>
      </c>
    </row>
    <row r="722" spans="1:35" x14ac:dyDescent="0.35">
      <c r="A722" s="1">
        <v>1720</v>
      </c>
      <c r="B722" s="2">
        <v>44377</v>
      </c>
      <c r="C722" s="1" t="s">
        <v>35</v>
      </c>
      <c r="D722" s="1" t="s">
        <v>11</v>
      </c>
      <c r="E722" s="1" t="s">
        <v>12</v>
      </c>
      <c r="F722" s="1">
        <v>3653.64</v>
      </c>
      <c r="G722" s="1" t="s">
        <v>312</v>
      </c>
      <c r="H722" s="2">
        <v>34765</v>
      </c>
      <c r="I722" s="2">
        <v>44380</v>
      </c>
      <c r="J722" s="1">
        <v>14.62</v>
      </c>
      <c r="K722" s="1">
        <f t="shared" si="28"/>
        <v>534.16216799999995</v>
      </c>
      <c r="L722" s="1">
        <f t="shared" si="29"/>
        <v>3119.477832</v>
      </c>
      <c r="U722">
        <v>1780.914231</v>
      </c>
      <c r="X722" s="1">
        <v>1988</v>
      </c>
      <c r="Y722" s="2">
        <v>44777</v>
      </c>
      <c r="Z722" s="1" t="str">
        <v>South</v>
      </c>
      <c r="AA722" s="1" t="str">
        <v>Eggs</v>
      </c>
      <c r="AB722" s="1" t="str">
        <v>Groceries</v>
      </c>
      <c r="AC722" s="1">
        <v>2122.41</v>
      </c>
      <c r="AD722" s="1" t="str">
        <v>John Adams</v>
      </c>
      <c r="AE722" s="1">
        <v>22016</v>
      </c>
      <c r="AF722" s="1">
        <v>44791</v>
      </c>
      <c r="AG722" s="1">
        <v>16.09</v>
      </c>
      <c r="AH722" s="1">
        <v>341.49576899999994</v>
      </c>
      <c r="AI722" s="1">
        <v>1780.914231</v>
      </c>
    </row>
    <row r="723" spans="1:35" x14ac:dyDescent="0.35">
      <c r="A723" s="1">
        <v>1721</v>
      </c>
      <c r="B723" s="2">
        <v>44779</v>
      </c>
      <c r="C723" s="1" t="s">
        <v>21</v>
      </c>
      <c r="D723" s="1" t="s">
        <v>55</v>
      </c>
      <c r="E723" s="1" t="s">
        <v>31</v>
      </c>
      <c r="F723" s="1">
        <v>4120.01</v>
      </c>
      <c r="G723" s="1" t="s">
        <v>283</v>
      </c>
      <c r="H723" s="2">
        <v>30117</v>
      </c>
      <c r="I723" s="2">
        <v>44782</v>
      </c>
      <c r="J723" s="1">
        <v>1.46</v>
      </c>
      <c r="K723" s="1">
        <f t="shared" si="28"/>
        <v>60.152146000000002</v>
      </c>
      <c r="L723" s="1">
        <f t="shared" si="29"/>
        <v>4059.8578540000003</v>
      </c>
      <c r="U723">
        <v>2335.6422439999997</v>
      </c>
      <c r="X723" s="1">
        <v>1989</v>
      </c>
      <c r="Y723" s="2">
        <v>45091</v>
      </c>
      <c r="Z723" s="1" t="str">
        <v>West</v>
      </c>
      <c r="AA723" s="1" t="str">
        <v>Cricket Bat</v>
      </c>
      <c r="AB723" s="1" t="str">
        <v>Sports</v>
      </c>
      <c r="AC723" s="1">
        <v>3431.74</v>
      </c>
      <c r="AD723" s="1" t="str">
        <v>Gabriel Watson</v>
      </c>
      <c r="AE723" s="1">
        <v>34427</v>
      </c>
      <c r="AF723" s="1">
        <v>45093</v>
      </c>
      <c r="AG723" s="1">
        <v>31.94</v>
      </c>
      <c r="AH723" s="1">
        <v>1096.0977559999999</v>
      </c>
      <c r="AI723" s="1">
        <v>2335.6422439999997</v>
      </c>
    </row>
    <row r="724" spans="1:35" x14ac:dyDescent="0.35">
      <c r="A724" s="1">
        <v>1722</v>
      </c>
      <c r="B724" s="2">
        <v>44813</v>
      </c>
      <c r="C724" s="1" t="s">
        <v>14</v>
      </c>
      <c r="D724" s="1" t="s">
        <v>22</v>
      </c>
      <c r="E724" s="1" t="s">
        <v>19</v>
      </c>
      <c r="F724" s="1">
        <v>1738.91</v>
      </c>
      <c r="G724" s="1" t="s">
        <v>229</v>
      </c>
      <c r="H724" s="2">
        <v>37783</v>
      </c>
      <c r="I724" s="2">
        <v>44820</v>
      </c>
      <c r="J724" s="1">
        <v>3.04</v>
      </c>
      <c r="K724" s="1">
        <f t="shared" si="28"/>
        <v>52.862864000000002</v>
      </c>
      <c r="L724" s="1">
        <f t="shared" si="29"/>
        <v>1686.0471360000001</v>
      </c>
      <c r="U724">
        <v>2721.9774399999997</v>
      </c>
      <c r="X724" s="1">
        <v>1990</v>
      </c>
      <c r="Y724" s="2">
        <v>45222</v>
      </c>
      <c r="Z724" s="1" t="str">
        <v>West</v>
      </c>
      <c r="AA724" s="1" t="str">
        <v>Chair</v>
      </c>
      <c r="AB724" s="1" t="str">
        <v>Furniture</v>
      </c>
      <c r="AC724" s="1">
        <v>4273.12</v>
      </c>
      <c r="AD724" s="1" t="str">
        <v>Amanda West</v>
      </c>
      <c r="AE724" s="1">
        <v>30356</v>
      </c>
      <c r="AF724" s="1">
        <v>45232</v>
      </c>
      <c r="AG724" s="1">
        <v>36.299999999999997</v>
      </c>
      <c r="AH724" s="1">
        <v>1551.14256</v>
      </c>
      <c r="AI724" s="1">
        <v>2721.9774399999997</v>
      </c>
    </row>
    <row r="725" spans="1:35" x14ac:dyDescent="0.35">
      <c r="A725" s="1">
        <v>1723</v>
      </c>
      <c r="B725" s="2">
        <v>45657</v>
      </c>
      <c r="C725" s="1" t="s">
        <v>21</v>
      </c>
      <c r="D725" s="1" t="s">
        <v>36</v>
      </c>
      <c r="E725" s="1" t="s">
        <v>28</v>
      </c>
      <c r="F725" s="1">
        <v>3158.37</v>
      </c>
      <c r="G725" s="1" t="s">
        <v>37</v>
      </c>
      <c r="H725" s="2">
        <v>27534</v>
      </c>
      <c r="I725" s="2">
        <v>45666</v>
      </c>
      <c r="J725" s="1">
        <v>49.54</v>
      </c>
      <c r="K725" s="1">
        <f t="shared" si="28"/>
        <v>1564.6564980000001</v>
      </c>
      <c r="L725" s="1">
        <f t="shared" si="29"/>
        <v>1593.7135019999998</v>
      </c>
      <c r="U725">
        <v>1986.3340170000001</v>
      </c>
      <c r="X725" s="1">
        <v>1993</v>
      </c>
      <c r="Y725" s="2">
        <v>44395</v>
      </c>
      <c r="Z725" s="1" t="str">
        <v>South</v>
      </c>
      <c r="AA725" s="1" t="str">
        <v>Cap</v>
      </c>
      <c r="AB725" s="1" t="str">
        <v>Clothing</v>
      </c>
      <c r="AC725" s="1">
        <v>2747.73</v>
      </c>
      <c r="AD725" s="1" t="str">
        <v>Christopher Campbell</v>
      </c>
      <c r="AE725" s="1">
        <v>26082</v>
      </c>
      <c r="AF725" s="1">
        <v>44409</v>
      </c>
      <c r="AG725" s="1">
        <v>27.71</v>
      </c>
      <c r="AH725" s="1">
        <v>761.395983</v>
      </c>
      <c r="AI725" s="1">
        <v>1986.3340170000001</v>
      </c>
    </row>
    <row r="726" spans="1:35" x14ac:dyDescent="0.35">
      <c r="A726" s="1">
        <v>1724</v>
      </c>
      <c r="B726" s="2">
        <v>44535</v>
      </c>
      <c r="C726" s="1" t="s">
        <v>10</v>
      </c>
      <c r="D726" s="1" t="s">
        <v>69</v>
      </c>
      <c r="E726" s="1" t="s">
        <v>31</v>
      </c>
      <c r="F726" s="1">
        <v>3256.95</v>
      </c>
      <c r="G726" s="1" t="s">
        <v>83</v>
      </c>
      <c r="H726" s="2">
        <v>24673</v>
      </c>
      <c r="I726" s="2">
        <v>44546</v>
      </c>
      <c r="J726" s="1">
        <v>10.63</v>
      </c>
      <c r="K726" s="1">
        <f t="shared" si="28"/>
        <v>346.21378499999997</v>
      </c>
      <c r="L726" s="1">
        <f t="shared" si="29"/>
        <v>2910.7362149999999</v>
      </c>
      <c r="U726">
        <v>3240.612936</v>
      </c>
      <c r="X726" s="1">
        <v>1994</v>
      </c>
      <c r="Y726" s="2">
        <v>44922</v>
      </c>
      <c r="Z726" s="1" t="str">
        <v>Central</v>
      </c>
      <c r="AA726" s="1" t="str">
        <v>Shoes</v>
      </c>
      <c r="AB726" s="1" t="str">
        <v>Clothing</v>
      </c>
      <c r="AC726" s="1">
        <v>3679.17</v>
      </c>
      <c r="AD726" s="1" t="str">
        <v>Erik Garcia</v>
      </c>
      <c r="AE726" s="1">
        <v>24802</v>
      </c>
      <c r="AF726" s="1">
        <v>44936</v>
      </c>
      <c r="AG726" s="1">
        <v>11.92</v>
      </c>
      <c r="AH726" s="1">
        <v>438.55706400000003</v>
      </c>
      <c r="AI726" s="1">
        <v>3240.612936</v>
      </c>
    </row>
    <row r="727" spans="1:35" x14ac:dyDescent="0.35">
      <c r="A727" s="1">
        <v>1725</v>
      </c>
      <c r="B727" s="2">
        <v>44333</v>
      </c>
      <c r="C727" s="1" t="s">
        <v>14</v>
      </c>
      <c r="D727" s="1" t="s">
        <v>47</v>
      </c>
      <c r="E727" s="1" t="s">
        <v>12</v>
      </c>
      <c r="F727" s="1">
        <v>1874.15</v>
      </c>
      <c r="G727" s="1" t="s">
        <v>157</v>
      </c>
      <c r="H727" s="2">
        <v>37189</v>
      </c>
      <c r="I727" s="2">
        <v>44339</v>
      </c>
      <c r="J727" s="1">
        <v>4.95</v>
      </c>
      <c r="K727" s="1">
        <f t="shared" si="28"/>
        <v>92.770425000000003</v>
      </c>
      <c r="L727" s="1">
        <f t="shared" si="29"/>
        <v>1781.3795750000002</v>
      </c>
      <c r="U727">
        <v>1447.7542800000001</v>
      </c>
      <c r="X727" s="1">
        <v>1995</v>
      </c>
      <c r="Y727" s="2">
        <v>44137</v>
      </c>
      <c r="Z727" s="1" t="str">
        <v>North</v>
      </c>
      <c r="AA727" s="1" t="str">
        <v>Sofa</v>
      </c>
      <c r="AB727" s="1" t="str">
        <v>Furniture</v>
      </c>
      <c r="AC727" s="1">
        <v>2082.8000000000002</v>
      </c>
      <c r="AD727" s="1" t="str">
        <v>Taylor Richardson</v>
      </c>
      <c r="AE727" s="1">
        <v>25853</v>
      </c>
      <c r="AF727" s="1">
        <v>44146</v>
      </c>
      <c r="AG727" s="1">
        <v>30.49</v>
      </c>
      <c r="AH727" s="1">
        <v>635.04572000000007</v>
      </c>
      <c r="AI727" s="1">
        <v>1447.7542800000001</v>
      </c>
    </row>
    <row r="728" spans="1:35" x14ac:dyDescent="0.35">
      <c r="A728" s="1">
        <v>1726</v>
      </c>
      <c r="B728" s="2">
        <v>45492</v>
      </c>
      <c r="C728" s="1" t="s">
        <v>10</v>
      </c>
      <c r="D728" s="1" t="s">
        <v>58</v>
      </c>
      <c r="E728" s="1" t="s">
        <v>31</v>
      </c>
      <c r="F728" s="1">
        <v>154.96</v>
      </c>
      <c r="G728" s="1" t="s">
        <v>13</v>
      </c>
      <c r="H728" s="2">
        <v>24348</v>
      </c>
      <c r="I728" s="2">
        <v>45495</v>
      </c>
      <c r="J728" s="1">
        <v>21.2</v>
      </c>
      <c r="K728" s="1">
        <f t="shared" si="28"/>
        <v>32.851520000000001</v>
      </c>
      <c r="L728" s="1">
        <f t="shared" si="29"/>
        <v>122.10848000000001</v>
      </c>
      <c r="U728">
        <v>3749.1984600000001</v>
      </c>
      <c r="X728" s="1">
        <v>1997</v>
      </c>
      <c r="Y728" s="2">
        <v>44735</v>
      </c>
      <c r="Z728" s="1" t="str">
        <v>East</v>
      </c>
      <c r="AA728" s="1" t="str">
        <v>Football</v>
      </c>
      <c r="AB728" s="1" t="str">
        <v>Sports</v>
      </c>
      <c r="AC728" s="1">
        <v>3798.58</v>
      </c>
      <c r="AD728" s="1" t="str">
        <v>Marcia Anderson</v>
      </c>
      <c r="AE728" s="1">
        <v>34537</v>
      </c>
      <c r="AF728" s="1">
        <v>44746</v>
      </c>
      <c r="AG728" s="1">
        <v>1.3</v>
      </c>
      <c r="AH728" s="1">
        <v>49.381540000000001</v>
      </c>
      <c r="AI728" s="1">
        <v>3749.1984600000001</v>
      </c>
    </row>
    <row r="729" spans="1:35" x14ac:dyDescent="0.35">
      <c r="A729" s="1">
        <v>1727</v>
      </c>
      <c r="B729" s="2">
        <v>45086</v>
      </c>
      <c r="C729" s="1" t="s">
        <v>14</v>
      </c>
      <c r="D729" s="1" t="s">
        <v>18</v>
      </c>
      <c r="E729" s="1" t="s">
        <v>19</v>
      </c>
      <c r="F729" s="1">
        <v>3947.62</v>
      </c>
      <c r="G729" s="1" t="s">
        <v>150</v>
      </c>
      <c r="H729" s="2">
        <v>31231</v>
      </c>
      <c r="I729" s="2">
        <v>45090</v>
      </c>
      <c r="J729" s="1">
        <v>19.93</v>
      </c>
      <c r="K729" s="1">
        <f t="shared" si="28"/>
        <v>786.76066600000001</v>
      </c>
      <c r="L729" s="1">
        <f t="shared" si="29"/>
        <v>3160.8593339999998</v>
      </c>
      <c r="U729">
        <v>2048.8345400000003</v>
      </c>
      <c r="X729" s="1">
        <v>1998</v>
      </c>
      <c r="Y729" s="2">
        <v>45399</v>
      </c>
      <c r="Z729" s="1" t="str">
        <v>North</v>
      </c>
      <c r="AA729" s="1" t="str">
        <v>Tablet</v>
      </c>
      <c r="AB729" s="1" t="str">
        <v>Electronics</v>
      </c>
      <c r="AC729" s="1">
        <v>2405.3000000000002</v>
      </c>
      <c r="AD729" s="1" t="str">
        <v>Mrs. Marissa Hall</v>
      </c>
      <c r="AE729" s="1">
        <v>24232</v>
      </c>
      <c r="AF729" s="1">
        <v>45405</v>
      </c>
      <c r="AG729" s="1">
        <v>14.82</v>
      </c>
      <c r="AH729" s="1">
        <v>356.46546000000001</v>
      </c>
      <c r="AI729" s="1">
        <v>2048.8345400000003</v>
      </c>
    </row>
    <row r="730" spans="1:35" x14ac:dyDescent="0.35">
      <c r="A730" s="1">
        <v>1728</v>
      </c>
      <c r="B730" s="2">
        <v>44521</v>
      </c>
      <c r="C730" s="1" t="s">
        <v>35</v>
      </c>
      <c r="D730" s="1" t="s">
        <v>18</v>
      </c>
      <c r="E730" s="1" t="s">
        <v>19</v>
      </c>
      <c r="F730" s="1">
        <v>1193.6600000000001</v>
      </c>
      <c r="G730" s="1" t="s">
        <v>60</v>
      </c>
      <c r="H730" s="2">
        <v>33482</v>
      </c>
      <c r="I730" s="2">
        <v>44530</v>
      </c>
      <c r="J730" s="1">
        <v>37.83</v>
      </c>
      <c r="K730" s="1">
        <f t="shared" si="28"/>
        <v>451.561578</v>
      </c>
      <c r="L730" s="1">
        <f t="shared" si="29"/>
        <v>742.09842200000003</v>
      </c>
    </row>
    <row r="731" spans="1:35" x14ac:dyDescent="0.35">
      <c r="A731" s="1">
        <v>1729</v>
      </c>
      <c r="B731" s="2">
        <v>45680</v>
      </c>
      <c r="C731" s="1" t="s">
        <v>21</v>
      </c>
      <c r="D731" s="1" t="s">
        <v>73</v>
      </c>
      <c r="E731" s="1" t="s">
        <v>28</v>
      </c>
      <c r="F731" s="1">
        <v>1844.63</v>
      </c>
      <c r="G731" s="1" t="s">
        <v>201</v>
      </c>
      <c r="H731" s="2">
        <v>23469</v>
      </c>
      <c r="I731" s="2">
        <v>45688</v>
      </c>
      <c r="J731" s="1">
        <v>42.25</v>
      </c>
      <c r="K731" s="1">
        <f t="shared" si="28"/>
        <v>779.35617500000001</v>
      </c>
      <c r="L731" s="1">
        <f t="shared" si="29"/>
        <v>1065.2738250000002</v>
      </c>
    </row>
    <row r="732" spans="1:35" x14ac:dyDescent="0.35">
      <c r="A732" s="1">
        <v>1730</v>
      </c>
      <c r="B732" s="2">
        <v>45873</v>
      </c>
      <c r="C732" s="1" t="s">
        <v>35</v>
      </c>
      <c r="D732" s="1" t="s">
        <v>36</v>
      </c>
      <c r="E732" s="1" t="s">
        <v>28</v>
      </c>
      <c r="F732" s="1">
        <v>4539.5600000000004</v>
      </c>
      <c r="G732" s="1" t="s">
        <v>42</v>
      </c>
      <c r="H732" s="2">
        <v>26027</v>
      </c>
      <c r="I732" s="2">
        <v>45879</v>
      </c>
      <c r="J732" s="1">
        <v>44.93</v>
      </c>
      <c r="K732" s="1">
        <f t="shared" si="28"/>
        <v>2039.6243080000002</v>
      </c>
      <c r="L732" s="1">
        <f t="shared" si="29"/>
        <v>2499.935692</v>
      </c>
    </row>
    <row r="733" spans="1:35" x14ac:dyDescent="0.35">
      <c r="A733" s="1">
        <v>1731</v>
      </c>
      <c r="B733" s="2">
        <v>45007</v>
      </c>
      <c r="C733" s="1" t="s">
        <v>14</v>
      </c>
      <c r="D733" s="1" t="s">
        <v>55</v>
      </c>
      <c r="E733" s="1" t="s">
        <v>31</v>
      </c>
      <c r="F733" s="1">
        <v>2167.87</v>
      </c>
      <c r="G733" s="1" t="s">
        <v>168</v>
      </c>
      <c r="H733" s="2">
        <v>37674</v>
      </c>
      <c r="I733" s="2">
        <v>45013</v>
      </c>
      <c r="J733" s="1">
        <v>43.08</v>
      </c>
      <c r="K733" s="1">
        <f t="shared" si="28"/>
        <v>933.91839599999992</v>
      </c>
      <c r="L733" s="1">
        <f t="shared" si="29"/>
        <v>1233.9516039999999</v>
      </c>
    </row>
    <row r="734" spans="1:35" x14ac:dyDescent="0.35">
      <c r="A734" s="1">
        <v>1732</v>
      </c>
      <c r="B734" s="2">
        <v>45568</v>
      </c>
      <c r="C734" s="1" t="s">
        <v>26</v>
      </c>
      <c r="D734" s="1" t="s">
        <v>44</v>
      </c>
      <c r="E734" s="1" t="s">
        <v>16</v>
      </c>
      <c r="F734" s="1">
        <v>4749.59</v>
      </c>
      <c r="G734" s="1" t="s">
        <v>236</v>
      </c>
      <c r="H734" s="2">
        <v>36099</v>
      </c>
      <c r="I734" s="2">
        <v>45579</v>
      </c>
      <c r="J734" s="1">
        <v>25.38</v>
      </c>
      <c r="K734" s="1">
        <f t="shared" si="28"/>
        <v>1205.4459419999998</v>
      </c>
      <c r="L734" s="1">
        <f t="shared" si="29"/>
        <v>3544.1440580000003</v>
      </c>
    </row>
    <row r="735" spans="1:35" x14ac:dyDescent="0.35">
      <c r="A735" s="1">
        <v>1733</v>
      </c>
      <c r="B735" s="2">
        <v>44153</v>
      </c>
      <c r="C735" s="1" t="s">
        <v>26</v>
      </c>
      <c r="D735" s="1" t="s">
        <v>44</v>
      </c>
      <c r="E735" s="1" t="s">
        <v>16</v>
      </c>
      <c r="F735" s="1">
        <v>2900.73</v>
      </c>
      <c r="G735" s="1" t="s">
        <v>313</v>
      </c>
      <c r="H735" s="2">
        <v>23039</v>
      </c>
      <c r="I735" s="2">
        <v>44165</v>
      </c>
      <c r="J735" s="1">
        <v>29.58</v>
      </c>
      <c r="K735" s="1">
        <f t="shared" si="28"/>
        <v>858.035934</v>
      </c>
      <c r="L735" s="1">
        <f t="shared" si="29"/>
        <v>2042.694066</v>
      </c>
    </row>
    <row r="736" spans="1:35" x14ac:dyDescent="0.35">
      <c r="A736" s="1">
        <v>1734</v>
      </c>
      <c r="B736" s="2">
        <v>45350</v>
      </c>
      <c r="C736" s="1" t="s">
        <v>14</v>
      </c>
      <c r="D736" s="1" t="s">
        <v>58</v>
      </c>
      <c r="E736" s="1" t="s">
        <v>31</v>
      </c>
      <c r="F736" s="1">
        <v>4400.9399999999996</v>
      </c>
      <c r="G736" s="1" t="s">
        <v>275</v>
      </c>
      <c r="H736" s="2">
        <v>38510</v>
      </c>
      <c r="I736" s="2">
        <v>45359</v>
      </c>
      <c r="J736" s="1">
        <v>45.6</v>
      </c>
      <c r="K736" s="1">
        <f t="shared" si="28"/>
        <v>2006.82864</v>
      </c>
      <c r="L736" s="1">
        <f t="shared" si="29"/>
        <v>2394.1113599999999</v>
      </c>
    </row>
    <row r="737" spans="1:12" x14ac:dyDescent="0.35">
      <c r="A737" s="1">
        <v>1735</v>
      </c>
      <c r="B737" s="2">
        <v>44139</v>
      </c>
      <c r="C737" s="1" t="s">
        <v>10</v>
      </c>
      <c r="D737" s="1" t="s">
        <v>15</v>
      </c>
      <c r="E737" s="1" t="s">
        <v>16</v>
      </c>
      <c r="F737" s="1">
        <v>4781.58</v>
      </c>
      <c r="G737" s="1" t="s">
        <v>138</v>
      </c>
      <c r="H737" s="2">
        <v>25948</v>
      </c>
      <c r="I737" s="2">
        <v>44145</v>
      </c>
      <c r="J737" s="1">
        <v>23.78</v>
      </c>
      <c r="K737" s="1">
        <f t="shared" si="28"/>
        <v>1137.059724</v>
      </c>
      <c r="L737" s="1">
        <f t="shared" si="29"/>
        <v>3644.5202760000002</v>
      </c>
    </row>
    <row r="738" spans="1:12" x14ac:dyDescent="0.35">
      <c r="A738" s="1">
        <v>1736</v>
      </c>
      <c r="B738" s="2">
        <v>45336</v>
      </c>
      <c r="C738" s="1" t="s">
        <v>14</v>
      </c>
      <c r="D738" s="1" t="s">
        <v>22</v>
      </c>
      <c r="E738" s="1" t="s">
        <v>19</v>
      </c>
      <c r="F738" s="1">
        <v>4708.16</v>
      </c>
      <c r="G738" s="1" t="s">
        <v>249</v>
      </c>
      <c r="H738" s="2">
        <v>28555</v>
      </c>
      <c r="I738" s="2">
        <v>45347</v>
      </c>
      <c r="J738" s="1">
        <v>20.18</v>
      </c>
      <c r="K738" s="1">
        <f t="shared" si="28"/>
        <v>950.10668799999996</v>
      </c>
      <c r="L738" s="1">
        <f t="shared" si="29"/>
        <v>3758.053312</v>
      </c>
    </row>
    <row r="739" spans="1:12" x14ac:dyDescent="0.35">
      <c r="A739" s="1">
        <v>1737</v>
      </c>
      <c r="B739" s="2">
        <v>44907</v>
      </c>
      <c r="C739" s="1" t="s">
        <v>14</v>
      </c>
      <c r="D739" s="1" t="s">
        <v>44</v>
      </c>
      <c r="E739" s="1" t="s">
        <v>16</v>
      </c>
      <c r="F739" s="1">
        <v>3127.56</v>
      </c>
      <c r="G739" s="1" t="s">
        <v>193</v>
      </c>
      <c r="H739" s="2">
        <v>26082</v>
      </c>
      <c r="I739" s="2">
        <v>44920</v>
      </c>
      <c r="J739" s="1">
        <v>11.71</v>
      </c>
      <c r="K739" s="1">
        <f t="shared" si="28"/>
        <v>366.23727600000001</v>
      </c>
      <c r="L739" s="1">
        <f t="shared" si="29"/>
        <v>2761.3227240000001</v>
      </c>
    </row>
    <row r="740" spans="1:12" x14ac:dyDescent="0.35">
      <c r="A740" s="1">
        <v>1738</v>
      </c>
      <c r="B740" s="2">
        <v>45705</v>
      </c>
      <c r="C740" s="1" t="s">
        <v>14</v>
      </c>
      <c r="D740" s="1" t="s">
        <v>24</v>
      </c>
      <c r="E740" s="1" t="s">
        <v>19</v>
      </c>
      <c r="F740" s="1">
        <v>1103.3499999999999</v>
      </c>
      <c r="G740" s="1" t="s">
        <v>105</v>
      </c>
      <c r="H740" s="2">
        <v>35889</v>
      </c>
      <c r="I740" s="2">
        <v>45716</v>
      </c>
      <c r="J740" s="1">
        <v>37.68</v>
      </c>
      <c r="K740" s="1">
        <f t="shared" si="28"/>
        <v>415.74227999999999</v>
      </c>
      <c r="L740" s="1">
        <f t="shared" si="29"/>
        <v>687.60771999999997</v>
      </c>
    </row>
    <row r="741" spans="1:12" x14ac:dyDescent="0.35">
      <c r="A741" s="1">
        <v>1739</v>
      </c>
      <c r="B741" s="2">
        <v>45610</v>
      </c>
      <c r="C741" s="1" t="s">
        <v>35</v>
      </c>
      <c r="D741" s="1" t="s">
        <v>71</v>
      </c>
      <c r="E741" s="1" t="s">
        <v>31</v>
      </c>
      <c r="F741" s="1">
        <v>4516.29</v>
      </c>
      <c r="G741" s="1" t="s">
        <v>54</v>
      </c>
      <c r="H741" s="2">
        <v>31082</v>
      </c>
      <c r="I741" s="2">
        <v>45613</v>
      </c>
      <c r="J741" s="1">
        <v>25.53</v>
      </c>
      <c r="K741" s="1">
        <f t="shared" si="28"/>
        <v>1153.0088370000001</v>
      </c>
      <c r="L741" s="1">
        <f t="shared" si="29"/>
        <v>3363.2811629999997</v>
      </c>
    </row>
    <row r="742" spans="1:12" x14ac:dyDescent="0.35">
      <c r="A742" s="1">
        <v>1740</v>
      </c>
      <c r="B742" s="2">
        <v>45856</v>
      </c>
      <c r="C742" s="1" t="s">
        <v>10</v>
      </c>
      <c r="D742" s="1" t="s">
        <v>18</v>
      </c>
      <c r="E742" s="1" t="s">
        <v>19</v>
      </c>
      <c r="F742" s="1">
        <v>2521.89</v>
      </c>
      <c r="G742" s="1" t="s">
        <v>279</v>
      </c>
      <c r="H742" s="2">
        <v>38934</v>
      </c>
      <c r="I742" s="2">
        <v>45864</v>
      </c>
      <c r="J742" s="1">
        <v>18.59</v>
      </c>
      <c r="K742" s="1">
        <f t="shared" si="28"/>
        <v>468.81935099999998</v>
      </c>
      <c r="L742" s="1">
        <f t="shared" si="29"/>
        <v>2053.0706489999998</v>
      </c>
    </row>
    <row r="743" spans="1:12" x14ac:dyDescent="0.35">
      <c r="A743" s="1">
        <v>1741</v>
      </c>
      <c r="B743" s="2">
        <v>44786</v>
      </c>
      <c r="C743" s="1" t="s">
        <v>10</v>
      </c>
      <c r="D743" s="1" t="s">
        <v>40</v>
      </c>
      <c r="E743" s="1" t="s">
        <v>16</v>
      </c>
      <c r="F743" s="1">
        <v>507.92</v>
      </c>
      <c r="G743" s="1" t="s">
        <v>173</v>
      </c>
      <c r="H743" s="2">
        <v>22016</v>
      </c>
      <c r="I743" s="2">
        <v>44790</v>
      </c>
      <c r="J743" s="1">
        <v>15.96</v>
      </c>
      <c r="K743" s="1">
        <f t="shared" si="28"/>
        <v>81.064032000000012</v>
      </c>
      <c r="L743" s="1">
        <f t="shared" si="29"/>
        <v>426.85596800000002</v>
      </c>
    </row>
    <row r="744" spans="1:12" x14ac:dyDescent="0.35">
      <c r="A744" s="1">
        <v>1742</v>
      </c>
      <c r="B744" s="2">
        <v>45859</v>
      </c>
      <c r="C744" s="1" t="s">
        <v>26</v>
      </c>
      <c r="D744" s="1" t="s">
        <v>47</v>
      </c>
      <c r="E744" s="1" t="s">
        <v>12</v>
      </c>
      <c r="F744" s="1">
        <v>3946.68</v>
      </c>
      <c r="G744" s="1" t="s">
        <v>187</v>
      </c>
      <c r="H744" s="2">
        <v>30778</v>
      </c>
      <c r="I744" s="2">
        <v>45865</v>
      </c>
      <c r="J744" s="1">
        <v>40.43</v>
      </c>
      <c r="K744" s="1">
        <f t="shared" si="28"/>
        <v>1595.6427239999998</v>
      </c>
      <c r="L744" s="1">
        <f t="shared" si="29"/>
        <v>2351.037276</v>
      </c>
    </row>
    <row r="745" spans="1:12" x14ac:dyDescent="0.35">
      <c r="A745" s="1">
        <v>1743</v>
      </c>
      <c r="B745" s="2">
        <v>44234</v>
      </c>
      <c r="C745" s="1" t="s">
        <v>26</v>
      </c>
      <c r="D745" s="1" t="s">
        <v>24</v>
      </c>
      <c r="E745" s="1" t="s">
        <v>19</v>
      </c>
      <c r="F745" s="1">
        <v>2930.76</v>
      </c>
      <c r="G745" s="1" t="s">
        <v>263</v>
      </c>
      <c r="H745" s="2">
        <v>35629</v>
      </c>
      <c r="I745" s="2">
        <v>44247</v>
      </c>
      <c r="J745" s="1">
        <v>29.79</v>
      </c>
      <c r="K745" s="1">
        <f t="shared" si="28"/>
        <v>873.0734040000001</v>
      </c>
      <c r="L745" s="1">
        <f t="shared" si="29"/>
        <v>2057.686596</v>
      </c>
    </row>
    <row r="746" spans="1:12" x14ac:dyDescent="0.35">
      <c r="A746" s="1">
        <v>1744</v>
      </c>
      <c r="B746" s="2">
        <v>45828</v>
      </c>
      <c r="C746" s="1" t="s">
        <v>14</v>
      </c>
      <c r="D746" s="1" t="s">
        <v>69</v>
      </c>
      <c r="E746" s="1" t="s">
        <v>12</v>
      </c>
      <c r="F746" s="1">
        <v>774.89</v>
      </c>
      <c r="G746" s="1" t="s">
        <v>266</v>
      </c>
      <c r="H746" s="2">
        <v>32604</v>
      </c>
      <c r="I746" s="2">
        <v>45838</v>
      </c>
      <c r="J746" s="1">
        <v>26.39</v>
      </c>
      <c r="K746" s="1">
        <f t="shared" si="28"/>
        <v>204.49347100000003</v>
      </c>
      <c r="L746" s="1">
        <f t="shared" si="29"/>
        <v>570.39652899999999</v>
      </c>
    </row>
    <row r="747" spans="1:12" x14ac:dyDescent="0.35">
      <c r="A747" s="1">
        <v>1745</v>
      </c>
      <c r="B747" s="2">
        <v>45477</v>
      </c>
      <c r="C747" s="1" t="s">
        <v>10</v>
      </c>
      <c r="D747" s="1" t="s">
        <v>61</v>
      </c>
      <c r="E747" s="1" t="s">
        <v>19</v>
      </c>
      <c r="F747" s="1">
        <v>1967.8</v>
      </c>
      <c r="G747" s="1" t="s">
        <v>314</v>
      </c>
      <c r="H747" s="2">
        <v>31569</v>
      </c>
      <c r="I747" s="2">
        <v>45486</v>
      </c>
      <c r="J747" s="1">
        <v>32.020000000000003</v>
      </c>
      <c r="K747" s="1">
        <f t="shared" si="28"/>
        <v>630.08956000000012</v>
      </c>
      <c r="L747" s="1">
        <f t="shared" si="29"/>
        <v>1337.7104399999998</v>
      </c>
    </row>
    <row r="748" spans="1:12" x14ac:dyDescent="0.35">
      <c r="A748" s="1">
        <v>1746</v>
      </c>
      <c r="B748" s="2">
        <v>45711</v>
      </c>
      <c r="C748" s="1" t="s">
        <v>21</v>
      </c>
      <c r="D748" s="1" t="s">
        <v>49</v>
      </c>
      <c r="E748" s="1" t="s">
        <v>12</v>
      </c>
      <c r="F748" s="1">
        <v>653.76</v>
      </c>
      <c r="G748" s="1" t="s">
        <v>311</v>
      </c>
      <c r="H748" s="2">
        <v>29242</v>
      </c>
      <c r="I748" s="2">
        <v>45716</v>
      </c>
      <c r="J748" s="1">
        <v>27.02</v>
      </c>
      <c r="K748" s="1">
        <f t="shared" si="28"/>
        <v>176.64595199999999</v>
      </c>
      <c r="L748" s="1">
        <f t="shared" si="29"/>
        <v>477.11404800000003</v>
      </c>
    </row>
    <row r="749" spans="1:12" x14ac:dyDescent="0.35">
      <c r="A749" s="1">
        <v>1747</v>
      </c>
      <c r="B749" s="2">
        <v>45233</v>
      </c>
      <c r="C749" s="1" t="s">
        <v>21</v>
      </c>
      <c r="D749" s="1" t="s">
        <v>22</v>
      </c>
      <c r="E749" s="1" t="s">
        <v>19</v>
      </c>
      <c r="F749" s="1">
        <v>1925.73</v>
      </c>
      <c r="G749" s="1" t="s">
        <v>179</v>
      </c>
      <c r="H749" s="2">
        <v>30356</v>
      </c>
      <c r="I749" s="2">
        <v>45239</v>
      </c>
      <c r="J749" s="1">
        <v>21.89</v>
      </c>
      <c r="K749" s="1">
        <f t="shared" si="28"/>
        <v>421.54229700000002</v>
      </c>
      <c r="L749" s="1">
        <f t="shared" si="29"/>
        <v>1504.1877030000001</v>
      </c>
    </row>
    <row r="750" spans="1:12" x14ac:dyDescent="0.35">
      <c r="A750" s="1">
        <v>1748</v>
      </c>
      <c r="B750" s="2">
        <v>45877</v>
      </c>
      <c r="C750" s="1" t="s">
        <v>26</v>
      </c>
      <c r="D750" s="1" t="s">
        <v>65</v>
      </c>
      <c r="E750" s="1" t="s">
        <v>19</v>
      </c>
      <c r="F750" s="1">
        <v>4083.89</v>
      </c>
      <c r="G750" s="1" t="s">
        <v>315</v>
      </c>
      <c r="H750" s="2">
        <v>32330</v>
      </c>
      <c r="I750" s="2">
        <v>45879</v>
      </c>
      <c r="J750" s="1">
        <v>38.56</v>
      </c>
      <c r="K750" s="1">
        <f t="shared" si="28"/>
        <v>1574.7479839999999</v>
      </c>
      <c r="L750" s="1">
        <f t="shared" si="29"/>
        <v>2509.1420159999998</v>
      </c>
    </row>
    <row r="751" spans="1:12" x14ac:dyDescent="0.35">
      <c r="A751" s="1">
        <v>1749</v>
      </c>
      <c r="B751" s="2">
        <v>45202</v>
      </c>
      <c r="C751" s="1" t="s">
        <v>26</v>
      </c>
      <c r="D751" s="1" t="s">
        <v>58</v>
      </c>
      <c r="E751" s="1" t="s">
        <v>31</v>
      </c>
      <c r="F751" s="1">
        <v>3999.39</v>
      </c>
      <c r="G751" s="1" t="s">
        <v>276</v>
      </c>
      <c r="H751" s="2">
        <v>33394</v>
      </c>
      <c r="I751" s="2">
        <v>45207</v>
      </c>
      <c r="J751" s="1">
        <v>48.78</v>
      </c>
      <c r="K751" s="1">
        <f t="shared" si="28"/>
        <v>1950.9024420000001</v>
      </c>
      <c r="L751" s="1">
        <f t="shared" si="29"/>
        <v>2048.4875579999998</v>
      </c>
    </row>
    <row r="752" spans="1:12" x14ac:dyDescent="0.35">
      <c r="A752" s="1">
        <v>1750</v>
      </c>
      <c r="B752" s="2">
        <v>44989</v>
      </c>
      <c r="C752" s="1" t="s">
        <v>21</v>
      </c>
      <c r="D752" s="1" t="s">
        <v>53</v>
      </c>
      <c r="E752" s="1" t="s">
        <v>28</v>
      </c>
      <c r="F752" s="1">
        <v>1126.92</v>
      </c>
      <c r="G752" s="1" t="s">
        <v>166</v>
      </c>
      <c r="H752" s="2">
        <v>27879</v>
      </c>
      <c r="I752" s="2">
        <v>44990</v>
      </c>
      <c r="J752" s="1">
        <v>7.35</v>
      </c>
      <c r="K752" s="1">
        <f t="shared" si="28"/>
        <v>82.828620000000001</v>
      </c>
      <c r="L752" s="1">
        <f t="shared" si="29"/>
        <v>1044.0913800000001</v>
      </c>
    </row>
    <row r="753" spans="1:12" x14ac:dyDescent="0.35">
      <c r="A753" s="1">
        <v>1751</v>
      </c>
      <c r="B753" s="2">
        <v>44450</v>
      </c>
      <c r="C753" s="1" t="s">
        <v>10</v>
      </c>
      <c r="D753" s="1" t="s">
        <v>18</v>
      </c>
      <c r="E753" s="1" t="s">
        <v>19</v>
      </c>
      <c r="F753" s="1">
        <v>2959.72</v>
      </c>
      <c r="G753" s="1" t="s">
        <v>316</v>
      </c>
      <c r="H753" s="2">
        <v>36087</v>
      </c>
      <c r="I753" s="2">
        <v>44453</v>
      </c>
      <c r="J753" s="1">
        <v>13.94</v>
      </c>
      <c r="K753" s="1">
        <f t="shared" si="28"/>
        <v>412.58496799999995</v>
      </c>
      <c r="L753" s="1">
        <f t="shared" si="29"/>
        <v>2547.1350319999997</v>
      </c>
    </row>
    <row r="754" spans="1:12" x14ac:dyDescent="0.35">
      <c r="A754" s="1">
        <v>1752</v>
      </c>
      <c r="B754" s="2">
        <v>44174</v>
      </c>
      <c r="C754" s="1" t="s">
        <v>10</v>
      </c>
      <c r="D754" s="1" t="s">
        <v>58</v>
      </c>
      <c r="E754" s="1" t="s">
        <v>31</v>
      </c>
      <c r="F754" s="1">
        <v>3761.77</v>
      </c>
      <c r="G754" s="1" t="s">
        <v>195</v>
      </c>
      <c r="H754" s="2">
        <v>28065</v>
      </c>
      <c r="I754" s="2">
        <v>44188</v>
      </c>
      <c r="J754" s="1">
        <v>24.9</v>
      </c>
      <c r="K754" s="1">
        <f t="shared" si="28"/>
        <v>936.68073000000004</v>
      </c>
      <c r="L754" s="1">
        <f t="shared" si="29"/>
        <v>2825.0892699999999</v>
      </c>
    </row>
    <row r="755" spans="1:12" x14ac:dyDescent="0.35">
      <c r="A755" s="1">
        <v>1753</v>
      </c>
      <c r="B755" s="2">
        <v>44883</v>
      </c>
      <c r="C755" s="1" t="s">
        <v>21</v>
      </c>
      <c r="D755" s="1" t="s">
        <v>69</v>
      </c>
      <c r="E755" s="1" t="s">
        <v>31</v>
      </c>
      <c r="F755" s="1">
        <v>4614.51</v>
      </c>
      <c r="G755" s="1" t="s">
        <v>171</v>
      </c>
      <c r="H755" s="2">
        <v>31261</v>
      </c>
      <c r="I755" s="2">
        <v>44896</v>
      </c>
      <c r="J755" s="1">
        <v>34.75</v>
      </c>
      <c r="K755" s="1">
        <f t="shared" si="28"/>
        <v>1603.5422249999999</v>
      </c>
      <c r="L755" s="1">
        <f t="shared" si="29"/>
        <v>3010.9677750000001</v>
      </c>
    </row>
    <row r="756" spans="1:12" x14ac:dyDescent="0.35">
      <c r="A756" s="1">
        <v>1754</v>
      </c>
      <c r="B756" s="2">
        <v>45139</v>
      </c>
      <c r="C756" s="1" t="s">
        <v>14</v>
      </c>
      <c r="D756" s="1" t="s">
        <v>40</v>
      </c>
      <c r="E756" s="1" t="s">
        <v>16</v>
      </c>
      <c r="F756" s="1">
        <v>3877.12</v>
      </c>
      <c r="G756" s="1" t="s">
        <v>317</v>
      </c>
      <c r="H756" s="2">
        <v>32196</v>
      </c>
      <c r="I756" s="2">
        <v>45145</v>
      </c>
      <c r="J756" s="1">
        <v>34.380000000000003</v>
      </c>
      <c r="K756" s="1">
        <f t="shared" si="28"/>
        <v>1332.9538560000001</v>
      </c>
      <c r="L756" s="1">
        <f t="shared" si="29"/>
        <v>2544.1661439999998</v>
      </c>
    </row>
    <row r="757" spans="1:12" x14ac:dyDescent="0.35">
      <c r="A757" s="1">
        <v>1755</v>
      </c>
      <c r="B757" s="2">
        <v>45562</v>
      </c>
      <c r="C757" s="1" t="s">
        <v>14</v>
      </c>
      <c r="D757" s="1" t="s">
        <v>69</v>
      </c>
      <c r="E757" s="1" t="s">
        <v>12</v>
      </c>
      <c r="F757" s="1">
        <v>3026.11</v>
      </c>
      <c r="G757" s="1" t="s">
        <v>318</v>
      </c>
      <c r="H757" s="2">
        <v>29040</v>
      </c>
      <c r="I757" s="2">
        <v>45567</v>
      </c>
      <c r="J757" s="1">
        <v>16.989999999999998</v>
      </c>
      <c r="K757" s="1">
        <f t="shared" si="28"/>
        <v>514.13608899999997</v>
      </c>
      <c r="L757" s="1">
        <f t="shared" si="29"/>
        <v>2511.973911</v>
      </c>
    </row>
    <row r="758" spans="1:12" x14ac:dyDescent="0.35">
      <c r="A758" s="1">
        <v>1756</v>
      </c>
      <c r="B758" s="2">
        <v>44801</v>
      </c>
      <c r="C758" s="1" t="s">
        <v>21</v>
      </c>
      <c r="D758" s="1" t="s">
        <v>53</v>
      </c>
      <c r="E758" s="1" t="s">
        <v>28</v>
      </c>
      <c r="F758" s="1">
        <v>3805.23</v>
      </c>
      <c r="G758" s="1" t="s">
        <v>319</v>
      </c>
      <c r="H758" s="2">
        <v>36068</v>
      </c>
      <c r="I758" s="2">
        <v>44803</v>
      </c>
      <c r="J758" s="1">
        <v>27.67</v>
      </c>
      <c r="K758" s="1">
        <f t="shared" si="28"/>
        <v>1052.9071409999999</v>
      </c>
      <c r="L758" s="1">
        <f t="shared" si="29"/>
        <v>2752.3228589999999</v>
      </c>
    </row>
    <row r="759" spans="1:12" x14ac:dyDescent="0.35">
      <c r="A759" s="1">
        <v>1757</v>
      </c>
      <c r="B759" s="2">
        <v>45771</v>
      </c>
      <c r="C759" s="1" t="s">
        <v>26</v>
      </c>
      <c r="D759" s="1" t="s">
        <v>47</v>
      </c>
      <c r="E759" s="1" t="s">
        <v>12</v>
      </c>
      <c r="F759" s="1">
        <v>2560.04</v>
      </c>
      <c r="G759" s="1" t="s">
        <v>182</v>
      </c>
      <c r="H759" s="2">
        <v>24719</v>
      </c>
      <c r="I759" s="2">
        <v>45784</v>
      </c>
      <c r="J759" s="1">
        <v>41.04</v>
      </c>
      <c r="K759" s="1">
        <f t="shared" si="28"/>
        <v>1050.640416</v>
      </c>
      <c r="L759" s="1">
        <f t="shared" si="29"/>
        <v>1509.399584</v>
      </c>
    </row>
    <row r="760" spans="1:12" x14ac:dyDescent="0.35">
      <c r="A760" s="1">
        <v>1758</v>
      </c>
      <c r="B760" s="2">
        <v>44125</v>
      </c>
      <c r="C760" s="1" t="s">
        <v>14</v>
      </c>
      <c r="D760" s="1" t="s">
        <v>55</v>
      </c>
      <c r="E760" s="1" t="s">
        <v>31</v>
      </c>
      <c r="F760" s="1">
        <v>4390.6899999999996</v>
      </c>
      <c r="G760" s="1" t="s">
        <v>197</v>
      </c>
      <c r="H760" s="2">
        <v>26001</v>
      </c>
      <c r="I760" s="2">
        <v>44131</v>
      </c>
      <c r="J760" s="1">
        <v>2.13</v>
      </c>
      <c r="K760" s="1">
        <f t="shared" si="28"/>
        <v>93.521696999999989</v>
      </c>
      <c r="L760" s="1">
        <f t="shared" si="29"/>
        <v>4297.1683029999995</v>
      </c>
    </row>
    <row r="761" spans="1:12" x14ac:dyDescent="0.35">
      <c r="A761" s="1">
        <v>1759</v>
      </c>
      <c r="B761" s="2">
        <v>44527</v>
      </c>
      <c r="C761" s="1" t="s">
        <v>21</v>
      </c>
      <c r="D761" s="1" t="s">
        <v>49</v>
      </c>
      <c r="E761" s="1" t="s">
        <v>12</v>
      </c>
      <c r="F761" s="1">
        <v>2663.45</v>
      </c>
      <c r="G761" s="1" t="s">
        <v>29</v>
      </c>
      <c r="H761" s="2">
        <v>24033</v>
      </c>
      <c r="I761" s="2">
        <v>44539</v>
      </c>
      <c r="J761" s="1">
        <v>22.44</v>
      </c>
      <c r="K761" s="1">
        <f t="shared" si="28"/>
        <v>597.67818</v>
      </c>
      <c r="L761" s="1">
        <f t="shared" si="29"/>
        <v>2065.7718199999999</v>
      </c>
    </row>
    <row r="762" spans="1:12" x14ac:dyDescent="0.35">
      <c r="A762" s="1">
        <v>1760</v>
      </c>
      <c r="B762" s="2">
        <v>45011</v>
      </c>
      <c r="C762" s="1" t="s">
        <v>10</v>
      </c>
      <c r="D762" s="1" t="s">
        <v>47</v>
      </c>
      <c r="E762" s="1" t="s">
        <v>12</v>
      </c>
      <c r="F762" s="1">
        <v>4430.37</v>
      </c>
      <c r="G762" s="1" t="s">
        <v>42</v>
      </c>
      <c r="H762" s="2">
        <v>26027</v>
      </c>
      <c r="I762" s="2">
        <v>45025</v>
      </c>
      <c r="J762" s="1">
        <v>32.93</v>
      </c>
      <c r="K762" s="1">
        <f t="shared" si="28"/>
        <v>1458.9208409999999</v>
      </c>
      <c r="L762" s="1">
        <f t="shared" si="29"/>
        <v>2971.4491589999998</v>
      </c>
    </row>
    <row r="763" spans="1:12" x14ac:dyDescent="0.35">
      <c r="A763" s="1">
        <v>1761</v>
      </c>
      <c r="B763" s="2">
        <v>44245</v>
      </c>
      <c r="C763" s="1" t="s">
        <v>21</v>
      </c>
      <c r="D763" s="1" t="s">
        <v>15</v>
      </c>
      <c r="E763" s="1" t="s">
        <v>16</v>
      </c>
      <c r="F763" s="1">
        <v>2568.0700000000002</v>
      </c>
      <c r="G763" s="1" t="s">
        <v>262</v>
      </c>
      <c r="H763" s="2">
        <v>36590</v>
      </c>
      <c r="I763" s="2">
        <v>44254</v>
      </c>
      <c r="J763" s="1">
        <v>20.55</v>
      </c>
      <c r="K763" s="1">
        <f t="shared" si="28"/>
        <v>527.73838500000011</v>
      </c>
      <c r="L763" s="1">
        <f t="shared" si="29"/>
        <v>2040.3316150000001</v>
      </c>
    </row>
    <row r="764" spans="1:12" x14ac:dyDescent="0.35">
      <c r="A764" s="1">
        <v>1762</v>
      </c>
      <c r="B764" s="2">
        <v>44655</v>
      </c>
      <c r="C764" s="1" t="s">
        <v>14</v>
      </c>
      <c r="D764" s="1" t="s">
        <v>44</v>
      </c>
      <c r="E764" s="1" t="s">
        <v>16</v>
      </c>
      <c r="F764" s="1">
        <v>429.92</v>
      </c>
      <c r="G764" s="1" t="s">
        <v>264</v>
      </c>
      <c r="H764" s="2">
        <v>30232</v>
      </c>
      <c r="I764" s="2">
        <v>44668</v>
      </c>
      <c r="J764" s="1">
        <v>5.82</v>
      </c>
      <c r="K764" s="1">
        <f t="shared" si="28"/>
        <v>25.021344000000003</v>
      </c>
      <c r="L764" s="1">
        <f t="shared" si="29"/>
        <v>404.89865600000002</v>
      </c>
    </row>
    <row r="765" spans="1:12" x14ac:dyDescent="0.35">
      <c r="A765" s="1">
        <v>1763</v>
      </c>
      <c r="B765" s="2">
        <v>44063</v>
      </c>
      <c r="C765" s="1" t="s">
        <v>10</v>
      </c>
      <c r="D765" s="1" t="s">
        <v>71</v>
      </c>
      <c r="E765" s="1" t="s">
        <v>31</v>
      </c>
      <c r="F765" s="1">
        <v>965.67</v>
      </c>
      <c r="G765" s="1" t="s">
        <v>230</v>
      </c>
      <c r="H765" s="2">
        <v>35642</v>
      </c>
      <c r="I765" s="2">
        <v>44071</v>
      </c>
      <c r="J765" s="1">
        <v>13.52</v>
      </c>
      <c r="K765" s="1">
        <f t="shared" si="28"/>
        <v>130.55858399999997</v>
      </c>
      <c r="L765" s="1">
        <f t="shared" si="29"/>
        <v>835.11141599999996</v>
      </c>
    </row>
    <row r="766" spans="1:12" x14ac:dyDescent="0.35">
      <c r="A766" s="1">
        <v>1764</v>
      </c>
      <c r="B766" s="2">
        <v>44839</v>
      </c>
      <c r="C766" s="1" t="s">
        <v>14</v>
      </c>
      <c r="D766" s="1" t="s">
        <v>33</v>
      </c>
      <c r="E766" s="1" t="s">
        <v>16</v>
      </c>
      <c r="F766" s="1">
        <v>1984.75</v>
      </c>
      <c r="G766" s="1" t="s">
        <v>170</v>
      </c>
      <c r="H766" s="2">
        <v>34205</v>
      </c>
      <c r="I766" s="2">
        <v>44852</v>
      </c>
      <c r="J766" s="1">
        <v>25.56</v>
      </c>
      <c r="K766" s="1">
        <f t="shared" si="28"/>
        <v>507.3021</v>
      </c>
      <c r="L766" s="1">
        <f t="shared" si="29"/>
        <v>1477.4479000000001</v>
      </c>
    </row>
    <row r="767" spans="1:12" x14ac:dyDescent="0.35">
      <c r="A767" s="1">
        <v>1765</v>
      </c>
      <c r="B767" s="2">
        <v>45761</v>
      </c>
      <c r="C767" s="1" t="s">
        <v>21</v>
      </c>
      <c r="D767" s="1" t="s">
        <v>102</v>
      </c>
      <c r="E767" s="1" t="s">
        <v>12</v>
      </c>
      <c r="F767" s="1">
        <v>371.15</v>
      </c>
      <c r="G767" s="1" t="s">
        <v>218</v>
      </c>
      <c r="H767" s="2">
        <v>29792</v>
      </c>
      <c r="I767" s="2">
        <v>45764</v>
      </c>
      <c r="J767" s="1">
        <v>13.58</v>
      </c>
      <c r="K767" s="1">
        <f t="shared" si="28"/>
        <v>50.402169999999998</v>
      </c>
      <c r="L767" s="1">
        <f t="shared" si="29"/>
        <v>320.74782999999996</v>
      </c>
    </row>
    <row r="768" spans="1:12" x14ac:dyDescent="0.35">
      <c r="A768" s="1">
        <v>1766</v>
      </c>
      <c r="B768" s="2">
        <v>45791</v>
      </c>
      <c r="C768" s="1" t="s">
        <v>21</v>
      </c>
      <c r="D768" s="1" t="s">
        <v>69</v>
      </c>
      <c r="E768" s="1" t="s">
        <v>12</v>
      </c>
      <c r="F768" s="1">
        <v>2705.32</v>
      </c>
      <c r="G768" s="1" t="s">
        <v>290</v>
      </c>
      <c r="H768" s="2">
        <v>31764</v>
      </c>
      <c r="I768" s="2">
        <v>45794</v>
      </c>
      <c r="J768" s="1">
        <v>33.67</v>
      </c>
      <c r="K768" s="1">
        <f t="shared" si="28"/>
        <v>910.88124400000004</v>
      </c>
      <c r="L768" s="1">
        <f t="shared" si="29"/>
        <v>1794.438756</v>
      </c>
    </row>
    <row r="769" spans="1:12" x14ac:dyDescent="0.35">
      <c r="A769" s="1">
        <v>1767</v>
      </c>
      <c r="B769" s="2">
        <v>44746</v>
      </c>
      <c r="C769" s="1" t="s">
        <v>26</v>
      </c>
      <c r="D769" s="1" t="s">
        <v>18</v>
      </c>
      <c r="E769" s="1" t="s">
        <v>19</v>
      </c>
      <c r="F769" s="1">
        <v>843.92</v>
      </c>
      <c r="G769" s="1" t="s">
        <v>76</v>
      </c>
      <c r="H769" s="2">
        <v>37049</v>
      </c>
      <c r="I769" s="2">
        <v>44753</v>
      </c>
      <c r="J769" s="1">
        <v>45.25</v>
      </c>
      <c r="K769" s="1">
        <f t="shared" si="28"/>
        <v>381.87380000000002</v>
      </c>
      <c r="L769" s="1">
        <f t="shared" si="29"/>
        <v>462.04619999999994</v>
      </c>
    </row>
    <row r="770" spans="1:12" x14ac:dyDescent="0.35">
      <c r="A770" s="1">
        <v>1768</v>
      </c>
      <c r="B770" s="2">
        <v>45739</v>
      </c>
      <c r="C770" s="1" t="s">
        <v>26</v>
      </c>
      <c r="D770" s="1" t="s">
        <v>22</v>
      </c>
      <c r="E770" s="1" t="s">
        <v>19</v>
      </c>
      <c r="F770" s="1">
        <v>551.48</v>
      </c>
      <c r="G770" s="1" t="s">
        <v>168</v>
      </c>
      <c r="H770" s="2">
        <v>37674</v>
      </c>
      <c r="I770" s="2">
        <v>45748</v>
      </c>
      <c r="J770" s="1">
        <v>27.97</v>
      </c>
      <c r="K770" s="1">
        <f t="shared" si="28"/>
        <v>154.24895600000002</v>
      </c>
      <c r="L770" s="1">
        <f t="shared" si="29"/>
        <v>397.231044</v>
      </c>
    </row>
    <row r="771" spans="1:12" x14ac:dyDescent="0.35">
      <c r="A771" s="1">
        <v>1769</v>
      </c>
      <c r="B771" s="2">
        <v>45072</v>
      </c>
      <c r="C771" s="1" t="s">
        <v>14</v>
      </c>
      <c r="D771" s="1" t="s">
        <v>36</v>
      </c>
      <c r="E771" s="1" t="s">
        <v>28</v>
      </c>
      <c r="F771" s="1">
        <v>2238.04</v>
      </c>
      <c r="G771" s="1" t="s">
        <v>230</v>
      </c>
      <c r="H771" s="2">
        <v>35642</v>
      </c>
      <c r="I771" s="2">
        <v>45086</v>
      </c>
      <c r="J771" s="1">
        <v>11.51</v>
      </c>
      <c r="K771" s="1">
        <f t="shared" ref="K771:K834" si="30">F771*J771%</f>
        <v>257.59840399999996</v>
      </c>
      <c r="L771" s="1">
        <f t="shared" ref="L771:L834" si="31">F771-K771</f>
        <v>1980.4415960000001</v>
      </c>
    </row>
    <row r="772" spans="1:12" x14ac:dyDescent="0.35">
      <c r="A772" s="1">
        <v>1770</v>
      </c>
      <c r="B772" s="2">
        <v>45391</v>
      </c>
      <c r="C772" s="1" t="s">
        <v>21</v>
      </c>
      <c r="D772" s="1" t="s">
        <v>11</v>
      </c>
      <c r="E772" s="1" t="s">
        <v>12</v>
      </c>
      <c r="F772" s="1">
        <v>2417.52</v>
      </c>
      <c r="G772" s="1" t="s">
        <v>37</v>
      </c>
      <c r="H772" s="2">
        <v>27534</v>
      </c>
      <c r="I772" s="2">
        <v>45393</v>
      </c>
      <c r="J772" s="1">
        <v>25.77</v>
      </c>
      <c r="K772" s="1">
        <f t="shared" si="30"/>
        <v>622.99490399999991</v>
      </c>
      <c r="L772" s="1">
        <f t="shared" si="31"/>
        <v>1794.5250960000001</v>
      </c>
    </row>
    <row r="773" spans="1:12" x14ac:dyDescent="0.35">
      <c r="A773" s="1">
        <v>1771</v>
      </c>
      <c r="B773" s="2">
        <v>45843</v>
      </c>
      <c r="C773" s="1" t="s">
        <v>21</v>
      </c>
      <c r="D773" s="1" t="s">
        <v>49</v>
      </c>
      <c r="E773" s="1" t="s">
        <v>12</v>
      </c>
      <c r="F773" s="1">
        <v>960.47</v>
      </c>
      <c r="G773" s="1" t="s">
        <v>241</v>
      </c>
      <c r="H773" s="2">
        <v>31880</v>
      </c>
      <c r="I773" s="2">
        <v>45847</v>
      </c>
      <c r="J773" s="1">
        <v>2.1800000000000002</v>
      </c>
      <c r="K773" s="1">
        <f t="shared" si="30"/>
        <v>20.938245999999999</v>
      </c>
      <c r="L773" s="1">
        <f t="shared" si="31"/>
        <v>939.53175399999998</v>
      </c>
    </row>
    <row r="774" spans="1:12" x14ac:dyDescent="0.35">
      <c r="A774" s="1">
        <v>1772</v>
      </c>
      <c r="B774" s="2">
        <v>44233</v>
      </c>
      <c r="C774" s="1" t="s">
        <v>14</v>
      </c>
      <c r="D774" s="1" t="s">
        <v>15</v>
      </c>
      <c r="E774" s="1" t="s">
        <v>16</v>
      </c>
      <c r="F774" s="1">
        <v>390.05</v>
      </c>
      <c r="G774" s="1" t="s">
        <v>79</v>
      </c>
      <c r="H774" s="2">
        <v>28675</v>
      </c>
      <c r="I774" s="2">
        <v>44235</v>
      </c>
      <c r="J774" s="1">
        <v>34.19</v>
      </c>
      <c r="K774" s="1">
        <f t="shared" si="30"/>
        <v>133.35809499999999</v>
      </c>
      <c r="L774" s="1">
        <f t="shared" si="31"/>
        <v>256.69190500000002</v>
      </c>
    </row>
    <row r="775" spans="1:12" x14ac:dyDescent="0.35">
      <c r="A775" s="1">
        <v>1773</v>
      </c>
      <c r="B775" s="2">
        <v>45104</v>
      </c>
      <c r="C775" s="1" t="s">
        <v>35</v>
      </c>
      <c r="D775" s="1" t="s">
        <v>27</v>
      </c>
      <c r="E775" s="1" t="s">
        <v>28</v>
      </c>
      <c r="F775" s="1">
        <v>3826.79</v>
      </c>
      <c r="G775" s="1" t="s">
        <v>309</v>
      </c>
      <c r="H775" s="2">
        <v>23838</v>
      </c>
      <c r="I775" s="2">
        <v>45113</v>
      </c>
      <c r="J775" s="1">
        <v>29.62</v>
      </c>
      <c r="K775" s="1">
        <f t="shared" si="30"/>
        <v>1133.4951980000001</v>
      </c>
      <c r="L775" s="1">
        <f t="shared" si="31"/>
        <v>2693.2948019999999</v>
      </c>
    </row>
    <row r="776" spans="1:12" x14ac:dyDescent="0.35">
      <c r="A776" s="1">
        <v>1774</v>
      </c>
      <c r="B776" s="2">
        <v>45090</v>
      </c>
      <c r="C776" s="1" t="s">
        <v>10</v>
      </c>
      <c r="D776" s="1" t="s">
        <v>40</v>
      </c>
      <c r="E776" s="1" t="s">
        <v>16</v>
      </c>
      <c r="F776" s="1">
        <v>3560.29</v>
      </c>
      <c r="G776" s="1" t="s">
        <v>109</v>
      </c>
      <c r="H776" s="2">
        <v>26011</v>
      </c>
      <c r="I776" s="2">
        <v>45094</v>
      </c>
      <c r="J776" s="1">
        <v>9.93</v>
      </c>
      <c r="K776" s="1">
        <f t="shared" si="30"/>
        <v>353.53679699999998</v>
      </c>
      <c r="L776" s="1">
        <f t="shared" si="31"/>
        <v>3206.7532030000002</v>
      </c>
    </row>
    <row r="777" spans="1:12" x14ac:dyDescent="0.35">
      <c r="A777" s="1">
        <v>1775</v>
      </c>
      <c r="B777" s="2">
        <v>45359</v>
      </c>
      <c r="C777" s="1" t="s">
        <v>26</v>
      </c>
      <c r="D777" s="1" t="s">
        <v>61</v>
      </c>
      <c r="E777" s="1" t="s">
        <v>19</v>
      </c>
      <c r="F777" s="1">
        <v>4924.91</v>
      </c>
      <c r="G777" s="1" t="s">
        <v>90</v>
      </c>
      <c r="H777" s="2">
        <v>29348</v>
      </c>
      <c r="I777" s="2">
        <v>45362</v>
      </c>
      <c r="J777" s="1">
        <v>9.5399999999999991</v>
      </c>
      <c r="K777" s="1">
        <f t="shared" si="30"/>
        <v>469.83641399999993</v>
      </c>
      <c r="L777" s="1">
        <f t="shared" si="31"/>
        <v>4455.0735859999995</v>
      </c>
    </row>
    <row r="778" spans="1:12" x14ac:dyDescent="0.35">
      <c r="A778" s="1">
        <v>1776</v>
      </c>
      <c r="B778" s="2">
        <v>45169</v>
      </c>
      <c r="C778" s="1" t="s">
        <v>35</v>
      </c>
      <c r="D778" s="1" t="s">
        <v>65</v>
      </c>
      <c r="E778" s="1" t="s">
        <v>19</v>
      </c>
      <c r="F778" s="1">
        <v>1299.29</v>
      </c>
      <c r="G778" s="1" t="s">
        <v>104</v>
      </c>
      <c r="H778" s="2">
        <v>24852</v>
      </c>
      <c r="I778" s="2">
        <v>45176</v>
      </c>
      <c r="J778" s="1">
        <v>6.68</v>
      </c>
      <c r="K778" s="1">
        <f t="shared" si="30"/>
        <v>86.792571999999993</v>
      </c>
      <c r="L778" s="1">
        <f t="shared" si="31"/>
        <v>1212.4974279999999</v>
      </c>
    </row>
    <row r="779" spans="1:12" x14ac:dyDescent="0.35">
      <c r="A779" s="1">
        <v>1777</v>
      </c>
      <c r="B779" s="2">
        <v>44671</v>
      </c>
      <c r="C779" s="1" t="s">
        <v>35</v>
      </c>
      <c r="D779" s="1" t="s">
        <v>22</v>
      </c>
      <c r="E779" s="1" t="s">
        <v>19</v>
      </c>
      <c r="F779" s="1">
        <v>1760.76</v>
      </c>
      <c r="G779" s="1" t="s">
        <v>308</v>
      </c>
      <c r="H779" s="2">
        <v>35336</v>
      </c>
      <c r="I779" s="2">
        <v>44681</v>
      </c>
      <c r="J779" s="1">
        <v>39.549999999999997</v>
      </c>
      <c r="K779" s="1">
        <f t="shared" si="30"/>
        <v>696.3805799999999</v>
      </c>
      <c r="L779" s="1">
        <f t="shared" si="31"/>
        <v>1064.3794200000002</v>
      </c>
    </row>
    <row r="780" spans="1:12" x14ac:dyDescent="0.35">
      <c r="A780" s="1">
        <v>1778</v>
      </c>
      <c r="B780" s="2">
        <v>44901</v>
      </c>
      <c r="C780" s="1" t="s">
        <v>14</v>
      </c>
      <c r="D780" s="1" t="s">
        <v>44</v>
      </c>
      <c r="E780" s="1" t="s">
        <v>16</v>
      </c>
      <c r="F780" s="1">
        <v>2990.03</v>
      </c>
      <c r="G780" s="1" t="s">
        <v>93</v>
      </c>
      <c r="H780" s="2">
        <v>33984</v>
      </c>
      <c r="I780" s="2">
        <v>44904</v>
      </c>
      <c r="J780" s="1">
        <v>29.8</v>
      </c>
      <c r="K780" s="1">
        <f t="shared" si="30"/>
        <v>891.02894000000003</v>
      </c>
      <c r="L780" s="1">
        <f t="shared" si="31"/>
        <v>2099.0010600000001</v>
      </c>
    </row>
    <row r="781" spans="1:12" x14ac:dyDescent="0.35">
      <c r="A781" s="1">
        <v>1779</v>
      </c>
      <c r="B781" s="2">
        <v>44284</v>
      </c>
      <c r="C781" s="1" t="s">
        <v>14</v>
      </c>
      <c r="D781" s="1" t="s">
        <v>47</v>
      </c>
      <c r="E781" s="1" t="s">
        <v>12</v>
      </c>
      <c r="F781" s="1">
        <v>1216.47</v>
      </c>
      <c r="G781" s="1" t="s">
        <v>117</v>
      </c>
      <c r="H781" s="2">
        <v>23513</v>
      </c>
      <c r="I781" s="2">
        <v>44286</v>
      </c>
      <c r="J781" s="1">
        <v>29.78</v>
      </c>
      <c r="K781" s="1">
        <f t="shared" si="30"/>
        <v>362.26476600000001</v>
      </c>
      <c r="L781" s="1">
        <f t="shared" si="31"/>
        <v>854.20523400000002</v>
      </c>
    </row>
    <row r="782" spans="1:12" x14ac:dyDescent="0.35">
      <c r="A782" s="1">
        <v>1780</v>
      </c>
      <c r="B782" s="2">
        <v>45320</v>
      </c>
      <c r="C782" s="1" t="s">
        <v>26</v>
      </c>
      <c r="D782" s="1" t="s">
        <v>61</v>
      </c>
      <c r="E782" s="1" t="s">
        <v>19</v>
      </c>
      <c r="F782" s="1">
        <v>2788.33</v>
      </c>
      <c r="G782" s="1" t="s">
        <v>207</v>
      </c>
      <c r="H782" s="2">
        <v>23988</v>
      </c>
      <c r="I782" s="2">
        <v>45329</v>
      </c>
      <c r="J782" s="1">
        <v>28.84</v>
      </c>
      <c r="K782" s="1">
        <f t="shared" si="30"/>
        <v>804.15437199999997</v>
      </c>
      <c r="L782" s="1">
        <f t="shared" si="31"/>
        <v>1984.175628</v>
      </c>
    </row>
    <row r="783" spans="1:12" x14ac:dyDescent="0.35">
      <c r="A783" s="1">
        <v>1781</v>
      </c>
      <c r="B783" s="2">
        <v>44278</v>
      </c>
      <c r="C783" s="1" t="s">
        <v>14</v>
      </c>
      <c r="D783" s="1" t="s">
        <v>33</v>
      </c>
      <c r="E783" s="1" t="s">
        <v>16</v>
      </c>
      <c r="F783" s="1">
        <v>3877.12</v>
      </c>
      <c r="G783" s="1" t="s">
        <v>185</v>
      </c>
      <c r="H783" s="2">
        <v>36384</v>
      </c>
      <c r="I783" s="2">
        <v>44282</v>
      </c>
      <c r="J783" s="1">
        <v>2.7</v>
      </c>
      <c r="K783" s="1">
        <f t="shared" si="30"/>
        <v>104.68224000000001</v>
      </c>
      <c r="L783" s="1">
        <f t="shared" si="31"/>
        <v>3772.4377599999998</v>
      </c>
    </row>
    <row r="784" spans="1:12" x14ac:dyDescent="0.35">
      <c r="A784" s="1">
        <v>1782</v>
      </c>
      <c r="B784" s="2">
        <v>44700</v>
      </c>
      <c r="C784" s="1" t="s">
        <v>35</v>
      </c>
      <c r="D784" s="1" t="s">
        <v>36</v>
      </c>
      <c r="E784" s="1" t="s">
        <v>28</v>
      </c>
      <c r="F784" s="1">
        <v>1889.33</v>
      </c>
      <c r="G784" s="1" t="s">
        <v>86</v>
      </c>
      <c r="H784" s="2">
        <v>37858</v>
      </c>
      <c r="I784" s="2">
        <v>44707</v>
      </c>
      <c r="J784" s="1">
        <v>49.28</v>
      </c>
      <c r="K784" s="1">
        <f t="shared" si="30"/>
        <v>931.061824</v>
      </c>
      <c r="L784" s="1">
        <f t="shared" si="31"/>
        <v>958.26817599999993</v>
      </c>
    </row>
    <row r="785" spans="1:12" x14ac:dyDescent="0.35">
      <c r="A785" s="1">
        <v>1783</v>
      </c>
      <c r="B785" s="2">
        <v>44504</v>
      </c>
      <c r="C785" s="1" t="s">
        <v>21</v>
      </c>
      <c r="D785" s="1" t="s">
        <v>33</v>
      </c>
      <c r="E785" s="1" t="s">
        <v>16</v>
      </c>
      <c r="F785" s="1">
        <v>2085.2600000000002</v>
      </c>
      <c r="G785" s="1" t="s">
        <v>114</v>
      </c>
      <c r="H785" s="2">
        <v>28543</v>
      </c>
      <c r="I785" s="2">
        <v>44508</v>
      </c>
      <c r="J785" s="1">
        <v>30.59</v>
      </c>
      <c r="K785" s="1">
        <f t="shared" si="30"/>
        <v>637.88103400000011</v>
      </c>
      <c r="L785" s="1">
        <f t="shared" si="31"/>
        <v>1447.3789660000002</v>
      </c>
    </row>
    <row r="786" spans="1:12" x14ac:dyDescent="0.35">
      <c r="A786" s="1">
        <v>1784</v>
      </c>
      <c r="B786" s="2">
        <v>45793</v>
      </c>
      <c r="C786" s="1" t="s">
        <v>14</v>
      </c>
      <c r="D786" s="1" t="s">
        <v>33</v>
      </c>
      <c r="E786" s="1" t="s">
        <v>16</v>
      </c>
      <c r="F786" s="1">
        <v>2041.7</v>
      </c>
      <c r="G786" s="1" t="s">
        <v>221</v>
      </c>
      <c r="H786" s="2">
        <v>35658</v>
      </c>
      <c r="I786" s="2">
        <v>45802</v>
      </c>
      <c r="J786" s="1">
        <v>47.56</v>
      </c>
      <c r="K786" s="1">
        <f t="shared" si="30"/>
        <v>971.03252000000009</v>
      </c>
      <c r="L786" s="1">
        <f t="shared" si="31"/>
        <v>1070.6674800000001</v>
      </c>
    </row>
    <row r="787" spans="1:12" x14ac:dyDescent="0.35">
      <c r="A787" s="1">
        <v>1785</v>
      </c>
      <c r="B787" s="2">
        <v>44064</v>
      </c>
      <c r="C787" s="1" t="s">
        <v>21</v>
      </c>
      <c r="D787" s="1" t="s">
        <v>36</v>
      </c>
      <c r="E787" s="1" t="s">
        <v>28</v>
      </c>
      <c r="F787" s="1">
        <v>2279.2800000000002</v>
      </c>
      <c r="G787" s="1" t="s">
        <v>13</v>
      </c>
      <c r="H787" s="2">
        <v>24348</v>
      </c>
      <c r="I787" s="2">
        <v>44075</v>
      </c>
      <c r="J787" s="1">
        <v>41.99</v>
      </c>
      <c r="K787" s="1">
        <f t="shared" si="30"/>
        <v>957.06967200000008</v>
      </c>
      <c r="L787" s="1">
        <f t="shared" si="31"/>
        <v>1322.2103280000001</v>
      </c>
    </row>
    <row r="788" spans="1:12" x14ac:dyDescent="0.35">
      <c r="A788" s="1">
        <v>1786</v>
      </c>
      <c r="B788" s="2">
        <v>44748</v>
      </c>
      <c r="C788" s="1" t="s">
        <v>26</v>
      </c>
      <c r="D788" s="1" t="s">
        <v>40</v>
      </c>
      <c r="E788" s="1" t="s">
        <v>16</v>
      </c>
      <c r="F788" s="1">
        <v>3051.55</v>
      </c>
      <c r="G788" s="1" t="s">
        <v>313</v>
      </c>
      <c r="H788" s="2">
        <v>23039</v>
      </c>
      <c r="I788" s="2">
        <v>44761</v>
      </c>
      <c r="J788" s="1">
        <v>47.53</v>
      </c>
      <c r="K788" s="1">
        <f t="shared" si="30"/>
        <v>1450.4017150000002</v>
      </c>
      <c r="L788" s="1">
        <f t="shared" si="31"/>
        <v>1601.148285</v>
      </c>
    </row>
    <row r="789" spans="1:12" x14ac:dyDescent="0.35">
      <c r="A789" s="1">
        <v>1787</v>
      </c>
      <c r="B789" s="2">
        <v>44505</v>
      </c>
      <c r="C789" s="1" t="s">
        <v>14</v>
      </c>
      <c r="D789" s="1" t="s">
        <v>11</v>
      </c>
      <c r="E789" s="1" t="s">
        <v>12</v>
      </c>
      <c r="F789" s="1">
        <v>1103.06</v>
      </c>
      <c r="G789" s="1" t="s">
        <v>68</v>
      </c>
      <c r="H789" s="2">
        <v>22079</v>
      </c>
      <c r="I789" s="2">
        <v>44516</v>
      </c>
      <c r="J789" s="1">
        <v>22.74</v>
      </c>
      <c r="K789" s="1">
        <f t="shared" si="30"/>
        <v>250.83584399999998</v>
      </c>
      <c r="L789" s="1">
        <f t="shared" si="31"/>
        <v>852.22415599999999</v>
      </c>
    </row>
    <row r="790" spans="1:12" x14ac:dyDescent="0.35">
      <c r="A790" s="1">
        <v>1788</v>
      </c>
      <c r="B790" s="2">
        <v>44890</v>
      </c>
      <c r="C790" s="1" t="s">
        <v>10</v>
      </c>
      <c r="D790" s="1" t="s">
        <v>36</v>
      </c>
      <c r="E790" s="1" t="s">
        <v>28</v>
      </c>
      <c r="F790" s="1">
        <v>3882.31</v>
      </c>
      <c r="G790" s="1" t="s">
        <v>149</v>
      </c>
      <c r="H790" s="2">
        <v>26155</v>
      </c>
      <c r="I790" s="2">
        <v>44891</v>
      </c>
      <c r="J790" s="1">
        <v>17.09</v>
      </c>
      <c r="K790" s="1">
        <f t="shared" si="30"/>
        <v>663.48677899999996</v>
      </c>
      <c r="L790" s="1">
        <f t="shared" si="31"/>
        <v>3218.8232210000001</v>
      </c>
    </row>
    <row r="791" spans="1:12" x14ac:dyDescent="0.35">
      <c r="A791" s="1">
        <v>1789</v>
      </c>
      <c r="B791" s="2">
        <v>44335</v>
      </c>
      <c r="C791" s="1" t="s">
        <v>35</v>
      </c>
      <c r="D791" s="1" t="s">
        <v>36</v>
      </c>
      <c r="E791" s="1" t="s">
        <v>28</v>
      </c>
      <c r="F791" s="1">
        <v>3352.72</v>
      </c>
      <c r="G791" s="1" t="s">
        <v>320</v>
      </c>
      <c r="H791" s="2">
        <v>26300</v>
      </c>
      <c r="I791" s="2">
        <v>44340</v>
      </c>
      <c r="J791" s="1">
        <v>45.35</v>
      </c>
      <c r="K791" s="1">
        <f t="shared" si="30"/>
        <v>1520.4585199999999</v>
      </c>
      <c r="L791" s="1">
        <f t="shared" si="31"/>
        <v>1832.2614799999999</v>
      </c>
    </row>
    <row r="792" spans="1:12" x14ac:dyDescent="0.35">
      <c r="A792" s="1">
        <v>1790</v>
      </c>
      <c r="B792" s="2">
        <v>44244</v>
      </c>
      <c r="C792" s="1" t="s">
        <v>21</v>
      </c>
      <c r="D792" s="1" t="s">
        <v>33</v>
      </c>
      <c r="E792" s="1" t="s">
        <v>16</v>
      </c>
      <c r="F792" s="1">
        <v>4373.0600000000004</v>
      </c>
      <c r="G792" s="1" t="s">
        <v>151</v>
      </c>
      <c r="H792" s="2">
        <v>34427</v>
      </c>
      <c r="I792" s="2">
        <v>44251</v>
      </c>
      <c r="J792" s="1">
        <v>23.79</v>
      </c>
      <c r="K792" s="1">
        <f t="shared" si="30"/>
        <v>1040.3509740000002</v>
      </c>
      <c r="L792" s="1">
        <f t="shared" si="31"/>
        <v>3332.7090260000004</v>
      </c>
    </row>
    <row r="793" spans="1:12" x14ac:dyDescent="0.35">
      <c r="A793" s="1">
        <v>1791</v>
      </c>
      <c r="B793" s="2">
        <v>45323</v>
      </c>
      <c r="C793" s="1" t="s">
        <v>14</v>
      </c>
      <c r="D793" s="1" t="s">
        <v>40</v>
      </c>
      <c r="E793" s="1" t="s">
        <v>16</v>
      </c>
      <c r="F793" s="1">
        <v>193.34</v>
      </c>
      <c r="G793" s="1" t="s">
        <v>233</v>
      </c>
      <c r="H793" s="2">
        <v>38826</v>
      </c>
      <c r="I793" s="2">
        <v>45326</v>
      </c>
      <c r="J793" s="1">
        <v>25.31</v>
      </c>
      <c r="K793" s="1">
        <f t="shared" si="30"/>
        <v>48.934353999999999</v>
      </c>
      <c r="L793" s="1">
        <f t="shared" si="31"/>
        <v>144.40564599999999</v>
      </c>
    </row>
    <row r="794" spans="1:12" x14ac:dyDescent="0.35">
      <c r="A794" s="1">
        <v>1792</v>
      </c>
      <c r="B794" s="2">
        <v>44751</v>
      </c>
      <c r="C794" s="1" t="s">
        <v>10</v>
      </c>
      <c r="D794" s="1" t="s">
        <v>71</v>
      </c>
      <c r="E794" s="1" t="s">
        <v>31</v>
      </c>
      <c r="F794" s="1">
        <v>557.03</v>
      </c>
      <c r="G794" s="1" t="s">
        <v>193</v>
      </c>
      <c r="H794" s="2">
        <v>26082</v>
      </c>
      <c r="I794" s="2">
        <v>44752</v>
      </c>
      <c r="J794" s="1">
        <v>22.2</v>
      </c>
      <c r="K794" s="1">
        <f t="shared" si="30"/>
        <v>123.66065999999999</v>
      </c>
      <c r="L794" s="1">
        <f t="shared" si="31"/>
        <v>433.36933999999997</v>
      </c>
    </row>
    <row r="795" spans="1:12" x14ac:dyDescent="0.35">
      <c r="A795" s="1">
        <v>1793</v>
      </c>
      <c r="B795" s="2">
        <v>45466</v>
      </c>
      <c r="C795" s="1" t="s">
        <v>21</v>
      </c>
      <c r="D795" s="1" t="s">
        <v>69</v>
      </c>
      <c r="E795" s="1" t="s">
        <v>12</v>
      </c>
      <c r="F795" s="1">
        <v>682.1</v>
      </c>
      <c r="G795" s="1" t="s">
        <v>210</v>
      </c>
      <c r="H795" s="2">
        <v>27550</v>
      </c>
      <c r="I795" s="2">
        <v>45474</v>
      </c>
      <c r="J795" s="1">
        <v>33.54</v>
      </c>
      <c r="K795" s="1">
        <f t="shared" si="30"/>
        <v>228.77634</v>
      </c>
      <c r="L795" s="1">
        <f t="shared" si="31"/>
        <v>453.32366000000002</v>
      </c>
    </row>
    <row r="796" spans="1:12" x14ac:dyDescent="0.35">
      <c r="A796" s="1">
        <v>1794</v>
      </c>
      <c r="B796" s="2">
        <v>45176</v>
      </c>
      <c r="C796" s="1" t="s">
        <v>26</v>
      </c>
      <c r="D796" s="1" t="s">
        <v>71</v>
      </c>
      <c r="E796" s="1" t="s">
        <v>31</v>
      </c>
      <c r="F796" s="1">
        <v>4084.74</v>
      </c>
      <c r="G796" s="1" t="s">
        <v>304</v>
      </c>
      <c r="H796" s="2">
        <v>36246</v>
      </c>
      <c r="I796" s="2">
        <v>45177</v>
      </c>
      <c r="J796" s="1">
        <v>8.34</v>
      </c>
      <c r="K796" s="1">
        <f t="shared" si="30"/>
        <v>340.66731599999997</v>
      </c>
      <c r="L796" s="1">
        <f t="shared" si="31"/>
        <v>3744.0726839999998</v>
      </c>
    </row>
    <row r="797" spans="1:12" x14ac:dyDescent="0.35">
      <c r="A797" s="1">
        <v>1795</v>
      </c>
      <c r="B797" s="2">
        <v>44504</v>
      </c>
      <c r="C797" s="1" t="s">
        <v>35</v>
      </c>
      <c r="D797" s="1" t="s">
        <v>18</v>
      </c>
      <c r="E797" s="1" t="s">
        <v>19</v>
      </c>
      <c r="F797" s="1">
        <v>3311.08</v>
      </c>
      <c r="G797" s="1" t="s">
        <v>94</v>
      </c>
      <c r="H797" s="2">
        <v>25516</v>
      </c>
      <c r="I797" s="2">
        <v>44513</v>
      </c>
      <c r="J797" s="1">
        <v>36.19</v>
      </c>
      <c r="K797" s="1">
        <f t="shared" si="30"/>
        <v>1198.2798519999999</v>
      </c>
      <c r="L797" s="1">
        <f t="shared" si="31"/>
        <v>2112.8001480000003</v>
      </c>
    </row>
    <row r="798" spans="1:12" x14ac:dyDescent="0.35">
      <c r="A798" s="1">
        <v>1796</v>
      </c>
      <c r="B798" s="2">
        <v>44792</v>
      </c>
      <c r="C798" s="1" t="s">
        <v>21</v>
      </c>
      <c r="D798" s="1" t="s">
        <v>40</v>
      </c>
      <c r="E798" s="1" t="s">
        <v>16</v>
      </c>
      <c r="F798" s="1">
        <v>1488.13</v>
      </c>
      <c r="G798" s="1" t="s">
        <v>321</v>
      </c>
      <c r="H798" s="2">
        <v>22467</v>
      </c>
      <c r="I798" s="2">
        <v>44804</v>
      </c>
      <c r="J798" s="1">
        <v>16.190000000000001</v>
      </c>
      <c r="K798" s="1">
        <f t="shared" si="30"/>
        <v>240.92824700000006</v>
      </c>
      <c r="L798" s="1">
        <f t="shared" si="31"/>
        <v>1247.2017530000001</v>
      </c>
    </row>
    <row r="799" spans="1:12" x14ac:dyDescent="0.35">
      <c r="A799" s="1">
        <v>1797</v>
      </c>
      <c r="B799" s="2">
        <v>45085</v>
      </c>
      <c r="C799" s="1" t="s">
        <v>14</v>
      </c>
      <c r="D799" s="1" t="s">
        <v>88</v>
      </c>
      <c r="E799" s="1" t="s">
        <v>16</v>
      </c>
      <c r="F799" s="1">
        <v>1292.26</v>
      </c>
      <c r="G799" s="1" t="s">
        <v>298</v>
      </c>
      <c r="H799" s="2">
        <v>30410</v>
      </c>
      <c r="I799" s="2">
        <v>45086</v>
      </c>
      <c r="J799" s="1">
        <v>39.590000000000003</v>
      </c>
      <c r="K799" s="1">
        <f t="shared" si="30"/>
        <v>511.60573400000004</v>
      </c>
      <c r="L799" s="1">
        <f t="shared" si="31"/>
        <v>780.65426600000001</v>
      </c>
    </row>
    <row r="800" spans="1:12" x14ac:dyDescent="0.35">
      <c r="A800" s="1">
        <v>1798</v>
      </c>
      <c r="B800" s="2">
        <v>44283</v>
      </c>
      <c r="C800" s="1" t="s">
        <v>14</v>
      </c>
      <c r="D800" s="1" t="s">
        <v>53</v>
      </c>
      <c r="E800" s="1" t="s">
        <v>28</v>
      </c>
      <c r="F800" s="1">
        <v>460.63</v>
      </c>
      <c r="G800" s="1" t="s">
        <v>308</v>
      </c>
      <c r="H800" s="2">
        <v>35336</v>
      </c>
      <c r="I800" s="2">
        <v>44285</v>
      </c>
      <c r="J800" s="1">
        <v>23.3</v>
      </c>
      <c r="K800" s="1">
        <f t="shared" si="30"/>
        <v>107.32679</v>
      </c>
      <c r="L800" s="1">
        <f t="shared" si="31"/>
        <v>353.30320999999998</v>
      </c>
    </row>
    <row r="801" spans="1:12" x14ac:dyDescent="0.35">
      <c r="A801" s="1">
        <v>1799</v>
      </c>
      <c r="B801" s="2">
        <v>44246</v>
      </c>
      <c r="C801" s="1" t="s">
        <v>21</v>
      </c>
      <c r="D801" s="1" t="s">
        <v>36</v>
      </c>
      <c r="E801" s="1" t="s">
        <v>28</v>
      </c>
      <c r="F801" s="1">
        <v>3103.07</v>
      </c>
      <c r="G801" s="1" t="s">
        <v>121</v>
      </c>
      <c r="H801" s="2">
        <v>24580</v>
      </c>
      <c r="I801" s="2">
        <v>44260</v>
      </c>
      <c r="J801" s="1">
        <v>7.78</v>
      </c>
      <c r="K801" s="1">
        <f t="shared" si="30"/>
        <v>241.41884600000003</v>
      </c>
      <c r="L801" s="1">
        <f t="shared" si="31"/>
        <v>2861.6511540000001</v>
      </c>
    </row>
    <row r="802" spans="1:12" x14ac:dyDescent="0.35">
      <c r="A802" s="1">
        <v>1800</v>
      </c>
      <c r="B802" s="2">
        <v>44679</v>
      </c>
      <c r="C802" s="1" t="s">
        <v>35</v>
      </c>
      <c r="D802" s="1" t="s">
        <v>27</v>
      </c>
      <c r="E802" s="1" t="s">
        <v>28</v>
      </c>
      <c r="F802" s="1">
        <v>2611.02</v>
      </c>
      <c r="G802" s="1" t="s">
        <v>263</v>
      </c>
      <c r="H802" s="2">
        <v>35629</v>
      </c>
      <c r="I802" s="2">
        <v>44693</v>
      </c>
      <c r="J802" s="1">
        <v>25.45</v>
      </c>
      <c r="K802" s="1">
        <f t="shared" si="30"/>
        <v>664.50459000000001</v>
      </c>
      <c r="L802" s="1">
        <f t="shared" si="31"/>
        <v>1946.51541</v>
      </c>
    </row>
    <row r="803" spans="1:12" x14ac:dyDescent="0.35">
      <c r="A803" s="1">
        <v>1801</v>
      </c>
      <c r="B803" s="2">
        <v>45314</v>
      </c>
      <c r="C803" s="1" t="s">
        <v>10</v>
      </c>
      <c r="D803" s="1" t="s">
        <v>53</v>
      </c>
      <c r="E803" s="1" t="s">
        <v>28</v>
      </c>
      <c r="F803" s="1">
        <v>3379.46</v>
      </c>
      <c r="G803" s="1" t="s">
        <v>322</v>
      </c>
      <c r="H803" s="2">
        <v>36924</v>
      </c>
      <c r="I803" s="2">
        <v>45325</v>
      </c>
      <c r="J803" s="1">
        <v>7.14</v>
      </c>
      <c r="K803" s="1">
        <f t="shared" si="30"/>
        <v>241.29344399999997</v>
      </c>
      <c r="L803" s="1">
        <f t="shared" si="31"/>
        <v>3138.1665560000001</v>
      </c>
    </row>
    <row r="804" spans="1:12" x14ac:dyDescent="0.35">
      <c r="A804" s="1">
        <v>1802</v>
      </c>
      <c r="B804" s="2">
        <v>44594</v>
      </c>
      <c r="C804" s="1" t="s">
        <v>14</v>
      </c>
      <c r="D804" s="1" t="s">
        <v>18</v>
      </c>
      <c r="E804" s="1" t="s">
        <v>19</v>
      </c>
      <c r="F804" s="1">
        <v>4233.68</v>
      </c>
      <c r="G804" s="1" t="s">
        <v>288</v>
      </c>
      <c r="H804" s="2">
        <v>29810</v>
      </c>
      <c r="I804" s="2">
        <v>44595</v>
      </c>
      <c r="J804" s="1">
        <v>28.97</v>
      </c>
      <c r="K804" s="1">
        <f t="shared" si="30"/>
        <v>1226.4970960000001</v>
      </c>
      <c r="L804" s="1">
        <f t="shared" si="31"/>
        <v>3007.1829040000002</v>
      </c>
    </row>
    <row r="805" spans="1:12" x14ac:dyDescent="0.35">
      <c r="A805" s="1">
        <v>1803</v>
      </c>
      <c r="B805" s="2">
        <v>44989</v>
      </c>
      <c r="C805" s="1" t="s">
        <v>21</v>
      </c>
      <c r="D805" s="1" t="s">
        <v>24</v>
      </c>
      <c r="E805" s="1" t="s">
        <v>19</v>
      </c>
      <c r="F805" s="1">
        <v>3698.7</v>
      </c>
      <c r="G805" s="1" t="s">
        <v>183</v>
      </c>
      <c r="H805" s="2">
        <v>32359</v>
      </c>
      <c r="I805" s="2">
        <v>44994</v>
      </c>
      <c r="J805" s="1">
        <v>23.36</v>
      </c>
      <c r="K805" s="1">
        <f t="shared" si="30"/>
        <v>864.01631999999995</v>
      </c>
      <c r="L805" s="1">
        <f t="shared" si="31"/>
        <v>2834.6836800000001</v>
      </c>
    </row>
    <row r="806" spans="1:12" x14ac:dyDescent="0.35">
      <c r="A806" s="1">
        <v>1804</v>
      </c>
      <c r="B806" s="2">
        <v>44236</v>
      </c>
      <c r="C806" s="1" t="s">
        <v>14</v>
      </c>
      <c r="D806" s="1" t="s">
        <v>69</v>
      </c>
      <c r="E806" s="1" t="s">
        <v>12</v>
      </c>
      <c r="F806" s="1">
        <v>4909.8900000000003</v>
      </c>
      <c r="G806" s="1" t="s">
        <v>169</v>
      </c>
      <c r="H806" s="2">
        <v>37894</v>
      </c>
      <c r="I806" s="2">
        <v>44239</v>
      </c>
      <c r="J806" s="1">
        <v>28.79</v>
      </c>
      <c r="K806" s="1">
        <f t="shared" si="30"/>
        <v>1413.557331</v>
      </c>
      <c r="L806" s="1">
        <f t="shared" si="31"/>
        <v>3496.3326690000004</v>
      </c>
    </row>
    <row r="807" spans="1:12" x14ac:dyDescent="0.35">
      <c r="A807" s="1">
        <v>1805</v>
      </c>
      <c r="B807" s="2">
        <v>45758</v>
      </c>
      <c r="C807" s="1" t="s">
        <v>21</v>
      </c>
      <c r="D807" s="1" t="s">
        <v>30</v>
      </c>
      <c r="E807" s="1" t="s">
        <v>31</v>
      </c>
      <c r="F807" s="1">
        <v>1486.41</v>
      </c>
      <c r="G807" s="1" t="s">
        <v>113</v>
      </c>
      <c r="H807" s="2">
        <v>25579</v>
      </c>
      <c r="I807" s="2">
        <v>45765</v>
      </c>
      <c r="J807" s="1">
        <v>20.07</v>
      </c>
      <c r="K807" s="1">
        <f t="shared" si="30"/>
        <v>298.32248700000002</v>
      </c>
      <c r="L807" s="1">
        <f t="shared" si="31"/>
        <v>1188.0875129999999</v>
      </c>
    </row>
    <row r="808" spans="1:12" x14ac:dyDescent="0.35">
      <c r="A808" s="1">
        <v>1806</v>
      </c>
      <c r="B808" s="2">
        <v>45010</v>
      </c>
      <c r="C808" s="1" t="s">
        <v>21</v>
      </c>
      <c r="D808" s="1" t="s">
        <v>40</v>
      </c>
      <c r="E808" s="1" t="s">
        <v>16</v>
      </c>
      <c r="F808" s="1">
        <v>3827.4</v>
      </c>
      <c r="G808" s="1" t="s">
        <v>260</v>
      </c>
      <c r="H808" s="2">
        <v>38628</v>
      </c>
      <c r="I808" s="2">
        <v>45012</v>
      </c>
      <c r="J808" s="1">
        <v>40.19</v>
      </c>
      <c r="K808" s="1">
        <f t="shared" si="30"/>
        <v>1538.23206</v>
      </c>
      <c r="L808" s="1">
        <f t="shared" si="31"/>
        <v>2289.1679400000003</v>
      </c>
    </row>
    <row r="809" spans="1:12" x14ac:dyDescent="0.35">
      <c r="A809" s="1">
        <v>1807</v>
      </c>
      <c r="B809" s="2">
        <v>45319</v>
      </c>
      <c r="C809" s="1" t="s">
        <v>10</v>
      </c>
      <c r="D809" s="1" t="s">
        <v>88</v>
      </c>
      <c r="E809" s="1" t="s">
        <v>16</v>
      </c>
      <c r="F809" s="1">
        <v>129.44999999999999</v>
      </c>
      <c r="G809" s="1" t="s">
        <v>70</v>
      </c>
      <c r="H809" s="2">
        <v>30887</v>
      </c>
      <c r="I809" s="2">
        <v>45323</v>
      </c>
      <c r="J809" s="1">
        <v>11.55</v>
      </c>
      <c r="K809" s="1">
        <f t="shared" si="30"/>
        <v>14.951474999999999</v>
      </c>
      <c r="L809" s="1">
        <f t="shared" si="31"/>
        <v>114.49852499999999</v>
      </c>
    </row>
    <row r="810" spans="1:12" x14ac:dyDescent="0.35">
      <c r="A810" s="1">
        <v>1808</v>
      </c>
      <c r="B810" s="2">
        <v>44173</v>
      </c>
      <c r="C810" s="1" t="s">
        <v>14</v>
      </c>
      <c r="D810" s="1" t="s">
        <v>69</v>
      </c>
      <c r="E810" s="1" t="s">
        <v>12</v>
      </c>
      <c r="F810" s="1">
        <v>1619.92</v>
      </c>
      <c r="G810" s="1" t="s">
        <v>119</v>
      </c>
      <c r="H810" s="2">
        <v>34954</v>
      </c>
      <c r="I810" s="2">
        <v>44176</v>
      </c>
      <c r="J810" s="1">
        <v>43.03</v>
      </c>
      <c r="K810" s="1">
        <f t="shared" si="30"/>
        <v>697.05157600000007</v>
      </c>
      <c r="L810" s="1">
        <f t="shared" si="31"/>
        <v>922.868424</v>
      </c>
    </row>
    <row r="811" spans="1:12" x14ac:dyDescent="0.35">
      <c r="A811" s="1">
        <v>1809</v>
      </c>
      <c r="B811" s="2">
        <v>44697</v>
      </c>
      <c r="C811" s="1" t="s">
        <v>14</v>
      </c>
      <c r="D811" s="1" t="s">
        <v>38</v>
      </c>
      <c r="E811" s="1" t="s">
        <v>28</v>
      </c>
      <c r="F811" s="1">
        <v>3749.82</v>
      </c>
      <c r="G811" s="1" t="s">
        <v>132</v>
      </c>
      <c r="H811" s="2">
        <v>34364</v>
      </c>
      <c r="I811" s="2">
        <v>44706</v>
      </c>
      <c r="J811" s="1">
        <v>11.58</v>
      </c>
      <c r="K811" s="1">
        <f t="shared" si="30"/>
        <v>434.22915600000005</v>
      </c>
      <c r="L811" s="1">
        <f t="shared" si="31"/>
        <v>3315.5908440000003</v>
      </c>
    </row>
    <row r="812" spans="1:12" x14ac:dyDescent="0.35">
      <c r="A812" s="1">
        <v>1810</v>
      </c>
      <c r="B812" s="2">
        <v>45867</v>
      </c>
      <c r="C812" s="1" t="s">
        <v>21</v>
      </c>
      <c r="D812" s="1" t="s">
        <v>33</v>
      </c>
      <c r="E812" s="1" t="s">
        <v>16</v>
      </c>
      <c r="F812" s="1">
        <v>3858.01</v>
      </c>
      <c r="G812" s="1" t="s">
        <v>181</v>
      </c>
      <c r="H812" s="2">
        <v>25222</v>
      </c>
      <c r="I812" s="2">
        <v>45876</v>
      </c>
      <c r="J812" s="1">
        <v>24.94</v>
      </c>
      <c r="K812" s="1">
        <f t="shared" si="30"/>
        <v>962.18769400000008</v>
      </c>
      <c r="L812" s="1">
        <f t="shared" si="31"/>
        <v>2895.822306</v>
      </c>
    </row>
    <row r="813" spans="1:12" x14ac:dyDescent="0.35">
      <c r="A813" s="1">
        <v>1811</v>
      </c>
      <c r="B813" s="2">
        <v>44834</v>
      </c>
      <c r="C813" s="1" t="s">
        <v>21</v>
      </c>
      <c r="D813" s="1" t="s">
        <v>22</v>
      </c>
      <c r="E813" s="1" t="s">
        <v>19</v>
      </c>
      <c r="F813" s="1">
        <v>170.75</v>
      </c>
      <c r="G813" s="1" t="s">
        <v>105</v>
      </c>
      <c r="H813" s="2">
        <v>35889</v>
      </c>
      <c r="I813" s="2">
        <v>44841</v>
      </c>
      <c r="J813" s="1">
        <v>15.62</v>
      </c>
      <c r="K813" s="1">
        <f t="shared" si="30"/>
        <v>26.671150000000001</v>
      </c>
      <c r="L813" s="1">
        <f t="shared" si="31"/>
        <v>144.07884999999999</v>
      </c>
    </row>
    <row r="814" spans="1:12" x14ac:dyDescent="0.35">
      <c r="A814" s="1">
        <v>1812</v>
      </c>
      <c r="B814" s="2">
        <v>44424</v>
      </c>
      <c r="C814" s="1" t="s">
        <v>26</v>
      </c>
      <c r="D814" s="1" t="s">
        <v>69</v>
      </c>
      <c r="E814" s="1" t="s">
        <v>31</v>
      </c>
      <c r="F814" s="1">
        <v>2457.6999999999998</v>
      </c>
      <c r="G814" s="1" t="s">
        <v>210</v>
      </c>
      <c r="H814" s="2">
        <v>27550</v>
      </c>
      <c r="I814" s="2">
        <v>44425</v>
      </c>
      <c r="J814" s="1">
        <v>27.07</v>
      </c>
      <c r="K814" s="1">
        <f t="shared" si="30"/>
        <v>665.2993899999999</v>
      </c>
      <c r="L814" s="1">
        <f t="shared" si="31"/>
        <v>1792.4006099999999</v>
      </c>
    </row>
    <row r="815" spans="1:12" x14ac:dyDescent="0.35">
      <c r="A815" s="1">
        <v>1813</v>
      </c>
      <c r="B815" s="2">
        <v>45559</v>
      </c>
      <c r="C815" s="1" t="s">
        <v>14</v>
      </c>
      <c r="D815" s="1" t="s">
        <v>47</v>
      </c>
      <c r="E815" s="1" t="s">
        <v>12</v>
      </c>
      <c r="F815" s="1">
        <v>2847.95</v>
      </c>
      <c r="G815" s="1" t="s">
        <v>299</v>
      </c>
      <c r="H815" s="2">
        <v>25863</v>
      </c>
      <c r="I815" s="2">
        <v>45563</v>
      </c>
      <c r="J815" s="1">
        <v>10.87</v>
      </c>
      <c r="K815" s="1">
        <f t="shared" si="30"/>
        <v>309.57216499999993</v>
      </c>
      <c r="L815" s="1">
        <f t="shared" si="31"/>
        <v>2538.3778349999998</v>
      </c>
    </row>
    <row r="816" spans="1:12" x14ac:dyDescent="0.35">
      <c r="A816" s="1">
        <v>1814</v>
      </c>
      <c r="B816" s="2">
        <v>44257</v>
      </c>
      <c r="C816" s="1" t="s">
        <v>14</v>
      </c>
      <c r="D816" s="1" t="s">
        <v>69</v>
      </c>
      <c r="E816" s="1" t="s">
        <v>31</v>
      </c>
      <c r="F816" s="1">
        <v>4804.79</v>
      </c>
      <c r="G816" s="1" t="s">
        <v>111</v>
      </c>
      <c r="H816" s="2">
        <v>34704</v>
      </c>
      <c r="I816" s="2">
        <v>44264</v>
      </c>
      <c r="J816" s="1">
        <v>2.2000000000000002</v>
      </c>
      <c r="K816" s="1">
        <f t="shared" si="30"/>
        <v>105.70538000000001</v>
      </c>
      <c r="L816" s="1">
        <f t="shared" si="31"/>
        <v>4699.0846199999996</v>
      </c>
    </row>
    <row r="817" spans="1:12" x14ac:dyDescent="0.35">
      <c r="A817" s="1">
        <v>1815</v>
      </c>
      <c r="B817" s="2">
        <v>44162</v>
      </c>
      <c r="C817" s="1" t="s">
        <v>35</v>
      </c>
      <c r="D817" s="1" t="s">
        <v>69</v>
      </c>
      <c r="E817" s="1" t="s">
        <v>31</v>
      </c>
      <c r="F817" s="1">
        <v>864.39</v>
      </c>
      <c r="G817" s="1" t="s">
        <v>256</v>
      </c>
      <c r="H817" s="2">
        <v>34537</v>
      </c>
      <c r="I817" s="2">
        <v>44176</v>
      </c>
      <c r="J817" s="1">
        <v>5.48</v>
      </c>
      <c r="K817" s="1">
        <f t="shared" si="30"/>
        <v>47.368572</v>
      </c>
      <c r="L817" s="1">
        <f t="shared" si="31"/>
        <v>817.02142800000001</v>
      </c>
    </row>
    <row r="818" spans="1:12" x14ac:dyDescent="0.35">
      <c r="A818" s="1">
        <v>1816</v>
      </c>
      <c r="B818" s="2">
        <v>45004</v>
      </c>
      <c r="C818" s="1" t="s">
        <v>14</v>
      </c>
      <c r="D818" s="1" t="s">
        <v>69</v>
      </c>
      <c r="E818" s="1" t="s">
        <v>12</v>
      </c>
      <c r="F818" s="1">
        <v>2142.34</v>
      </c>
      <c r="G818" s="1" t="s">
        <v>193</v>
      </c>
      <c r="H818" s="2">
        <v>26082</v>
      </c>
      <c r="I818" s="2">
        <v>45015</v>
      </c>
      <c r="J818" s="1">
        <v>31.97</v>
      </c>
      <c r="K818" s="1">
        <f t="shared" si="30"/>
        <v>684.90609800000004</v>
      </c>
      <c r="L818" s="1">
        <f t="shared" si="31"/>
        <v>1457.4339020000002</v>
      </c>
    </row>
    <row r="819" spans="1:12" x14ac:dyDescent="0.35">
      <c r="A819" s="1">
        <v>1817</v>
      </c>
      <c r="B819" s="2">
        <v>44803</v>
      </c>
      <c r="C819" s="1" t="s">
        <v>35</v>
      </c>
      <c r="D819" s="1" t="s">
        <v>69</v>
      </c>
      <c r="E819" s="1" t="s">
        <v>31</v>
      </c>
      <c r="F819" s="1">
        <v>1944.47</v>
      </c>
      <c r="G819" s="1" t="s">
        <v>323</v>
      </c>
      <c r="H819" s="2">
        <v>33840</v>
      </c>
      <c r="I819" s="2">
        <v>44814</v>
      </c>
      <c r="J819" s="1">
        <v>41.62</v>
      </c>
      <c r="K819" s="1">
        <f t="shared" si="30"/>
        <v>809.28841399999988</v>
      </c>
      <c r="L819" s="1">
        <f t="shared" si="31"/>
        <v>1135.1815860000002</v>
      </c>
    </row>
    <row r="820" spans="1:12" x14ac:dyDescent="0.35">
      <c r="A820" s="1">
        <v>1818</v>
      </c>
      <c r="B820" s="2">
        <v>44499</v>
      </c>
      <c r="C820" s="1" t="s">
        <v>14</v>
      </c>
      <c r="D820" s="1" t="s">
        <v>65</v>
      </c>
      <c r="E820" s="1" t="s">
        <v>19</v>
      </c>
      <c r="F820" s="1">
        <v>791.35</v>
      </c>
      <c r="G820" s="1" t="s">
        <v>128</v>
      </c>
      <c r="H820" s="2">
        <v>37961</v>
      </c>
      <c r="I820" s="2">
        <v>44506</v>
      </c>
      <c r="J820" s="1">
        <v>40.1</v>
      </c>
      <c r="K820" s="1">
        <f t="shared" si="30"/>
        <v>317.33135000000004</v>
      </c>
      <c r="L820" s="1">
        <f t="shared" si="31"/>
        <v>474.01864999999998</v>
      </c>
    </row>
    <row r="821" spans="1:12" x14ac:dyDescent="0.35">
      <c r="A821" s="1">
        <v>1819</v>
      </c>
      <c r="B821" s="2">
        <v>44970</v>
      </c>
      <c r="C821" s="1" t="s">
        <v>35</v>
      </c>
      <c r="D821" s="1" t="s">
        <v>24</v>
      </c>
      <c r="E821" s="1" t="s">
        <v>19</v>
      </c>
      <c r="F821" s="1">
        <v>2156.0700000000002</v>
      </c>
      <c r="G821" s="1" t="s">
        <v>301</v>
      </c>
      <c r="H821" s="2">
        <v>31775</v>
      </c>
      <c r="I821" s="2">
        <v>44983</v>
      </c>
      <c r="J821" s="1">
        <v>27.96</v>
      </c>
      <c r="K821" s="1">
        <f t="shared" si="30"/>
        <v>602.83717200000012</v>
      </c>
      <c r="L821" s="1">
        <f t="shared" si="31"/>
        <v>1553.2328280000002</v>
      </c>
    </row>
    <row r="822" spans="1:12" x14ac:dyDescent="0.35">
      <c r="A822" s="1">
        <v>1820</v>
      </c>
      <c r="B822" s="2">
        <v>44680</v>
      </c>
      <c r="C822" s="1" t="s">
        <v>10</v>
      </c>
      <c r="D822" s="1" t="s">
        <v>24</v>
      </c>
      <c r="E822" s="1" t="s">
        <v>19</v>
      </c>
      <c r="F822" s="1">
        <v>4278.82</v>
      </c>
      <c r="G822" s="1" t="s">
        <v>197</v>
      </c>
      <c r="H822" s="2">
        <v>26001</v>
      </c>
      <c r="I822" s="2">
        <v>44683</v>
      </c>
      <c r="J822" s="1">
        <v>14.22</v>
      </c>
      <c r="K822" s="1">
        <f t="shared" si="30"/>
        <v>608.44820399999992</v>
      </c>
      <c r="L822" s="1">
        <f t="shared" si="31"/>
        <v>3670.3717959999999</v>
      </c>
    </row>
    <row r="823" spans="1:12" x14ac:dyDescent="0.35">
      <c r="A823" s="1">
        <v>1821</v>
      </c>
      <c r="B823" s="2">
        <v>44864</v>
      </c>
      <c r="C823" s="1" t="s">
        <v>21</v>
      </c>
      <c r="D823" s="1" t="s">
        <v>58</v>
      </c>
      <c r="E823" s="1" t="s">
        <v>31</v>
      </c>
      <c r="F823" s="1">
        <v>984.14</v>
      </c>
      <c r="G823" s="1" t="s">
        <v>83</v>
      </c>
      <c r="H823" s="2">
        <v>24673</v>
      </c>
      <c r="I823" s="2">
        <v>44875</v>
      </c>
      <c r="J823" s="1">
        <v>42.34</v>
      </c>
      <c r="K823" s="1">
        <f t="shared" si="30"/>
        <v>416.68487600000003</v>
      </c>
      <c r="L823" s="1">
        <f t="shared" si="31"/>
        <v>567.45512399999996</v>
      </c>
    </row>
    <row r="824" spans="1:12" x14ac:dyDescent="0.35">
      <c r="A824" s="1">
        <v>1822</v>
      </c>
      <c r="B824" s="2">
        <v>44451</v>
      </c>
      <c r="C824" s="1" t="s">
        <v>21</v>
      </c>
      <c r="D824" s="1" t="s">
        <v>58</v>
      </c>
      <c r="E824" s="1" t="s">
        <v>31</v>
      </c>
      <c r="F824" s="1">
        <v>4405.46</v>
      </c>
      <c r="G824" s="1" t="s">
        <v>278</v>
      </c>
      <c r="H824" s="2">
        <v>36036</v>
      </c>
      <c r="I824" s="2">
        <v>44465</v>
      </c>
      <c r="J824" s="1">
        <v>7.38</v>
      </c>
      <c r="K824" s="1">
        <f t="shared" si="30"/>
        <v>325.12294800000001</v>
      </c>
      <c r="L824" s="1">
        <f t="shared" si="31"/>
        <v>4080.3370519999999</v>
      </c>
    </row>
    <row r="825" spans="1:12" x14ac:dyDescent="0.35">
      <c r="A825" s="1">
        <v>1823</v>
      </c>
      <c r="B825" s="2">
        <v>45363</v>
      </c>
      <c r="C825" s="1" t="s">
        <v>10</v>
      </c>
      <c r="D825" s="1" t="s">
        <v>11</v>
      </c>
      <c r="E825" s="1" t="s">
        <v>12</v>
      </c>
      <c r="F825" s="1">
        <v>559.32000000000005</v>
      </c>
      <c r="G825" s="1" t="s">
        <v>192</v>
      </c>
      <c r="H825" s="2">
        <v>33626</v>
      </c>
      <c r="I825" s="2">
        <v>45375</v>
      </c>
      <c r="J825" s="1">
        <v>2.1800000000000002</v>
      </c>
      <c r="K825" s="1">
        <f t="shared" si="30"/>
        <v>12.193176000000001</v>
      </c>
      <c r="L825" s="1">
        <f t="shared" si="31"/>
        <v>547.12682400000006</v>
      </c>
    </row>
    <row r="826" spans="1:12" x14ac:dyDescent="0.35">
      <c r="A826" s="1">
        <v>1824</v>
      </c>
      <c r="B826" s="2">
        <v>44296</v>
      </c>
      <c r="C826" s="1" t="s">
        <v>35</v>
      </c>
      <c r="D826" s="1" t="s">
        <v>69</v>
      </c>
      <c r="E826" s="1" t="s">
        <v>31</v>
      </c>
      <c r="F826" s="1">
        <v>613.32000000000005</v>
      </c>
      <c r="G826" s="1" t="s">
        <v>87</v>
      </c>
      <c r="H826" s="2">
        <v>36012</v>
      </c>
      <c r="I826" s="2">
        <v>44298</v>
      </c>
      <c r="J826" s="1">
        <v>15.05</v>
      </c>
      <c r="K826" s="1">
        <f t="shared" si="30"/>
        <v>92.304659999999998</v>
      </c>
      <c r="L826" s="1">
        <f t="shared" si="31"/>
        <v>521.01534000000004</v>
      </c>
    </row>
    <row r="827" spans="1:12" x14ac:dyDescent="0.35">
      <c r="A827" s="1">
        <v>1825</v>
      </c>
      <c r="B827" s="2">
        <v>44660</v>
      </c>
      <c r="C827" s="1" t="s">
        <v>10</v>
      </c>
      <c r="D827" s="1" t="s">
        <v>102</v>
      </c>
      <c r="E827" s="1" t="s">
        <v>12</v>
      </c>
      <c r="F827" s="1">
        <v>3209.4</v>
      </c>
      <c r="G827" s="1" t="s">
        <v>254</v>
      </c>
      <c r="H827" s="2">
        <v>29366</v>
      </c>
      <c r="I827" s="2">
        <v>44674</v>
      </c>
      <c r="J827" s="1">
        <v>14.74</v>
      </c>
      <c r="K827" s="1">
        <f t="shared" si="30"/>
        <v>473.06556</v>
      </c>
      <c r="L827" s="1">
        <f t="shared" si="31"/>
        <v>2736.3344400000001</v>
      </c>
    </row>
    <row r="828" spans="1:12" x14ac:dyDescent="0.35">
      <c r="A828" s="1">
        <v>1826</v>
      </c>
      <c r="B828" s="2">
        <v>45630</v>
      </c>
      <c r="C828" s="1" t="s">
        <v>14</v>
      </c>
      <c r="D828" s="1" t="s">
        <v>73</v>
      </c>
      <c r="E828" s="1" t="s">
        <v>28</v>
      </c>
      <c r="F828" s="1">
        <v>405.71</v>
      </c>
      <c r="G828" s="1" t="s">
        <v>295</v>
      </c>
      <c r="H828" s="2">
        <v>23369</v>
      </c>
      <c r="I828" s="2">
        <v>45632</v>
      </c>
      <c r="J828" s="1">
        <v>40.61</v>
      </c>
      <c r="K828" s="1">
        <f t="shared" si="30"/>
        <v>164.75883099999999</v>
      </c>
      <c r="L828" s="1">
        <f t="shared" si="31"/>
        <v>240.95116899999999</v>
      </c>
    </row>
    <row r="829" spans="1:12" x14ac:dyDescent="0.35">
      <c r="A829" s="1">
        <v>1827</v>
      </c>
      <c r="B829" s="2">
        <v>45011</v>
      </c>
      <c r="C829" s="1" t="s">
        <v>21</v>
      </c>
      <c r="D829" s="1" t="s">
        <v>44</v>
      </c>
      <c r="E829" s="1" t="s">
        <v>16</v>
      </c>
      <c r="F829" s="1">
        <v>3345.58</v>
      </c>
      <c r="G829" s="1" t="s">
        <v>74</v>
      </c>
      <c r="H829" s="2">
        <v>31224</v>
      </c>
      <c r="I829" s="2">
        <v>45019</v>
      </c>
      <c r="J829" s="1">
        <v>17.25</v>
      </c>
      <c r="K829" s="1">
        <f t="shared" si="30"/>
        <v>577.11254999999994</v>
      </c>
      <c r="L829" s="1">
        <f t="shared" si="31"/>
        <v>2768.4674500000001</v>
      </c>
    </row>
    <row r="830" spans="1:12" x14ac:dyDescent="0.35">
      <c r="A830" s="1">
        <v>1828</v>
      </c>
      <c r="B830" s="2">
        <v>44512</v>
      </c>
      <c r="C830" s="1" t="s">
        <v>21</v>
      </c>
      <c r="D830" s="1" t="s">
        <v>24</v>
      </c>
      <c r="E830" s="1" t="s">
        <v>19</v>
      </c>
      <c r="F830" s="1">
        <v>4628.91</v>
      </c>
      <c r="G830" s="1" t="s">
        <v>62</v>
      </c>
      <c r="H830" s="2">
        <v>22870</v>
      </c>
      <c r="I830" s="2">
        <v>44524</v>
      </c>
      <c r="J830" s="1">
        <v>34.04</v>
      </c>
      <c r="K830" s="1">
        <f t="shared" si="30"/>
        <v>1575.6809639999999</v>
      </c>
      <c r="L830" s="1">
        <f t="shared" si="31"/>
        <v>3053.2290359999997</v>
      </c>
    </row>
    <row r="831" spans="1:12" x14ac:dyDescent="0.35">
      <c r="A831" s="1">
        <v>1829</v>
      </c>
      <c r="B831" s="2">
        <v>44826</v>
      </c>
      <c r="C831" s="1" t="s">
        <v>21</v>
      </c>
      <c r="D831" s="1" t="s">
        <v>33</v>
      </c>
      <c r="E831" s="1" t="s">
        <v>16</v>
      </c>
      <c r="F831" s="1">
        <v>2240.89</v>
      </c>
      <c r="G831" s="1" t="s">
        <v>251</v>
      </c>
      <c r="H831" s="2">
        <v>25440</v>
      </c>
      <c r="I831" s="2">
        <v>44836</v>
      </c>
      <c r="J831" s="1">
        <v>2.46</v>
      </c>
      <c r="K831" s="1">
        <f t="shared" si="30"/>
        <v>55.125893999999995</v>
      </c>
      <c r="L831" s="1">
        <f t="shared" si="31"/>
        <v>2185.7641060000001</v>
      </c>
    </row>
    <row r="832" spans="1:12" x14ac:dyDescent="0.35">
      <c r="A832" s="1">
        <v>1830</v>
      </c>
      <c r="B832" s="2">
        <v>44398</v>
      </c>
      <c r="C832" s="1" t="s">
        <v>10</v>
      </c>
      <c r="D832" s="1" t="s">
        <v>53</v>
      </c>
      <c r="E832" s="1" t="s">
        <v>28</v>
      </c>
      <c r="F832" s="1">
        <v>2312.25</v>
      </c>
      <c r="G832" s="1" t="s">
        <v>269</v>
      </c>
      <c r="H832" s="2">
        <v>30976</v>
      </c>
      <c r="I832" s="2">
        <v>44408</v>
      </c>
      <c r="J832" s="1">
        <v>8.42</v>
      </c>
      <c r="K832" s="1">
        <f t="shared" si="30"/>
        <v>194.69145</v>
      </c>
      <c r="L832" s="1">
        <f t="shared" si="31"/>
        <v>2117.5585500000002</v>
      </c>
    </row>
    <row r="833" spans="1:12" x14ac:dyDescent="0.35">
      <c r="A833" s="1">
        <v>1831</v>
      </c>
      <c r="B833" s="2">
        <v>45459</v>
      </c>
      <c r="C833" s="1" t="s">
        <v>14</v>
      </c>
      <c r="D833" s="1" t="s">
        <v>65</v>
      </c>
      <c r="E833" s="1" t="s">
        <v>19</v>
      </c>
      <c r="F833" s="1">
        <v>2924.35</v>
      </c>
      <c r="G833" s="1" t="s">
        <v>271</v>
      </c>
      <c r="H833" s="2">
        <v>22796</v>
      </c>
      <c r="I833" s="2">
        <v>45466</v>
      </c>
      <c r="J833" s="1">
        <v>28.88</v>
      </c>
      <c r="K833" s="1">
        <f t="shared" si="30"/>
        <v>844.55228</v>
      </c>
      <c r="L833" s="1">
        <f t="shared" si="31"/>
        <v>2079.79772</v>
      </c>
    </row>
    <row r="834" spans="1:12" x14ac:dyDescent="0.35">
      <c r="A834" s="1">
        <v>1832</v>
      </c>
      <c r="B834" s="2">
        <v>44476</v>
      </c>
      <c r="C834" s="1" t="s">
        <v>35</v>
      </c>
      <c r="D834" s="1" t="s">
        <v>22</v>
      </c>
      <c r="E834" s="1" t="s">
        <v>19</v>
      </c>
      <c r="F834" s="1">
        <v>367.38</v>
      </c>
      <c r="G834" s="1" t="s">
        <v>241</v>
      </c>
      <c r="H834" s="2">
        <v>31880</v>
      </c>
      <c r="I834" s="2">
        <v>44483</v>
      </c>
      <c r="J834" s="1">
        <v>34.29</v>
      </c>
      <c r="K834" s="1">
        <f t="shared" si="30"/>
        <v>125.97460199999999</v>
      </c>
      <c r="L834" s="1">
        <f t="shared" si="31"/>
        <v>241.40539799999999</v>
      </c>
    </row>
    <row r="835" spans="1:12" x14ac:dyDescent="0.35">
      <c r="A835" s="1">
        <v>1833</v>
      </c>
      <c r="B835" s="2">
        <v>45659</v>
      </c>
      <c r="C835" s="1" t="s">
        <v>10</v>
      </c>
      <c r="D835" s="1" t="s">
        <v>58</v>
      </c>
      <c r="E835" s="1" t="s">
        <v>31</v>
      </c>
      <c r="F835" s="1">
        <v>4576.63</v>
      </c>
      <c r="G835" s="1" t="s">
        <v>96</v>
      </c>
      <c r="H835" s="2">
        <v>36236</v>
      </c>
      <c r="I835" s="2">
        <v>45671</v>
      </c>
      <c r="J835" s="1">
        <v>18.88</v>
      </c>
      <c r="K835" s="1">
        <f t="shared" ref="K835:K898" si="32">F835*J835%</f>
        <v>864.06774399999995</v>
      </c>
      <c r="L835" s="1">
        <f t="shared" ref="L835:L898" si="33">F835-K835</f>
        <v>3712.5622560000002</v>
      </c>
    </row>
    <row r="836" spans="1:12" x14ac:dyDescent="0.35">
      <c r="A836" s="1">
        <v>1834</v>
      </c>
      <c r="B836" s="2">
        <v>45874</v>
      </c>
      <c r="C836" s="1" t="s">
        <v>26</v>
      </c>
      <c r="D836" s="1" t="s">
        <v>69</v>
      </c>
      <c r="E836" s="1" t="s">
        <v>12</v>
      </c>
      <c r="F836" s="1">
        <v>4328.8599999999997</v>
      </c>
      <c r="G836" s="1" t="s">
        <v>269</v>
      </c>
      <c r="H836" s="2">
        <v>30976</v>
      </c>
      <c r="I836" s="2">
        <v>45882</v>
      </c>
      <c r="J836" s="1">
        <v>2.94</v>
      </c>
      <c r="K836" s="1">
        <f t="shared" si="32"/>
        <v>127.26848399999999</v>
      </c>
      <c r="L836" s="1">
        <f t="shared" si="33"/>
        <v>4201.5915159999995</v>
      </c>
    </row>
    <row r="837" spans="1:12" x14ac:dyDescent="0.35">
      <c r="A837" s="1">
        <v>1835</v>
      </c>
      <c r="B837" s="2">
        <v>44960</v>
      </c>
      <c r="C837" s="1" t="s">
        <v>21</v>
      </c>
      <c r="D837" s="1" t="s">
        <v>33</v>
      </c>
      <c r="E837" s="1" t="s">
        <v>16</v>
      </c>
      <c r="F837" s="1">
        <v>916.62</v>
      </c>
      <c r="G837" s="1" t="s">
        <v>99</v>
      </c>
      <c r="H837" s="2">
        <v>26397</v>
      </c>
      <c r="I837" s="2">
        <v>44961</v>
      </c>
      <c r="J837" s="1">
        <v>34.35</v>
      </c>
      <c r="K837" s="1">
        <f t="shared" si="32"/>
        <v>314.85897</v>
      </c>
      <c r="L837" s="1">
        <f t="shared" si="33"/>
        <v>601.76103000000001</v>
      </c>
    </row>
    <row r="838" spans="1:12" x14ac:dyDescent="0.35">
      <c r="A838" s="1">
        <v>1836</v>
      </c>
      <c r="B838" s="2">
        <v>44353</v>
      </c>
      <c r="C838" s="1" t="s">
        <v>14</v>
      </c>
      <c r="D838" s="1" t="s">
        <v>18</v>
      </c>
      <c r="E838" s="1" t="s">
        <v>19</v>
      </c>
      <c r="F838" s="1">
        <v>1358.61</v>
      </c>
      <c r="G838" s="1" t="s">
        <v>92</v>
      </c>
      <c r="H838" s="2">
        <v>24544</v>
      </c>
      <c r="I838" s="2">
        <v>44355</v>
      </c>
      <c r="J838" s="1">
        <v>34.119999999999997</v>
      </c>
      <c r="K838" s="1">
        <f t="shared" si="32"/>
        <v>463.55773199999987</v>
      </c>
      <c r="L838" s="1">
        <f t="shared" si="33"/>
        <v>895.05226800000003</v>
      </c>
    </row>
    <row r="839" spans="1:12" x14ac:dyDescent="0.35">
      <c r="A839" s="1">
        <v>1837</v>
      </c>
      <c r="B839" s="2">
        <v>44285</v>
      </c>
      <c r="C839" s="1" t="s">
        <v>21</v>
      </c>
      <c r="D839" s="1" t="s">
        <v>30</v>
      </c>
      <c r="E839" s="1" t="s">
        <v>31</v>
      </c>
      <c r="F839" s="1">
        <v>243.73</v>
      </c>
      <c r="G839" s="1" t="s">
        <v>280</v>
      </c>
      <c r="H839" s="2">
        <v>29181</v>
      </c>
      <c r="I839" s="2">
        <v>44289</v>
      </c>
      <c r="J839" s="1">
        <v>24.17</v>
      </c>
      <c r="K839" s="1">
        <f t="shared" si="32"/>
        <v>58.909541000000004</v>
      </c>
      <c r="L839" s="1">
        <f t="shared" si="33"/>
        <v>184.82045899999997</v>
      </c>
    </row>
    <row r="840" spans="1:12" x14ac:dyDescent="0.35">
      <c r="A840" s="1">
        <v>1838</v>
      </c>
      <c r="B840" s="2">
        <v>45254</v>
      </c>
      <c r="C840" s="1" t="s">
        <v>21</v>
      </c>
      <c r="D840" s="1" t="s">
        <v>65</v>
      </c>
      <c r="E840" s="1" t="s">
        <v>19</v>
      </c>
      <c r="F840" s="1">
        <v>990.39</v>
      </c>
      <c r="G840" s="1" t="s">
        <v>233</v>
      </c>
      <c r="H840" s="2">
        <v>38826</v>
      </c>
      <c r="I840" s="2">
        <v>45256</v>
      </c>
      <c r="J840" s="1">
        <v>36.47</v>
      </c>
      <c r="K840" s="1">
        <f t="shared" si="32"/>
        <v>361.19523299999997</v>
      </c>
      <c r="L840" s="1">
        <f t="shared" si="33"/>
        <v>629.19476699999996</v>
      </c>
    </row>
    <row r="841" spans="1:12" x14ac:dyDescent="0.35">
      <c r="A841" s="1">
        <v>1839</v>
      </c>
      <c r="B841" s="2">
        <v>45605</v>
      </c>
      <c r="C841" s="1" t="s">
        <v>21</v>
      </c>
      <c r="D841" s="1" t="s">
        <v>38</v>
      </c>
      <c r="E841" s="1" t="s">
        <v>28</v>
      </c>
      <c r="F841" s="1">
        <v>2593.1999999999998</v>
      </c>
      <c r="G841" s="1" t="s">
        <v>66</v>
      </c>
      <c r="H841" s="2">
        <v>33192</v>
      </c>
      <c r="I841" s="2">
        <v>45613</v>
      </c>
      <c r="J841" s="1">
        <v>10.55</v>
      </c>
      <c r="K841" s="1">
        <f t="shared" si="32"/>
        <v>273.58260000000001</v>
      </c>
      <c r="L841" s="1">
        <f t="shared" si="33"/>
        <v>2319.6173999999996</v>
      </c>
    </row>
    <row r="842" spans="1:12" x14ac:dyDescent="0.35">
      <c r="A842" s="1">
        <v>1840</v>
      </c>
      <c r="B842" s="2">
        <v>44110</v>
      </c>
      <c r="C842" s="1" t="s">
        <v>35</v>
      </c>
      <c r="D842" s="1" t="s">
        <v>33</v>
      </c>
      <c r="E842" s="1" t="s">
        <v>16</v>
      </c>
      <c r="F842" s="1">
        <v>1090.21</v>
      </c>
      <c r="G842" s="1" t="s">
        <v>313</v>
      </c>
      <c r="H842" s="2">
        <v>23039</v>
      </c>
      <c r="I842" s="2">
        <v>44121</v>
      </c>
      <c r="J842" s="1">
        <v>39.01</v>
      </c>
      <c r="K842" s="1">
        <f t="shared" si="32"/>
        <v>425.29092100000003</v>
      </c>
      <c r="L842" s="1">
        <f t="shared" si="33"/>
        <v>664.91907900000001</v>
      </c>
    </row>
    <row r="843" spans="1:12" x14ac:dyDescent="0.35">
      <c r="A843" s="1">
        <v>1841</v>
      </c>
      <c r="B843" s="2">
        <v>44368</v>
      </c>
      <c r="C843" s="1" t="s">
        <v>35</v>
      </c>
      <c r="D843" s="1" t="s">
        <v>73</v>
      </c>
      <c r="E843" s="1" t="s">
        <v>28</v>
      </c>
      <c r="F843" s="1">
        <v>3523.01</v>
      </c>
      <c r="G843" s="1" t="s">
        <v>270</v>
      </c>
      <c r="H843" s="2">
        <v>23245</v>
      </c>
      <c r="I843" s="2">
        <v>44379</v>
      </c>
      <c r="J843" s="1">
        <v>22.07</v>
      </c>
      <c r="K843" s="1">
        <f t="shared" si="32"/>
        <v>777.52830700000004</v>
      </c>
      <c r="L843" s="1">
        <f t="shared" si="33"/>
        <v>2745.4816930000002</v>
      </c>
    </row>
    <row r="844" spans="1:12" x14ac:dyDescent="0.35">
      <c r="A844" s="1">
        <v>1842</v>
      </c>
      <c r="B844" s="2">
        <v>45356</v>
      </c>
      <c r="C844" s="1" t="s">
        <v>26</v>
      </c>
      <c r="D844" s="1" t="s">
        <v>44</v>
      </c>
      <c r="E844" s="1" t="s">
        <v>16</v>
      </c>
      <c r="F844" s="1">
        <v>107.9</v>
      </c>
      <c r="G844" s="1" t="s">
        <v>281</v>
      </c>
      <c r="H844" s="2">
        <v>37927</v>
      </c>
      <c r="I844" s="2">
        <v>45370</v>
      </c>
      <c r="J844" s="1">
        <v>13.2</v>
      </c>
      <c r="K844" s="1">
        <f t="shared" si="32"/>
        <v>14.242800000000001</v>
      </c>
      <c r="L844" s="1">
        <f t="shared" si="33"/>
        <v>93.657200000000003</v>
      </c>
    </row>
    <row r="845" spans="1:12" x14ac:dyDescent="0.35">
      <c r="A845" s="1">
        <v>1843</v>
      </c>
      <c r="B845" s="2">
        <v>44543</v>
      </c>
      <c r="C845" s="1" t="s">
        <v>21</v>
      </c>
      <c r="D845" s="1" t="s">
        <v>53</v>
      </c>
      <c r="E845" s="1" t="s">
        <v>28</v>
      </c>
      <c r="F845" s="1">
        <v>1622.49</v>
      </c>
      <c r="G845" s="1" t="s">
        <v>195</v>
      </c>
      <c r="H845" s="2">
        <v>28065</v>
      </c>
      <c r="I845" s="2">
        <v>44547</v>
      </c>
      <c r="J845" s="1">
        <v>3.71</v>
      </c>
      <c r="K845" s="1">
        <f t="shared" si="32"/>
        <v>60.194379000000005</v>
      </c>
      <c r="L845" s="1">
        <f t="shared" si="33"/>
        <v>1562.295621</v>
      </c>
    </row>
    <row r="846" spans="1:12" x14ac:dyDescent="0.35">
      <c r="A846" s="1">
        <v>1844</v>
      </c>
      <c r="B846" s="2">
        <v>44966</v>
      </c>
      <c r="C846" s="1" t="s">
        <v>14</v>
      </c>
      <c r="D846" s="1" t="s">
        <v>38</v>
      </c>
      <c r="E846" s="1" t="s">
        <v>28</v>
      </c>
      <c r="F846" s="1">
        <v>2212.08</v>
      </c>
      <c r="G846" s="1" t="s">
        <v>97</v>
      </c>
      <c r="H846" s="2">
        <v>24706</v>
      </c>
      <c r="I846" s="2">
        <v>44970</v>
      </c>
      <c r="J846" s="1">
        <v>27.15</v>
      </c>
      <c r="K846" s="1">
        <f t="shared" si="32"/>
        <v>600.57971999999995</v>
      </c>
      <c r="L846" s="1">
        <f t="shared" si="33"/>
        <v>1611.50028</v>
      </c>
    </row>
    <row r="847" spans="1:12" x14ac:dyDescent="0.35">
      <c r="A847" s="1">
        <v>1845</v>
      </c>
      <c r="B847" s="2">
        <v>45409</v>
      </c>
      <c r="C847" s="1" t="s">
        <v>14</v>
      </c>
      <c r="D847" s="1" t="s">
        <v>22</v>
      </c>
      <c r="E847" s="1" t="s">
        <v>19</v>
      </c>
      <c r="F847" s="1">
        <v>3809.6</v>
      </c>
      <c r="G847" s="1" t="s">
        <v>261</v>
      </c>
      <c r="H847" s="2">
        <v>23920</v>
      </c>
      <c r="I847" s="2">
        <v>45414</v>
      </c>
      <c r="J847" s="1">
        <v>1.83</v>
      </c>
      <c r="K847" s="1">
        <f t="shared" si="32"/>
        <v>69.715680000000006</v>
      </c>
      <c r="L847" s="1">
        <f t="shared" si="33"/>
        <v>3739.8843200000001</v>
      </c>
    </row>
    <row r="848" spans="1:12" x14ac:dyDescent="0.35">
      <c r="A848" s="1">
        <v>1846</v>
      </c>
      <c r="B848" s="2">
        <v>44952</v>
      </c>
      <c r="C848" s="1" t="s">
        <v>10</v>
      </c>
      <c r="D848" s="1" t="s">
        <v>30</v>
      </c>
      <c r="E848" s="1" t="s">
        <v>31</v>
      </c>
      <c r="F848" s="1">
        <v>3256.35</v>
      </c>
      <c r="G848" s="1" t="s">
        <v>249</v>
      </c>
      <c r="H848" s="2">
        <v>28555</v>
      </c>
      <c r="I848" s="2">
        <v>44958</v>
      </c>
      <c r="J848" s="1">
        <v>24.45</v>
      </c>
      <c r="K848" s="1">
        <f t="shared" si="32"/>
        <v>796.17757499999993</v>
      </c>
      <c r="L848" s="1">
        <f t="shared" si="33"/>
        <v>2460.1724249999997</v>
      </c>
    </row>
    <row r="849" spans="1:12" x14ac:dyDescent="0.35">
      <c r="A849" s="1">
        <v>1847</v>
      </c>
      <c r="B849" s="2">
        <v>44849</v>
      </c>
      <c r="C849" s="1" t="s">
        <v>21</v>
      </c>
      <c r="D849" s="1" t="s">
        <v>33</v>
      </c>
      <c r="E849" s="1" t="s">
        <v>16</v>
      </c>
      <c r="F849" s="1">
        <v>2688.59</v>
      </c>
      <c r="G849" s="1" t="s">
        <v>158</v>
      </c>
      <c r="H849" s="2">
        <v>34871</v>
      </c>
      <c r="I849" s="2">
        <v>44861</v>
      </c>
      <c r="J849" s="1">
        <v>38.090000000000003</v>
      </c>
      <c r="K849" s="1">
        <f t="shared" si="32"/>
        <v>1024.0839310000001</v>
      </c>
      <c r="L849" s="1">
        <f t="shared" si="33"/>
        <v>1664.506069</v>
      </c>
    </row>
    <row r="850" spans="1:12" x14ac:dyDescent="0.35">
      <c r="A850" s="1">
        <v>1848</v>
      </c>
      <c r="B850" s="2">
        <v>44156</v>
      </c>
      <c r="C850" s="1" t="s">
        <v>21</v>
      </c>
      <c r="D850" s="1" t="s">
        <v>18</v>
      </c>
      <c r="E850" s="1" t="s">
        <v>19</v>
      </c>
      <c r="F850" s="1">
        <v>3719.38</v>
      </c>
      <c r="G850" s="1" t="s">
        <v>264</v>
      </c>
      <c r="H850" s="2">
        <v>30232</v>
      </c>
      <c r="I850" s="2">
        <v>44169</v>
      </c>
      <c r="J850" s="1">
        <v>11</v>
      </c>
      <c r="K850" s="1">
        <f t="shared" si="32"/>
        <v>409.1318</v>
      </c>
      <c r="L850" s="1">
        <f t="shared" si="33"/>
        <v>3310.2482</v>
      </c>
    </row>
    <row r="851" spans="1:12" x14ac:dyDescent="0.35">
      <c r="A851" s="1">
        <v>1849</v>
      </c>
      <c r="B851" s="2">
        <v>45543</v>
      </c>
      <c r="C851" s="1" t="s">
        <v>26</v>
      </c>
      <c r="D851" s="1" t="s">
        <v>38</v>
      </c>
      <c r="E851" s="1" t="s">
        <v>28</v>
      </c>
      <c r="F851" s="1">
        <v>3753.68</v>
      </c>
      <c r="G851" s="1" t="s">
        <v>29</v>
      </c>
      <c r="H851" s="2">
        <v>24033</v>
      </c>
      <c r="I851" s="2">
        <v>45548</v>
      </c>
      <c r="J851" s="1">
        <v>4.47</v>
      </c>
      <c r="K851" s="1">
        <f t="shared" si="32"/>
        <v>167.78949599999999</v>
      </c>
      <c r="L851" s="1">
        <f t="shared" si="33"/>
        <v>3585.890504</v>
      </c>
    </row>
    <row r="852" spans="1:12" x14ac:dyDescent="0.35">
      <c r="A852" s="1">
        <v>1850</v>
      </c>
      <c r="B852" s="2">
        <v>44377</v>
      </c>
      <c r="C852" s="1" t="s">
        <v>10</v>
      </c>
      <c r="D852" s="1" t="s">
        <v>58</v>
      </c>
      <c r="E852" s="1" t="s">
        <v>31</v>
      </c>
      <c r="F852" s="1">
        <v>2546.6</v>
      </c>
      <c r="G852" s="1" t="s">
        <v>79</v>
      </c>
      <c r="H852" s="2">
        <v>28675</v>
      </c>
      <c r="I852" s="2">
        <v>44389</v>
      </c>
      <c r="J852" s="1">
        <v>20</v>
      </c>
      <c r="K852" s="1">
        <f t="shared" si="32"/>
        <v>509.32</v>
      </c>
      <c r="L852" s="1">
        <f t="shared" si="33"/>
        <v>2037.28</v>
      </c>
    </row>
    <row r="853" spans="1:12" x14ac:dyDescent="0.35">
      <c r="A853" s="1">
        <v>1851</v>
      </c>
      <c r="B853" s="2">
        <v>44300</v>
      </c>
      <c r="C853" s="1" t="s">
        <v>10</v>
      </c>
      <c r="D853" s="1" t="s">
        <v>27</v>
      </c>
      <c r="E853" s="1" t="s">
        <v>28</v>
      </c>
      <c r="F853" s="1">
        <v>2154.15</v>
      </c>
      <c r="G853" s="1" t="s">
        <v>115</v>
      </c>
      <c r="H853" s="2">
        <v>29486</v>
      </c>
      <c r="I853" s="2">
        <v>44302</v>
      </c>
      <c r="J853" s="1">
        <v>29.73</v>
      </c>
      <c r="K853" s="1">
        <f t="shared" si="32"/>
        <v>640.42879500000004</v>
      </c>
      <c r="L853" s="1">
        <f t="shared" si="33"/>
        <v>1513.7212050000001</v>
      </c>
    </row>
    <row r="854" spans="1:12" x14ac:dyDescent="0.35">
      <c r="A854" s="1">
        <v>1852</v>
      </c>
      <c r="B854" s="2">
        <v>45095</v>
      </c>
      <c r="C854" s="1" t="s">
        <v>26</v>
      </c>
      <c r="D854" s="1" t="s">
        <v>55</v>
      </c>
      <c r="E854" s="1" t="s">
        <v>31</v>
      </c>
      <c r="F854" s="1">
        <v>2704.11</v>
      </c>
      <c r="G854" s="1" t="s">
        <v>318</v>
      </c>
      <c r="H854" s="2">
        <v>29040</v>
      </c>
      <c r="I854" s="2">
        <v>45105</v>
      </c>
      <c r="J854" s="1">
        <v>47.58</v>
      </c>
      <c r="K854" s="1">
        <f t="shared" si="32"/>
        <v>1286.615538</v>
      </c>
      <c r="L854" s="1">
        <f t="shared" si="33"/>
        <v>1417.4944620000001</v>
      </c>
    </row>
    <row r="855" spans="1:12" x14ac:dyDescent="0.35">
      <c r="A855" s="1">
        <v>1853</v>
      </c>
      <c r="B855" s="2">
        <v>45761</v>
      </c>
      <c r="C855" s="1" t="s">
        <v>26</v>
      </c>
      <c r="D855" s="1" t="s">
        <v>44</v>
      </c>
      <c r="E855" s="1" t="s">
        <v>16</v>
      </c>
      <c r="F855" s="1">
        <v>4847.57</v>
      </c>
      <c r="G855" s="1" t="s">
        <v>129</v>
      </c>
      <c r="H855" s="2">
        <v>26668</v>
      </c>
      <c r="I855" s="2">
        <v>45774</v>
      </c>
      <c r="J855" s="1">
        <v>20.95</v>
      </c>
      <c r="K855" s="1">
        <f t="shared" si="32"/>
        <v>1015.5659149999999</v>
      </c>
      <c r="L855" s="1">
        <f t="shared" si="33"/>
        <v>3832.0040849999996</v>
      </c>
    </row>
    <row r="856" spans="1:12" x14ac:dyDescent="0.35">
      <c r="A856" s="1">
        <v>1854</v>
      </c>
      <c r="B856" s="2">
        <v>44775</v>
      </c>
      <c r="C856" s="1" t="s">
        <v>14</v>
      </c>
      <c r="D856" s="1" t="s">
        <v>102</v>
      </c>
      <c r="E856" s="1" t="s">
        <v>12</v>
      </c>
      <c r="F856" s="1">
        <v>1515.6</v>
      </c>
      <c r="G856" s="1" t="s">
        <v>288</v>
      </c>
      <c r="H856" s="2">
        <v>29810</v>
      </c>
      <c r="I856" s="2">
        <v>44776</v>
      </c>
      <c r="J856" s="1">
        <v>41.79</v>
      </c>
      <c r="K856" s="1">
        <f t="shared" si="32"/>
        <v>633.36923999999999</v>
      </c>
      <c r="L856" s="1">
        <f t="shared" si="33"/>
        <v>882.23075999999992</v>
      </c>
    </row>
    <row r="857" spans="1:12" x14ac:dyDescent="0.35">
      <c r="A857" s="1">
        <v>1855</v>
      </c>
      <c r="B857" s="2">
        <v>45325</v>
      </c>
      <c r="C857" s="1" t="s">
        <v>21</v>
      </c>
      <c r="D857" s="1" t="s">
        <v>40</v>
      </c>
      <c r="E857" s="1" t="s">
        <v>16</v>
      </c>
      <c r="F857" s="1">
        <v>3383.21</v>
      </c>
      <c r="G857" s="1" t="s">
        <v>90</v>
      </c>
      <c r="H857" s="2">
        <v>29348</v>
      </c>
      <c r="I857" s="2">
        <v>45339</v>
      </c>
      <c r="J857" s="1">
        <v>0.5</v>
      </c>
      <c r="K857" s="1">
        <f t="shared" si="32"/>
        <v>16.916050000000002</v>
      </c>
      <c r="L857" s="1">
        <f t="shared" si="33"/>
        <v>3366.2939500000002</v>
      </c>
    </row>
    <row r="858" spans="1:12" x14ac:dyDescent="0.35">
      <c r="A858" s="1">
        <v>1856</v>
      </c>
      <c r="B858" s="2">
        <v>45470</v>
      </c>
      <c r="C858" s="1" t="s">
        <v>21</v>
      </c>
      <c r="D858" s="1" t="s">
        <v>102</v>
      </c>
      <c r="E858" s="1" t="s">
        <v>12</v>
      </c>
      <c r="F858" s="1">
        <v>2564.0300000000002</v>
      </c>
      <c r="G858" s="1" t="s">
        <v>151</v>
      </c>
      <c r="H858" s="2">
        <v>34427</v>
      </c>
      <c r="I858" s="2">
        <v>45472</v>
      </c>
      <c r="J858" s="1">
        <v>18.93</v>
      </c>
      <c r="K858" s="1">
        <f t="shared" si="32"/>
        <v>485.370879</v>
      </c>
      <c r="L858" s="1">
        <f t="shared" si="33"/>
        <v>2078.6591210000001</v>
      </c>
    </row>
    <row r="859" spans="1:12" x14ac:dyDescent="0.35">
      <c r="A859" s="1">
        <v>1857</v>
      </c>
      <c r="B859" s="2">
        <v>44287</v>
      </c>
      <c r="C859" s="1" t="s">
        <v>35</v>
      </c>
      <c r="D859" s="1" t="s">
        <v>36</v>
      </c>
      <c r="E859" s="1" t="s">
        <v>28</v>
      </c>
      <c r="F859" s="1">
        <v>1906.35</v>
      </c>
      <c r="G859" s="1" t="s">
        <v>293</v>
      </c>
      <c r="H859" s="2">
        <v>26379</v>
      </c>
      <c r="I859" s="2">
        <v>44299</v>
      </c>
      <c r="J859" s="1">
        <v>49.06</v>
      </c>
      <c r="K859" s="1">
        <f t="shared" si="32"/>
        <v>935.25531000000001</v>
      </c>
      <c r="L859" s="1">
        <f t="shared" si="33"/>
        <v>971.0946899999999</v>
      </c>
    </row>
    <row r="860" spans="1:12" x14ac:dyDescent="0.35">
      <c r="A860" s="1">
        <v>1858</v>
      </c>
      <c r="B860" s="2">
        <v>44074</v>
      </c>
      <c r="C860" s="1" t="s">
        <v>26</v>
      </c>
      <c r="D860" s="1" t="s">
        <v>47</v>
      </c>
      <c r="E860" s="1" t="s">
        <v>12</v>
      </c>
      <c r="F860" s="1">
        <v>1614.92</v>
      </c>
      <c r="G860" s="1" t="s">
        <v>307</v>
      </c>
      <c r="H860" s="2">
        <v>30321</v>
      </c>
      <c r="I860" s="2">
        <v>44087</v>
      </c>
      <c r="J860" s="1">
        <v>30.95</v>
      </c>
      <c r="K860" s="1">
        <f t="shared" si="32"/>
        <v>499.81774000000001</v>
      </c>
      <c r="L860" s="1">
        <f t="shared" si="33"/>
        <v>1115.1022600000001</v>
      </c>
    </row>
    <row r="861" spans="1:12" x14ac:dyDescent="0.35">
      <c r="A861" s="1">
        <v>1859</v>
      </c>
      <c r="B861" s="2">
        <v>45255</v>
      </c>
      <c r="C861" s="1" t="s">
        <v>21</v>
      </c>
      <c r="D861" s="1" t="s">
        <v>30</v>
      </c>
      <c r="E861" s="1" t="s">
        <v>31</v>
      </c>
      <c r="F861" s="1">
        <v>3361.27</v>
      </c>
      <c r="G861" s="1" t="s">
        <v>152</v>
      </c>
      <c r="H861" s="2">
        <v>24792</v>
      </c>
      <c r="I861" s="2">
        <v>45261</v>
      </c>
      <c r="J861" s="1">
        <v>19.77</v>
      </c>
      <c r="K861" s="1">
        <f t="shared" si="32"/>
        <v>664.52307899999994</v>
      </c>
      <c r="L861" s="1">
        <f t="shared" si="33"/>
        <v>2696.7469209999999</v>
      </c>
    </row>
    <row r="862" spans="1:12" x14ac:dyDescent="0.35">
      <c r="A862" s="1">
        <v>1860</v>
      </c>
      <c r="B862" s="2">
        <v>44742</v>
      </c>
      <c r="C862" s="1" t="s">
        <v>10</v>
      </c>
      <c r="D862" s="1" t="s">
        <v>36</v>
      </c>
      <c r="E862" s="1" t="s">
        <v>28</v>
      </c>
      <c r="F862" s="1">
        <v>4381.4799999999996</v>
      </c>
      <c r="G862" s="1" t="s">
        <v>168</v>
      </c>
      <c r="H862" s="2">
        <v>37674</v>
      </c>
      <c r="I862" s="2">
        <v>44747</v>
      </c>
      <c r="J862" s="1">
        <v>34.39</v>
      </c>
      <c r="K862" s="1">
        <f t="shared" si="32"/>
        <v>1506.7909719999998</v>
      </c>
      <c r="L862" s="1">
        <f t="shared" si="33"/>
        <v>2874.6890279999998</v>
      </c>
    </row>
    <row r="863" spans="1:12" x14ac:dyDescent="0.35">
      <c r="A863" s="1">
        <v>1861</v>
      </c>
      <c r="B863" s="2">
        <v>45363</v>
      </c>
      <c r="C863" s="1" t="s">
        <v>10</v>
      </c>
      <c r="D863" s="1" t="s">
        <v>47</v>
      </c>
      <c r="E863" s="1" t="s">
        <v>12</v>
      </c>
      <c r="F863" s="1">
        <v>1228.29</v>
      </c>
      <c r="G863" s="1" t="s">
        <v>170</v>
      </c>
      <c r="H863" s="2">
        <v>34205</v>
      </c>
      <c r="I863" s="2">
        <v>45369</v>
      </c>
      <c r="J863" s="1">
        <v>37.17</v>
      </c>
      <c r="K863" s="1">
        <f t="shared" si="32"/>
        <v>456.55539300000004</v>
      </c>
      <c r="L863" s="1">
        <f t="shared" si="33"/>
        <v>771.73460699999987</v>
      </c>
    </row>
    <row r="864" spans="1:12" x14ac:dyDescent="0.35">
      <c r="A864" s="1">
        <v>1862</v>
      </c>
      <c r="B864" s="2">
        <v>45341</v>
      </c>
      <c r="C864" s="1" t="s">
        <v>35</v>
      </c>
      <c r="D864" s="1" t="s">
        <v>30</v>
      </c>
      <c r="E864" s="1" t="s">
        <v>31</v>
      </c>
      <c r="F864" s="1">
        <v>4132.25</v>
      </c>
      <c r="G864" s="1" t="s">
        <v>259</v>
      </c>
      <c r="H864" s="2">
        <v>29938</v>
      </c>
      <c r="I864" s="2">
        <v>45351</v>
      </c>
      <c r="J864" s="1">
        <v>5.89</v>
      </c>
      <c r="K864" s="1">
        <f t="shared" si="32"/>
        <v>243.38952499999996</v>
      </c>
      <c r="L864" s="1">
        <f t="shared" si="33"/>
        <v>3888.860475</v>
      </c>
    </row>
    <row r="865" spans="1:12" x14ac:dyDescent="0.35">
      <c r="A865" s="1">
        <v>1863</v>
      </c>
      <c r="B865" s="2">
        <v>45165</v>
      </c>
      <c r="C865" s="1" t="s">
        <v>21</v>
      </c>
      <c r="D865" s="1" t="s">
        <v>24</v>
      </c>
      <c r="E865" s="1" t="s">
        <v>19</v>
      </c>
      <c r="F865" s="1">
        <v>2580.6</v>
      </c>
      <c r="G865" s="1" t="s">
        <v>122</v>
      </c>
      <c r="H865" s="2">
        <v>29720</v>
      </c>
      <c r="I865" s="2">
        <v>45166</v>
      </c>
      <c r="J865" s="1">
        <v>43.12</v>
      </c>
      <c r="K865" s="1">
        <f t="shared" si="32"/>
        <v>1112.7547199999999</v>
      </c>
      <c r="L865" s="1">
        <f t="shared" si="33"/>
        <v>1467.84528</v>
      </c>
    </row>
    <row r="866" spans="1:12" x14ac:dyDescent="0.35">
      <c r="A866" s="1">
        <v>1864</v>
      </c>
      <c r="B866" s="2">
        <v>44130</v>
      </c>
      <c r="C866" s="1" t="s">
        <v>35</v>
      </c>
      <c r="D866" s="1" t="s">
        <v>71</v>
      </c>
      <c r="E866" s="1" t="s">
        <v>31</v>
      </c>
      <c r="F866" s="1">
        <v>3797.46</v>
      </c>
      <c r="G866" s="1" t="s">
        <v>39</v>
      </c>
      <c r="H866" s="2">
        <v>26282</v>
      </c>
      <c r="I866" s="2">
        <v>44133</v>
      </c>
      <c r="J866" s="1">
        <v>12.07</v>
      </c>
      <c r="K866" s="1">
        <f t="shared" si="32"/>
        <v>458.35342200000002</v>
      </c>
      <c r="L866" s="1">
        <f t="shared" si="33"/>
        <v>3339.1065779999999</v>
      </c>
    </row>
    <row r="867" spans="1:12" x14ac:dyDescent="0.35">
      <c r="A867" s="1">
        <v>1865</v>
      </c>
      <c r="B867" s="2">
        <v>44388</v>
      </c>
      <c r="C867" s="1" t="s">
        <v>26</v>
      </c>
      <c r="D867" s="1" t="s">
        <v>18</v>
      </c>
      <c r="E867" s="1" t="s">
        <v>19</v>
      </c>
      <c r="F867" s="1">
        <v>4549.6400000000003</v>
      </c>
      <c r="G867" s="1" t="s">
        <v>179</v>
      </c>
      <c r="H867" s="2">
        <v>30356</v>
      </c>
      <c r="I867" s="2">
        <v>44401</v>
      </c>
      <c r="J867" s="1">
        <v>10.16</v>
      </c>
      <c r="K867" s="1">
        <f t="shared" si="32"/>
        <v>462.243424</v>
      </c>
      <c r="L867" s="1">
        <f t="shared" si="33"/>
        <v>4087.3965760000001</v>
      </c>
    </row>
    <row r="868" spans="1:12" x14ac:dyDescent="0.35">
      <c r="A868" s="1">
        <v>1866</v>
      </c>
      <c r="B868" s="2">
        <v>45399</v>
      </c>
      <c r="C868" s="1" t="s">
        <v>10</v>
      </c>
      <c r="D868" s="1" t="s">
        <v>61</v>
      </c>
      <c r="E868" s="1" t="s">
        <v>19</v>
      </c>
      <c r="F868" s="1">
        <v>1168.96</v>
      </c>
      <c r="G868" s="1" t="s">
        <v>209</v>
      </c>
      <c r="H868" s="2">
        <v>28522</v>
      </c>
      <c r="I868" s="2">
        <v>45401</v>
      </c>
      <c r="J868" s="1">
        <v>28.15</v>
      </c>
      <c r="K868" s="1">
        <f t="shared" si="32"/>
        <v>329.06223999999997</v>
      </c>
      <c r="L868" s="1">
        <f t="shared" si="33"/>
        <v>839.89776000000006</v>
      </c>
    </row>
    <row r="869" spans="1:12" x14ac:dyDescent="0.35">
      <c r="A869" s="1">
        <v>1867</v>
      </c>
      <c r="B869" s="2">
        <v>44281</v>
      </c>
      <c r="C869" s="1" t="s">
        <v>26</v>
      </c>
      <c r="D869" s="1" t="s">
        <v>15</v>
      </c>
      <c r="E869" s="1" t="s">
        <v>16</v>
      </c>
      <c r="F869" s="1">
        <v>1671.07</v>
      </c>
      <c r="G869" s="1" t="s">
        <v>256</v>
      </c>
      <c r="H869" s="2">
        <v>34537</v>
      </c>
      <c r="I869" s="2">
        <v>44282</v>
      </c>
      <c r="J869" s="1">
        <v>24.73</v>
      </c>
      <c r="K869" s="1">
        <f t="shared" si="32"/>
        <v>413.25561099999999</v>
      </c>
      <c r="L869" s="1">
        <f t="shared" si="33"/>
        <v>1257.8143889999999</v>
      </c>
    </row>
    <row r="870" spans="1:12" x14ac:dyDescent="0.35">
      <c r="A870" s="1">
        <v>1868</v>
      </c>
      <c r="B870" s="2">
        <v>44618</v>
      </c>
      <c r="C870" s="1" t="s">
        <v>26</v>
      </c>
      <c r="D870" s="1" t="s">
        <v>40</v>
      </c>
      <c r="E870" s="1" t="s">
        <v>16</v>
      </c>
      <c r="F870" s="1">
        <v>937.21</v>
      </c>
      <c r="G870" s="1" t="s">
        <v>308</v>
      </c>
      <c r="H870" s="2">
        <v>35336</v>
      </c>
      <c r="I870" s="2">
        <v>44625</v>
      </c>
      <c r="J870" s="1">
        <v>17.100000000000001</v>
      </c>
      <c r="K870" s="1">
        <f t="shared" si="32"/>
        <v>160.26291000000001</v>
      </c>
      <c r="L870" s="1">
        <f t="shared" si="33"/>
        <v>776.94709</v>
      </c>
    </row>
    <row r="871" spans="1:12" x14ac:dyDescent="0.35">
      <c r="A871" s="1">
        <v>1869</v>
      </c>
      <c r="B871" s="2">
        <v>44481</v>
      </c>
      <c r="C871" s="1" t="s">
        <v>21</v>
      </c>
      <c r="D871" s="1" t="s">
        <v>18</v>
      </c>
      <c r="E871" s="1" t="s">
        <v>19</v>
      </c>
      <c r="F871" s="1">
        <v>2759.07</v>
      </c>
      <c r="G871" s="1" t="s">
        <v>48</v>
      </c>
      <c r="H871" s="2">
        <v>22315</v>
      </c>
      <c r="I871" s="2">
        <v>44487</v>
      </c>
      <c r="J871" s="1">
        <v>3.82</v>
      </c>
      <c r="K871" s="1">
        <f t="shared" si="32"/>
        <v>105.396474</v>
      </c>
      <c r="L871" s="1">
        <f t="shared" si="33"/>
        <v>2653.673526</v>
      </c>
    </row>
    <row r="872" spans="1:12" x14ac:dyDescent="0.35">
      <c r="A872" s="1">
        <v>1870</v>
      </c>
      <c r="B872" s="2">
        <v>44294</v>
      </c>
      <c r="C872" s="1" t="s">
        <v>35</v>
      </c>
      <c r="D872" s="1" t="s">
        <v>40</v>
      </c>
      <c r="E872" s="1" t="s">
        <v>16</v>
      </c>
      <c r="F872" s="1">
        <v>107.06</v>
      </c>
      <c r="G872" s="1" t="s">
        <v>99</v>
      </c>
      <c r="H872" s="2">
        <v>26397</v>
      </c>
      <c r="I872" s="2">
        <v>44308</v>
      </c>
      <c r="J872" s="1">
        <v>7.95</v>
      </c>
      <c r="K872" s="1">
        <f t="shared" si="32"/>
        <v>8.5112699999999997</v>
      </c>
      <c r="L872" s="1">
        <f t="shared" si="33"/>
        <v>98.548730000000006</v>
      </c>
    </row>
    <row r="873" spans="1:12" x14ac:dyDescent="0.35">
      <c r="A873" s="1">
        <v>1871</v>
      </c>
      <c r="B873" s="2">
        <v>44943</v>
      </c>
      <c r="C873" s="1" t="s">
        <v>21</v>
      </c>
      <c r="D873" s="1" t="s">
        <v>24</v>
      </c>
      <c r="E873" s="1" t="s">
        <v>19</v>
      </c>
      <c r="F873" s="1">
        <v>1991.2</v>
      </c>
      <c r="G873" s="1" t="s">
        <v>151</v>
      </c>
      <c r="H873" s="2">
        <v>34427</v>
      </c>
      <c r="I873" s="2">
        <v>44955</v>
      </c>
      <c r="J873" s="1">
        <v>36.869999999999997</v>
      </c>
      <c r="K873" s="1">
        <f t="shared" si="32"/>
        <v>734.15544</v>
      </c>
      <c r="L873" s="1">
        <f t="shared" si="33"/>
        <v>1257.04456</v>
      </c>
    </row>
    <row r="874" spans="1:12" x14ac:dyDescent="0.35">
      <c r="A874" s="1">
        <v>1872</v>
      </c>
      <c r="B874" s="2">
        <v>45225</v>
      </c>
      <c r="C874" s="1" t="s">
        <v>26</v>
      </c>
      <c r="D874" s="1" t="s">
        <v>27</v>
      </c>
      <c r="E874" s="1" t="s">
        <v>28</v>
      </c>
      <c r="F874" s="1">
        <v>4245.3900000000003</v>
      </c>
      <c r="G874" s="1" t="s">
        <v>17</v>
      </c>
      <c r="H874" s="2">
        <v>26484</v>
      </c>
      <c r="I874" s="2">
        <v>45239</v>
      </c>
      <c r="J874" s="1">
        <v>43.28</v>
      </c>
      <c r="K874" s="1">
        <f t="shared" si="32"/>
        <v>1837.4047920000003</v>
      </c>
      <c r="L874" s="1">
        <f t="shared" si="33"/>
        <v>2407.9852080000001</v>
      </c>
    </row>
    <row r="875" spans="1:12" x14ac:dyDescent="0.35">
      <c r="A875" s="1">
        <v>1873</v>
      </c>
      <c r="B875" s="2">
        <v>44844</v>
      </c>
      <c r="C875" s="1" t="s">
        <v>10</v>
      </c>
      <c r="D875" s="1" t="s">
        <v>47</v>
      </c>
      <c r="E875" s="1" t="s">
        <v>12</v>
      </c>
      <c r="F875" s="1">
        <v>824.63</v>
      </c>
      <c r="G875" s="1" t="s">
        <v>302</v>
      </c>
      <c r="H875" s="2">
        <v>32940</v>
      </c>
      <c r="I875" s="2">
        <v>44857</v>
      </c>
      <c r="J875" s="1">
        <v>18.21</v>
      </c>
      <c r="K875" s="1">
        <f t="shared" si="32"/>
        <v>150.16512300000002</v>
      </c>
      <c r="L875" s="1">
        <f t="shared" si="33"/>
        <v>674.464877</v>
      </c>
    </row>
    <row r="876" spans="1:12" x14ac:dyDescent="0.35">
      <c r="A876" s="1">
        <v>1874</v>
      </c>
      <c r="B876" s="2">
        <v>45511</v>
      </c>
      <c r="C876" s="1" t="s">
        <v>10</v>
      </c>
      <c r="D876" s="1" t="s">
        <v>27</v>
      </c>
      <c r="E876" s="1" t="s">
        <v>28</v>
      </c>
      <c r="F876" s="1">
        <v>3686.64</v>
      </c>
      <c r="G876" s="1" t="s">
        <v>128</v>
      </c>
      <c r="H876" s="2">
        <v>37961</v>
      </c>
      <c r="I876" s="2">
        <v>45515</v>
      </c>
      <c r="J876" s="1">
        <v>29.45</v>
      </c>
      <c r="K876" s="1">
        <f t="shared" si="32"/>
        <v>1085.7154799999998</v>
      </c>
      <c r="L876" s="1">
        <f t="shared" si="33"/>
        <v>2600.92452</v>
      </c>
    </row>
    <row r="877" spans="1:12" x14ac:dyDescent="0.35">
      <c r="A877" s="1">
        <v>1875</v>
      </c>
      <c r="B877" s="2">
        <v>44441</v>
      </c>
      <c r="C877" s="1" t="s">
        <v>35</v>
      </c>
      <c r="D877" s="1" t="s">
        <v>88</v>
      </c>
      <c r="E877" s="1" t="s">
        <v>16</v>
      </c>
      <c r="F877" s="1">
        <v>4552.8100000000004</v>
      </c>
      <c r="G877" s="1" t="s">
        <v>242</v>
      </c>
      <c r="H877" s="2">
        <v>21785</v>
      </c>
      <c r="I877" s="2">
        <v>44447</v>
      </c>
      <c r="J877" s="1">
        <v>24.52</v>
      </c>
      <c r="K877" s="1">
        <f t="shared" si="32"/>
        <v>1116.3490120000001</v>
      </c>
      <c r="L877" s="1">
        <f t="shared" si="33"/>
        <v>3436.4609880000003</v>
      </c>
    </row>
    <row r="878" spans="1:12" x14ac:dyDescent="0.35">
      <c r="A878" s="1">
        <v>1876</v>
      </c>
      <c r="B878" s="2">
        <v>44153</v>
      </c>
      <c r="C878" s="1" t="s">
        <v>14</v>
      </c>
      <c r="D878" s="1" t="s">
        <v>69</v>
      </c>
      <c r="E878" s="1" t="s">
        <v>12</v>
      </c>
      <c r="F878" s="1">
        <v>4191.99</v>
      </c>
      <c r="G878" s="1" t="s">
        <v>41</v>
      </c>
      <c r="H878" s="2">
        <v>35818</v>
      </c>
      <c r="I878" s="2">
        <v>44157</v>
      </c>
      <c r="J878" s="1">
        <v>49.69</v>
      </c>
      <c r="K878" s="1">
        <f t="shared" si="32"/>
        <v>2082.9998309999996</v>
      </c>
      <c r="L878" s="1">
        <f t="shared" si="33"/>
        <v>2108.9901690000002</v>
      </c>
    </row>
    <row r="879" spans="1:12" x14ac:dyDescent="0.35">
      <c r="A879" s="1">
        <v>1877</v>
      </c>
      <c r="B879" s="2">
        <v>45420</v>
      </c>
      <c r="C879" s="1" t="s">
        <v>21</v>
      </c>
      <c r="D879" s="1" t="s">
        <v>55</v>
      </c>
      <c r="E879" s="1" t="s">
        <v>31</v>
      </c>
      <c r="F879" s="1">
        <v>2333.7399999999998</v>
      </c>
      <c r="G879" s="1" t="s">
        <v>275</v>
      </c>
      <c r="H879" s="2">
        <v>38510</v>
      </c>
      <c r="I879" s="2">
        <v>45423</v>
      </c>
      <c r="J879" s="1">
        <v>19</v>
      </c>
      <c r="K879" s="1">
        <f t="shared" si="32"/>
        <v>443.41059999999999</v>
      </c>
      <c r="L879" s="1">
        <f t="shared" si="33"/>
        <v>1890.3293999999999</v>
      </c>
    </row>
    <row r="880" spans="1:12" x14ac:dyDescent="0.35">
      <c r="A880" s="1">
        <v>1878</v>
      </c>
      <c r="B880" s="2">
        <v>45672</v>
      </c>
      <c r="C880" s="1" t="s">
        <v>21</v>
      </c>
      <c r="D880" s="1" t="s">
        <v>58</v>
      </c>
      <c r="E880" s="1" t="s">
        <v>31</v>
      </c>
      <c r="F880" s="1">
        <v>2214.59</v>
      </c>
      <c r="G880" s="1" t="s">
        <v>246</v>
      </c>
      <c r="H880" s="2">
        <v>25815</v>
      </c>
      <c r="I880" s="2">
        <v>45680</v>
      </c>
      <c r="J880" s="1">
        <v>35.99</v>
      </c>
      <c r="K880" s="1">
        <f t="shared" si="32"/>
        <v>797.0309410000001</v>
      </c>
      <c r="L880" s="1">
        <f t="shared" si="33"/>
        <v>1417.5590590000002</v>
      </c>
    </row>
    <row r="881" spans="1:12" x14ac:dyDescent="0.35">
      <c r="A881" s="1">
        <v>1879</v>
      </c>
      <c r="B881" s="2">
        <v>45408</v>
      </c>
      <c r="C881" s="1" t="s">
        <v>35</v>
      </c>
      <c r="D881" s="1" t="s">
        <v>61</v>
      </c>
      <c r="E881" s="1" t="s">
        <v>19</v>
      </c>
      <c r="F881" s="1">
        <v>4760.96</v>
      </c>
      <c r="G881" s="1" t="s">
        <v>302</v>
      </c>
      <c r="H881" s="2">
        <v>32940</v>
      </c>
      <c r="I881" s="2">
        <v>45419</v>
      </c>
      <c r="J881" s="1">
        <v>35.76</v>
      </c>
      <c r="K881" s="1">
        <f t="shared" si="32"/>
        <v>1702.5192959999999</v>
      </c>
      <c r="L881" s="1">
        <f t="shared" si="33"/>
        <v>3058.4407040000001</v>
      </c>
    </row>
    <row r="882" spans="1:12" x14ac:dyDescent="0.35">
      <c r="A882" s="1">
        <v>1880</v>
      </c>
      <c r="B882" s="2">
        <v>45566</v>
      </c>
      <c r="C882" s="1" t="s">
        <v>10</v>
      </c>
      <c r="D882" s="1" t="s">
        <v>102</v>
      </c>
      <c r="E882" s="1" t="s">
        <v>12</v>
      </c>
      <c r="F882" s="1">
        <v>3235.85</v>
      </c>
      <c r="G882" s="1" t="s">
        <v>182</v>
      </c>
      <c r="H882" s="2">
        <v>24719</v>
      </c>
      <c r="I882" s="2">
        <v>45571</v>
      </c>
      <c r="J882" s="1">
        <v>45.02</v>
      </c>
      <c r="K882" s="1">
        <f t="shared" si="32"/>
        <v>1456.7796700000001</v>
      </c>
      <c r="L882" s="1">
        <f t="shared" si="33"/>
        <v>1779.0703299999998</v>
      </c>
    </row>
    <row r="883" spans="1:12" x14ac:dyDescent="0.35">
      <c r="A883" s="1">
        <v>1881</v>
      </c>
      <c r="B883" s="2">
        <v>44299</v>
      </c>
      <c r="C883" s="1" t="s">
        <v>21</v>
      </c>
      <c r="D883" s="1" t="s">
        <v>49</v>
      </c>
      <c r="E883" s="1" t="s">
        <v>12</v>
      </c>
      <c r="F883" s="1">
        <v>126.77</v>
      </c>
      <c r="G883" s="1" t="s">
        <v>60</v>
      </c>
      <c r="H883" s="2">
        <v>33482</v>
      </c>
      <c r="I883" s="2">
        <v>44306</v>
      </c>
      <c r="J883" s="1">
        <v>22.3</v>
      </c>
      <c r="K883" s="1">
        <f t="shared" si="32"/>
        <v>28.26971</v>
      </c>
      <c r="L883" s="1">
        <f t="shared" si="33"/>
        <v>98.500289999999993</v>
      </c>
    </row>
    <row r="884" spans="1:12" x14ac:dyDescent="0.35">
      <c r="A884" s="1">
        <v>1882</v>
      </c>
      <c r="B884" s="2">
        <v>44507</v>
      </c>
      <c r="C884" s="1" t="s">
        <v>10</v>
      </c>
      <c r="D884" s="1" t="s">
        <v>30</v>
      </c>
      <c r="E884" s="1" t="s">
        <v>31</v>
      </c>
      <c r="F884" s="1">
        <v>1293.52</v>
      </c>
      <c r="G884" s="1" t="s">
        <v>227</v>
      </c>
      <c r="H884" s="2">
        <v>34932</v>
      </c>
      <c r="I884" s="2">
        <v>44508</v>
      </c>
      <c r="J884" s="1">
        <v>14.31</v>
      </c>
      <c r="K884" s="1">
        <f t="shared" si="32"/>
        <v>185.102712</v>
      </c>
      <c r="L884" s="1">
        <f t="shared" si="33"/>
        <v>1108.4172880000001</v>
      </c>
    </row>
    <row r="885" spans="1:12" x14ac:dyDescent="0.35">
      <c r="A885" s="1">
        <v>1883</v>
      </c>
      <c r="B885" s="2">
        <v>45054</v>
      </c>
      <c r="C885" s="1" t="s">
        <v>35</v>
      </c>
      <c r="D885" s="1" t="s">
        <v>49</v>
      </c>
      <c r="E885" s="1" t="s">
        <v>12</v>
      </c>
      <c r="F885" s="1">
        <v>317.56</v>
      </c>
      <c r="G885" s="1" t="s">
        <v>156</v>
      </c>
      <c r="H885" s="2">
        <v>38693</v>
      </c>
      <c r="I885" s="2">
        <v>45061</v>
      </c>
      <c r="J885" s="1">
        <v>1.25</v>
      </c>
      <c r="K885" s="1">
        <f t="shared" si="32"/>
        <v>3.9695</v>
      </c>
      <c r="L885" s="1">
        <f t="shared" si="33"/>
        <v>313.59050000000002</v>
      </c>
    </row>
    <row r="886" spans="1:12" x14ac:dyDescent="0.35">
      <c r="A886" s="1">
        <v>1884</v>
      </c>
      <c r="B886" s="2">
        <v>45504</v>
      </c>
      <c r="C886" s="1" t="s">
        <v>35</v>
      </c>
      <c r="D886" s="1" t="s">
        <v>47</v>
      </c>
      <c r="E886" s="1" t="s">
        <v>12</v>
      </c>
      <c r="F886" s="1">
        <v>2637.23</v>
      </c>
      <c r="G886" s="1" t="s">
        <v>183</v>
      </c>
      <c r="H886" s="2">
        <v>32359</v>
      </c>
      <c r="I886" s="2">
        <v>45507</v>
      </c>
      <c r="J886" s="1">
        <v>31.36</v>
      </c>
      <c r="K886" s="1">
        <f t="shared" si="32"/>
        <v>827.03532799999994</v>
      </c>
      <c r="L886" s="1">
        <f t="shared" si="33"/>
        <v>1810.1946720000001</v>
      </c>
    </row>
    <row r="887" spans="1:12" x14ac:dyDescent="0.35">
      <c r="A887" s="1">
        <v>1885</v>
      </c>
      <c r="B887" s="2">
        <v>45328</v>
      </c>
      <c r="C887" s="1" t="s">
        <v>14</v>
      </c>
      <c r="D887" s="1" t="s">
        <v>22</v>
      </c>
      <c r="E887" s="1" t="s">
        <v>19</v>
      </c>
      <c r="F887" s="1">
        <v>224.05</v>
      </c>
      <c r="G887" s="1" t="s">
        <v>313</v>
      </c>
      <c r="H887" s="2">
        <v>23039</v>
      </c>
      <c r="I887" s="2">
        <v>45331</v>
      </c>
      <c r="J887" s="1">
        <v>32.409999999999997</v>
      </c>
      <c r="K887" s="1">
        <f t="shared" si="32"/>
        <v>72.614604999999997</v>
      </c>
      <c r="L887" s="1">
        <f t="shared" si="33"/>
        <v>151.43539500000003</v>
      </c>
    </row>
    <row r="888" spans="1:12" x14ac:dyDescent="0.35">
      <c r="A888" s="1">
        <v>1886</v>
      </c>
      <c r="B888" s="2">
        <v>44555</v>
      </c>
      <c r="C888" s="1" t="s">
        <v>21</v>
      </c>
      <c r="D888" s="1" t="s">
        <v>102</v>
      </c>
      <c r="E888" s="1" t="s">
        <v>12</v>
      </c>
      <c r="F888" s="1">
        <v>4477.01</v>
      </c>
      <c r="G888" s="1" t="s">
        <v>276</v>
      </c>
      <c r="H888" s="2">
        <v>33394</v>
      </c>
      <c r="I888" s="2">
        <v>44566</v>
      </c>
      <c r="J888" s="1">
        <v>47.62</v>
      </c>
      <c r="K888" s="1">
        <f t="shared" si="32"/>
        <v>2131.952162</v>
      </c>
      <c r="L888" s="1">
        <f t="shared" si="33"/>
        <v>2345.0578380000002</v>
      </c>
    </row>
    <row r="889" spans="1:12" x14ac:dyDescent="0.35">
      <c r="A889" s="1">
        <v>1887</v>
      </c>
      <c r="B889" s="2">
        <v>44535</v>
      </c>
      <c r="C889" s="1" t="s">
        <v>14</v>
      </c>
      <c r="D889" s="1" t="s">
        <v>33</v>
      </c>
      <c r="E889" s="1" t="s">
        <v>16</v>
      </c>
      <c r="F889" s="1">
        <v>3116.12</v>
      </c>
      <c r="G889" s="1" t="s">
        <v>105</v>
      </c>
      <c r="H889" s="2">
        <v>35889</v>
      </c>
      <c r="I889" s="2">
        <v>44548</v>
      </c>
      <c r="J889" s="1">
        <v>2.15</v>
      </c>
      <c r="K889" s="1">
        <f t="shared" si="32"/>
        <v>66.996579999999994</v>
      </c>
      <c r="L889" s="1">
        <f t="shared" si="33"/>
        <v>3049.1234199999999</v>
      </c>
    </row>
    <row r="890" spans="1:12" x14ac:dyDescent="0.35">
      <c r="A890" s="1">
        <v>1888</v>
      </c>
      <c r="B890" s="2">
        <v>45855</v>
      </c>
      <c r="C890" s="1" t="s">
        <v>14</v>
      </c>
      <c r="D890" s="1" t="s">
        <v>36</v>
      </c>
      <c r="E890" s="1" t="s">
        <v>28</v>
      </c>
      <c r="F890" s="1">
        <v>2568.29</v>
      </c>
      <c r="G890" s="1" t="s">
        <v>92</v>
      </c>
      <c r="H890" s="2">
        <v>24544</v>
      </c>
      <c r="I890" s="2">
        <v>45856</v>
      </c>
      <c r="J890" s="1">
        <v>45.28</v>
      </c>
      <c r="K890" s="1">
        <f t="shared" si="32"/>
        <v>1162.9217120000001</v>
      </c>
      <c r="L890" s="1">
        <f t="shared" si="33"/>
        <v>1405.3682879999999</v>
      </c>
    </row>
    <row r="891" spans="1:12" x14ac:dyDescent="0.35">
      <c r="A891" s="1">
        <v>1889</v>
      </c>
      <c r="B891" s="2">
        <v>45770</v>
      </c>
      <c r="C891" s="1" t="s">
        <v>26</v>
      </c>
      <c r="D891" s="1" t="s">
        <v>27</v>
      </c>
      <c r="E891" s="1" t="s">
        <v>28</v>
      </c>
      <c r="F891" s="1">
        <v>3969.72</v>
      </c>
      <c r="G891" s="1" t="s">
        <v>25</v>
      </c>
      <c r="H891" s="2">
        <v>33386</v>
      </c>
      <c r="I891" s="2">
        <v>45782</v>
      </c>
      <c r="J891" s="1">
        <v>27.89</v>
      </c>
      <c r="K891" s="1">
        <f t="shared" si="32"/>
        <v>1107.154908</v>
      </c>
      <c r="L891" s="1">
        <f t="shared" si="33"/>
        <v>2862.5650919999998</v>
      </c>
    </row>
    <row r="892" spans="1:12" x14ac:dyDescent="0.35">
      <c r="A892" s="1">
        <v>1890</v>
      </c>
      <c r="B892" s="2">
        <v>44206</v>
      </c>
      <c r="C892" s="1" t="s">
        <v>26</v>
      </c>
      <c r="D892" s="1" t="s">
        <v>61</v>
      </c>
      <c r="E892" s="1" t="s">
        <v>19</v>
      </c>
      <c r="F892" s="1">
        <v>1915.12</v>
      </c>
      <c r="G892" s="1" t="s">
        <v>138</v>
      </c>
      <c r="H892" s="2">
        <v>25948</v>
      </c>
      <c r="I892" s="2">
        <v>44209</v>
      </c>
      <c r="J892" s="1">
        <v>3.09</v>
      </c>
      <c r="K892" s="1">
        <f t="shared" si="32"/>
        <v>59.177207999999993</v>
      </c>
      <c r="L892" s="1">
        <f t="shared" si="33"/>
        <v>1855.9427919999998</v>
      </c>
    </row>
    <row r="893" spans="1:12" x14ac:dyDescent="0.35">
      <c r="A893" s="1">
        <v>1891</v>
      </c>
      <c r="B893" s="2">
        <v>44188</v>
      </c>
      <c r="C893" s="1" t="s">
        <v>35</v>
      </c>
      <c r="D893" s="1" t="s">
        <v>15</v>
      </c>
      <c r="E893" s="1" t="s">
        <v>16</v>
      </c>
      <c r="F893" s="1">
        <v>2591.71</v>
      </c>
      <c r="G893" s="1" t="s">
        <v>43</v>
      </c>
      <c r="H893" s="2">
        <v>33702</v>
      </c>
      <c r="I893" s="2">
        <v>44192</v>
      </c>
      <c r="J893" s="1">
        <v>19.28</v>
      </c>
      <c r="K893" s="1">
        <f t="shared" si="32"/>
        <v>499.68168800000001</v>
      </c>
      <c r="L893" s="1">
        <f t="shared" si="33"/>
        <v>2092.0283119999999</v>
      </c>
    </row>
    <row r="894" spans="1:12" x14ac:dyDescent="0.35">
      <c r="A894" s="1">
        <v>1892</v>
      </c>
      <c r="B894" s="2">
        <v>45271</v>
      </c>
      <c r="C894" s="1" t="s">
        <v>10</v>
      </c>
      <c r="D894" s="1" t="s">
        <v>27</v>
      </c>
      <c r="E894" s="1" t="s">
        <v>28</v>
      </c>
      <c r="F894" s="1">
        <v>1237.6600000000001</v>
      </c>
      <c r="G894" s="1" t="s">
        <v>135</v>
      </c>
      <c r="H894" s="2">
        <v>38018</v>
      </c>
      <c r="I894" s="2">
        <v>45272</v>
      </c>
      <c r="J894" s="1">
        <v>31.1</v>
      </c>
      <c r="K894" s="1">
        <f t="shared" si="32"/>
        <v>384.91226</v>
      </c>
      <c r="L894" s="1">
        <f t="shared" si="33"/>
        <v>852.74774000000002</v>
      </c>
    </row>
    <row r="895" spans="1:12" x14ac:dyDescent="0.35">
      <c r="A895" s="1">
        <v>1893</v>
      </c>
      <c r="B895" s="2">
        <v>44597</v>
      </c>
      <c r="C895" s="1" t="s">
        <v>35</v>
      </c>
      <c r="D895" s="1" t="s">
        <v>27</v>
      </c>
      <c r="E895" s="1" t="s">
        <v>28</v>
      </c>
      <c r="F895" s="1">
        <v>1953.69</v>
      </c>
      <c r="G895" s="1" t="s">
        <v>163</v>
      </c>
      <c r="H895" s="2">
        <v>30364</v>
      </c>
      <c r="I895" s="2">
        <v>44611</v>
      </c>
      <c r="J895" s="1">
        <v>32.869999999999997</v>
      </c>
      <c r="K895" s="1">
        <f t="shared" si="32"/>
        <v>642.17790300000001</v>
      </c>
      <c r="L895" s="1">
        <f t="shared" si="33"/>
        <v>1311.512097</v>
      </c>
    </row>
    <row r="896" spans="1:12" x14ac:dyDescent="0.35">
      <c r="A896" s="1">
        <v>1894</v>
      </c>
      <c r="B896" s="2">
        <v>45044</v>
      </c>
      <c r="C896" s="1" t="s">
        <v>14</v>
      </c>
      <c r="D896" s="1" t="s">
        <v>47</v>
      </c>
      <c r="E896" s="1" t="s">
        <v>12</v>
      </c>
      <c r="F896" s="1">
        <v>1348.53</v>
      </c>
      <c r="G896" s="1" t="s">
        <v>127</v>
      </c>
      <c r="H896" s="2">
        <v>31846</v>
      </c>
      <c r="I896" s="2">
        <v>45058</v>
      </c>
      <c r="J896" s="1">
        <v>37.67</v>
      </c>
      <c r="K896" s="1">
        <f t="shared" si="32"/>
        <v>507.99125100000003</v>
      </c>
      <c r="L896" s="1">
        <f t="shared" si="33"/>
        <v>840.53874899999994</v>
      </c>
    </row>
    <row r="897" spans="1:12" x14ac:dyDescent="0.35">
      <c r="A897" s="1">
        <v>1895</v>
      </c>
      <c r="B897" s="2">
        <v>45847</v>
      </c>
      <c r="C897" s="1" t="s">
        <v>26</v>
      </c>
      <c r="D897" s="1" t="s">
        <v>58</v>
      </c>
      <c r="E897" s="1" t="s">
        <v>31</v>
      </c>
      <c r="F897" s="1">
        <v>1426.01</v>
      </c>
      <c r="G897" s="1" t="s">
        <v>101</v>
      </c>
      <c r="H897" s="2">
        <v>31331</v>
      </c>
      <c r="I897" s="2">
        <v>45851</v>
      </c>
      <c r="J897" s="1">
        <v>26.73</v>
      </c>
      <c r="K897" s="1">
        <f t="shared" si="32"/>
        <v>381.17247299999997</v>
      </c>
      <c r="L897" s="1">
        <f t="shared" si="33"/>
        <v>1044.8375270000001</v>
      </c>
    </row>
    <row r="898" spans="1:12" x14ac:dyDescent="0.35">
      <c r="A898" s="1">
        <v>1896</v>
      </c>
      <c r="B898" s="2">
        <v>44786</v>
      </c>
      <c r="C898" s="1" t="s">
        <v>35</v>
      </c>
      <c r="D898" s="1" t="s">
        <v>53</v>
      </c>
      <c r="E898" s="1" t="s">
        <v>28</v>
      </c>
      <c r="F898" s="1">
        <v>4689.82</v>
      </c>
      <c r="G898" s="1" t="s">
        <v>317</v>
      </c>
      <c r="H898" s="2">
        <v>32196</v>
      </c>
      <c r="I898" s="2">
        <v>44796</v>
      </c>
      <c r="J898" s="1">
        <v>28.56</v>
      </c>
      <c r="K898" s="1">
        <f t="shared" si="32"/>
        <v>1339.4125919999997</v>
      </c>
      <c r="L898" s="1">
        <f t="shared" si="33"/>
        <v>3350.407408</v>
      </c>
    </row>
    <row r="899" spans="1:12" x14ac:dyDescent="0.35">
      <c r="A899" s="1">
        <v>1897</v>
      </c>
      <c r="B899" s="2">
        <v>44225</v>
      </c>
      <c r="C899" s="1" t="s">
        <v>21</v>
      </c>
      <c r="D899" s="1" t="s">
        <v>65</v>
      </c>
      <c r="E899" s="1" t="s">
        <v>19</v>
      </c>
      <c r="F899" s="1">
        <v>2668.25</v>
      </c>
      <c r="G899" s="1" t="s">
        <v>188</v>
      </c>
      <c r="H899" s="2">
        <v>31467</v>
      </c>
      <c r="I899" s="2">
        <v>44232</v>
      </c>
      <c r="J899" s="1">
        <v>16.52</v>
      </c>
      <c r="K899" s="1">
        <f t="shared" ref="K899:K962" si="34">F899*J899%</f>
        <v>440.79489999999998</v>
      </c>
      <c r="L899" s="1">
        <f t="shared" ref="L899:L962" si="35">F899-K899</f>
        <v>2227.4551000000001</v>
      </c>
    </row>
    <row r="900" spans="1:12" x14ac:dyDescent="0.35">
      <c r="A900" s="1">
        <v>1898</v>
      </c>
      <c r="B900" s="2">
        <v>44273</v>
      </c>
      <c r="C900" s="1" t="s">
        <v>35</v>
      </c>
      <c r="D900" s="1" t="s">
        <v>71</v>
      </c>
      <c r="E900" s="1" t="s">
        <v>31</v>
      </c>
      <c r="F900" s="1">
        <v>3591.29</v>
      </c>
      <c r="G900" s="1" t="s">
        <v>235</v>
      </c>
      <c r="H900" s="2">
        <v>36760</v>
      </c>
      <c r="I900" s="2">
        <v>44283</v>
      </c>
      <c r="J900" s="1">
        <v>11.69</v>
      </c>
      <c r="K900" s="1">
        <f t="shared" si="34"/>
        <v>419.82180099999994</v>
      </c>
      <c r="L900" s="1">
        <f t="shared" si="35"/>
        <v>3171.4681989999999</v>
      </c>
    </row>
    <row r="901" spans="1:12" x14ac:dyDescent="0.35">
      <c r="A901" s="1">
        <v>1899</v>
      </c>
      <c r="B901" s="2">
        <v>45325</v>
      </c>
      <c r="C901" s="1" t="s">
        <v>10</v>
      </c>
      <c r="D901" s="1" t="s">
        <v>88</v>
      </c>
      <c r="E901" s="1" t="s">
        <v>16</v>
      </c>
      <c r="F901" s="1">
        <v>1048.28</v>
      </c>
      <c r="G901" s="1" t="s">
        <v>204</v>
      </c>
      <c r="H901" s="2">
        <v>23718</v>
      </c>
      <c r="I901" s="2">
        <v>45326</v>
      </c>
      <c r="J901" s="1">
        <v>24.55</v>
      </c>
      <c r="K901" s="1">
        <f t="shared" si="34"/>
        <v>257.35273999999998</v>
      </c>
      <c r="L901" s="1">
        <f t="shared" si="35"/>
        <v>790.92725999999993</v>
      </c>
    </row>
    <row r="902" spans="1:12" x14ac:dyDescent="0.35">
      <c r="A902" s="1">
        <v>1900</v>
      </c>
      <c r="B902" s="2">
        <v>45824</v>
      </c>
      <c r="C902" s="1" t="s">
        <v>10</v>
      </c>
      <c r="D902" s="1" t="s">
        <v>27</v>
      </c>
      <c r="E902" s="1" t="s">
        <v>28</v>
      </c>
      <c r="F902" s="1">
        <v>3162.97</v>
      </c>
      <c r="G902" s="1" t="s">
        <v>236</v>
      </c>
      <c r="H902" s="2">
        <v>36099</v>
      </c>
      <c r="I902" s="2">
        <v>45836</v>
      </c>
      <c r="J902" s="1">
        <v>5.03</v>
      </c>
      <c r="K902" s="1">
        <f t="shared" si="34"/>
        <v>159.09739100000002</v>
      </c>
      <c r="L902" s="1">
        <f t="shared" si="35"/>
        <v>3003.872609</v>
      </c>
    </row>
    <row r="903" spans="1:12" x14ac:dyDescent="0.35">
      <c r="A903" s="1">
        <v>1901</v>
      </c>
      <c r="B903" s="2">
        <v>45510</v>
      </c>
      <c r="C903" s="1" t="s">
        <v>14</v>
      </c>
      <c r="D903" s="1" t="s">
        <v>44</v>
      </c>
      <c r="E903" s="1" t="s">
        <v>16</v>
      </c>
      <c r="F903" s="1">
        <v>1671.46</v>
      </c>
      <c r="G903" s="1" t="s">
        <v>42</v>
      </c>
      <c r="H903" s="2">
        <v>26027</v>
      </c>
      <c r="I903" s="2">
        <v>45523</v>
      </c>
      <c r="J903" s="1">
        <v>12.98</v>
      </c>
      <c r="K903" s="1">
        <f t="shared" si="34"/>
        <v>216.95550800000001</v>
      </c>
      <c r="L903" s="1">
        <f t="shared" si="35"/>
        <v>1454.504492</v>
      </c>
    </row>
    <row r="904" spans="1:12" x14ac:dyDescent="0.35">
      <c r="A904" s="1">
        <v>1902</v>
      </c>
      <c r="B904" s="2">
        <v>45722</v>
      </c>
      <c r="C904" s="1" t="s">
        <v>26</v>
      </c>
      <c r="D904" s="1" t="s">
        <v>40</v>
      </c>
      <c r="E904" s="1" t="s">
        <v>16</v>
      </c>
      <c r="F904" s="1">
        <v>4425.9799999999996</v>
      </c>
      <c r="G904" s="1" t="s">
        <v>105</v>
      </c>
      <c r="H904" s="2">
        <v>35889</v>
      </c>
      <c r="I904" s="2">
        <v>45731</v>
      </c>
      <c r="J904" s="1">
        <v>21.97</v>
      </c>
      <c r="K904" s="1">
        <f t="shared" si="34"/>
        <v>972.38780599999984</v>
      </c>
      <c r="L904" s="1">
        <f t="shared" si="35"/>
        <v>3453.5921939999998</v>
      </c>
    </row>
    <row r="905" spans="1:12" x14ac:dyDescent="0.35">
      <c r="A905" s="1">
        <v>1903</v>
      </c>
      <c r="B905" s="2">
        <v>45709</v>
      </c>
      <c r="C905" s="1" t="s">
        <v>26</v>
      </c>
      <c r="D905" s="1" t="s">
        <v>33</v>
      </c>
      <c r="E905" s="1" t="s">
        <v>16</v>
      </c>
      <c r="F905" s="1">
        <v>2140.41</v>
      </c>
      <c r="G905" s="1" t="s">
        <v>32</v>
      </c>
      <c r="H905" s="2">
        <v>27166</v>
      </c>
      <c r="I905" s="2">
        <v>45719</v>
      </c>
      <c r="J905" s="1">
        <v>38.58</v>
      </c>
      <c r="K905" s="1">
        <f t="shared" si="34"/>
        <v>825.77017799999987</v>
      </c>
      <c r="L905" s="1">
        <f t="shared" si="35"/>
        <v>1314.6398220000001</v>
      </c>
    </row>
    <row r="906" spans="1:12" x14ac:dyDescent="0.35">
      <c r="A906" s="1">
        <v>1904</v>
      </c>
      <c r="B906" s="2">
        <v>45077</v>
      </c>
      <c r="C906" s="1" t="s">
        <v>26</v>
      </c>
      <c r="D906" s="1" t="s">
        <v>22</v>
      </c>
      <c r="E906" s="1" t="s">
        <v>19</v>
      </c>
      <c r="F906" s="1">
        <v>3313.01</v>
      </c>
      <c r="G906" s="1" t="s">
        <v>290</v>
      </c>
      <c r="H906" s="2">
        <v>31764</v>
      </c>
      <c r="I906" s="2">
        <v>45090</v>
      </c>
      <c r="J906" s="1">
        <v>4.28</v>
      </c>
      <c r="K906" s="1">
        <f t="shared" si="34"/>
        <v>141.79682800000003</v>
      </c>
      <c r="L906" s="1">
        <f t="shared" si="35"/>
        <v>3171.2131720000002</v>
      </c>
    </row>
    <row r="907" spans="1:12" x14ac:dyDescent="0.35">
      <c r="A907" s="1">
        <v>1905</v>
      </c>
      <c r="B907" s="2">
        <v>44945</v>
      </c>
      <c r="C907" s="1" t="s">
        <v>14</v>
      </c>
      <c r="D907" s="1" t="s">
        <v>53</v>
      </c>
      <c r="E907" s="1" t="s">
        <v>28</v>
      </c>
      <c r="F907" s="1">
        <v>4965.43</v>
      </c>
      <c r="G907" s="1" t="s">
        <v>324</v>
      </c>
      <c r="H907" s="2">
        <v>28747</v>
      </c>
      <c r="I907" s="2">
        <v>44956</v>
      </c>
      <c r="J907" s="1">
        <v>23.85</v>
      </c>
      <c r="K907" s="1">
        <f t="shared" si="34"/>
        <v>1184.2550550000001</v>
      </c>
      <c r="L907" s="1">
        <f t="shared" si="35"/>
        <v>3781.1749450000002</v>
      </c>
    </row>
    <row r="908" spans="1:12" x14ac:dyDescent="0.35">
      <c r="A908" s="1">
        <v>1906</v>
      </c>
      <c r="B908" s="2">
        <v>44731</v>
      </c>
      <c r="C908" s="1" t="s">
        <v>10</v>
      </c>
      <c r="D908" s="1" t="s">
        <v>102</v>
      </c>
      <c r="E908" s="1" t="s">
        <v>12</v>
      </c>
      <c r="F908" s="1">
        <v>4140.05</v>
      </c>
      <c r="G908" s="1" t="s">
        <v>50</v>
      </c>
      <c r="H908" s="2">
        <v>22594</v>
      </c>
      <c r="I908" s="2">
        <v>44736</v>
      </c>
      <c r="J908" s="1">
        <v>0.33</v>
      </c>
      <c r="K908" s="1">
        <f t="shared" si="34"/>
        <v>13.662165</v>
      </c>
      <c r="L908" s="1">
        <f t="shared" si="35"/>
        <v>4126.3878350000005</v>
      </c>
    </row>
    <row r="909" spans="1:12" x14ac:dyDescent="0.35">
      <c r="A909" s="1">
        <v>1907</v>
      </c>
      <c r="B909" s="2">
        <v>45762</v>
      </c>
      <c r="C909" s="1" t="s">
        <v>21</v>
      </c>
      <c r="D909" s="1" t="s">
        <v>24</v>
      </c>
      <c r="E909" s="1" t="s">
        <v>19</v>
      </c>
      <c r="F909" s="1">
        <v>1722.88</v>
      </c>
      <c r="G909" s="1" t="s">
        <v>315</v>
      </c>
      <c r="H909" s="2">
        <v>32330</v>
      </c>
      <c r="I909" s="2">
        <v>45764</v>
      </c>
      <c r="J909" s="1">
        <v>27.61</v>
      </c>
      <c r="K909" s="1">
        <f t="shared" si="34"/>
        <v>475.68716800000004</v>
      </c>
      <c r="L909" s="1">
        <f t="shared" si="35"/>
        <v>1247.1928320000002</v>
      </c>
    </row>
    <row r="910" spans="1:12" x14ac:dyDescent="0.35">
      <c r="A910" s="1">
        <v>1908</v>
      </c>
      <c r="B910" s="2">
        <v>45286</v>
      </c>
      <c r="C910" s="1" t="s">
        <v>10</v>
      </c>
      <c r="D910" s="1" t="s">
        <v>47</v>
      </c>
      <c r="E910" s="1" t="s">
        <v>12</v>
      </c>
      <c r="F910" s="1">
        <v>1275.42</v>
      </c>
      <c r="G910" s="1" t="s">
        <v>195</v>
      </c>
      <c r="H910" s="2">
        <v>28065</v>
      </c>
      <c r="I910" s="2">
        <v>45296</v>
      </c>
      <c r="J910" s="1">
        <v>4.88</v>
      </c>
      <c r="K910" s="1">
        <f t="shared" si="34"/>
        <v>62.240496</v>
      </c>
      <c r="L910" s="1">
        <f t="shared" si="35"/>
        <v>1213.1795040000002</v>
      </c>
    </row>
    <row r="911" spans="1:12" x14ac:dyDescent="0.35">
      <c r="A911" s="1">
        <v>1909</v>
      </c>
      <c r="B911" s="2">
        <v>44909</v>
      </c>
      <c r="C911" s="1" t="s">
        <v>10</v>
      </c>
      <c r="D911" s="1" t="s">
        <v>24</v>
      </c>
      <c r="E911" s="1" t="s">
        <v>19</v>
      </c>
      <c r="F911" s="1">
        <v>3335.8</v>
      </c>
      <c r="G911" s="1" t="s">
        <v>120</v>
      </c>
      <c r="H911" s="2">
        <v>30820</v>
      </c>
      <c r="I911" s="2">
        <v>44917</v>
      </c>
      <c r="J911" s="1">
        <v>33.119999999999997</v>
      </c>
      <c r="K911" s="1">
        <f t="shared" si="34"/>
        <v>1104.8169600000001</v>
      </c>
      <c r="L911" s="1">
        <f t="shared" si="35"/>
        <v>2230.9830400000001</v>
      </c>
    </row>
    <row r="912" spans="1:12" x14ac:dyDescent="0.35">
      <c r="A912" s="1">
        <v>1910</v>
      </c>
      <c r="B912" s="2">
        <v>44597</v>
      </c>
      <c r="C912" s="1" t="s">
        <v>35</v>
      </c>
      <c r="D912" s="1" t="s">
        <v>15</v>
      </c>
      <c r="E912" s="1" t="s">
        <v>16</v>
      </c>
      <c r="F912" s="1">
        <v>387.6</v>
      </c>
      <c r="G912" s="1" t="s">
        <v>200</v>
      </c>
      <c r="H912" s="2">
        <v>30222</v>
      </c>
      <c r="I912" s="2">
        <v>44604</v>
      </c>
      <c r="J912" s="1">
        <v>26.01</v>
      </c>
      <c r="K912" s="1">
        <f t="shared" si="34"/>
        <v>100.81476000000001</v>
      </c>
      <c r="L912" s="1">
        <f t="shared" si="35"/>
        <v>286.78524000000004</v>
      </c>
    </row>
    <row r="913" spans="1:12" x14ac:dyDescent="0.35">
      <c r="A913" s="1">
        <v>1911</v>
      </c>
      <c r="B913" s="2">
        <v>45354</v>
      </c>
      <c r="C913" s="1" t="s">
        <v>14</v>
      </c>
      <c r="D913" s="1" t="s">
        <v>49</v>
      </c>
      <c r="E913" s="1" t="s">
        <v>12</v>
      </c>
      <c r="F913" s="1">
        <v>2218.13</v>
      </c>
      <c r="G913" s="1" t="s">
        <v>130</v>
      </c>
      <c r="H913" s="2">
        <v>38750</v>
      </c>
      <c r="I913" s="2">
        <v>45361</v>
      </c>
      <c r="J913" s="1">
        <v>42.31</v>
      </c>
      <c r="K913" s="1">
        <f t="shared" si="34"/>
        <v>938.49080300000014</v>
      </c>
      <c r="L913" s="1">
        <f t="shared" si="35"/>
        <v>1279.639197</v>
      </c>
    </row>
    <row r="914" spans="1:12" x14ac:dyDescent="0.35">
      <c r="A914" s="1">
        <v>1912</v>
      </c>
      <c r="B914" s="2">
        <v>44738</v>
      </c>
      <c r="C914" s="1" t="s">
        <v>10</v>
      </c>
      <c r="D914" s="1" t="s">
        <v>24</v>
      </c>
      <c r="E914" s="1" t="s">
        <v>19</v>
      </c>
      <c r="F914" s="1">
        <v>708.62</v>
      </c>
      <c r="G914" s="1" t="s">
        <v>148</v>
      </c>
      <c r="H914" s="2">
        <v>22007</v>
      </c>
      <c r="I914" s="2">
        <v>44747</v>
      </c>
      <c r="J914" s="1">
        <v>26.71</v>
      </c>
      <c r="K914" s="1">
        <f t="shared" si="34"/>
        <v>189.272402</v>
      </c>
      <c r="L914" s="1">
        <f t="shared" si="35"/>
        <v>519.34759800000006</v>
      </c>
    </row>
    <row r="915" spans="1:12" x14ac:dyDescent="0.35">
      <c r="A915" s="1">
        <v>1913</v>
      </c>
      <c r="B915" s="2">
        <v>45260</v>
      </c>
      <c r="C915" s="1" t="s">
        <v>26</v>
      </c>
      <c r="D915" s="1" t="s">
        <v>33</v>
      </c>
      <c r="E915" s="1" t="s">
        <v>16</v>
      </c>
      <c r="F915" s="1">
        <v>3442.63</v>
      </c>
      <c r="G915" s="1" t="s">
        <v>151</v>
      </c>
      <c r="H915" s="2">
        <v>34427</v>
      </c>
      <c r="I915" s="2">
        <v>45274</v>
      </c>
      <c r="J915" s="1">
        <v>23.72</v>
      </c>
      <c r="K915" s="1">
        <f t="shared" si="34"/>
        <v>816.59183600000006</v>
      </c>
      <c r="L915" s="1">
        <f t="shared" si="35"/>
        <v>2626.0381640000001</v>
      </c>
    </row>
    <row r="916" spans="1:12" x14ac:dyDescent="0.35">
      <c r="A916" s="1">
        <v>1914</v>
      </c>
      <c r="B916" s="2">
        <v>44398</v>
      </c>
      <c r="C916" s="1" t="s">
        <v>10</v>
      </c>
      <c r="D916" s="1" t="s">
        <v>102</v>
      </c>
      <c r="E916" s="1" t="s">
        <v>12</v>
      </c>
      <c r="F916" s="1">
        <v>4270.34</v>
      </c>
      <c r="G916" s="1" t="s">
        <v>238</v>
      </c>
      <c r="H916" s="2">
        <v>31880</v>
      </c>
      <c r="I916" s="2">
        <v>44410</v>
      </c>
      <c r="J916" s="1">
        <v>8.23</v>
      </c>
      <c r="K916" s="1">
        <f t="shared" si="34"/>
        <v>351.448982</v>
      </c>
      <c r="L916" s="1">
        <f t="shared" si="35"/>
        <v>3918.8910180000003</v>
      </c>
    </row>
    <row r="917" spans="1:12" x14ac:dyDescent="0.35">
      <c r="A917" s="1">
        <v>1915</v>
      </c>
      <c r="B917" s="2">
        <v>44264</v>
      </c>
      <c r="C917" s="1" t="s">
        <v>35</v>
      </c>
      <c r="D917" s="1" t="s">
        <v>11</v>
      </c>
      <c r="E917" s="1" t="s">
        <v>12</v>
      </c>
      <c r="F917" s="1">
        <v>1651.51</v>
      </c>
      <c r="G917" s="1" t="s">
        <v>54</v>
      </c>
      <c r="H917" s="2">
        <v>31082</v>
      </c>
      <c r="I917" s="2">
        <v>44266</v>
      </c>
      <c r="J917" s="1">
        <v>16.899999999999999</v>
      </c>
      <c r="K917" s="1">
        <f t="shared" si="34"/>
        <v>279.10518999999999</v>
      </c>
      <c r="L917" s="1">
        <f t="shared" si="35"/>
        <v>1372.40481</v>
      </c>
    </row>
    <row r="918" spans="1:12" x14ac:dyDescent="0.35">
      <c r="A918" s="1">
        <v>1916</v>
      </c>
      <c r="B918" s="2">
        <v>44360</v>
      </c>
      <c r="C918" s="1" t="s">
        <v>35</v>
      </c>
      <c r="D918" s="1" t="s">
        <v>40</v>
      </c>
      <c r="E918" s="1" t="s">
        <v>16</v>
      </c>
      <c r="F918" s="1">
        <v>2540.2399999999998</v>
      </c>
      <c r="G918" s="1" t="s">
        <v>276</v>
      </c>
      <c r="H918" s="2">
        <v>33394</v>
      </c>
      <c r="I918" s="2">
        <v>44372</v>
      </c>
      <c r="J918" s="1">
        <v>33.18</v>
      </c>
      <c r="K918" s="1">
        <f t="shared" si="34"/>
        <v>842.85163199999988</v>
      </c>
      <c r="L918" s="1">
        <f t="shared" si="35"/>
        <v>1697.3883679999999</v>
      </c>
    </row>
    <row r="919" spans="1:12" x14ac:dyDescent="0.35">
      <c r="A919" s="1">
        <v>1917</v>
      </c>
      <c r="B919" s="2">
        <v>45643</v>
      </c>
      <c r="C919" s="1" t="s">
        <v>26</v>
      </c>
      <c r="D919" s="1" t="s">
        <v>11</v>
      </c>
      <c r="E919" s="1" t="s">
        <v>12</v>
      </c>
      <c r="F919" s="1">
        <v>4900.82</v>
      </c>
      <c r="G919" s="1" t="s">
        <v>134</v>
      </c>
      <c r="H919" s="2">
        <v>30299</v>
      </c>
      <c r="I919" s="2">
        <v>45655</v>
      </c>
      <c r="J919" s="1">
        <v>26.72</v>
      </c>
      <c r="K919" s="1">
        <f t="shared" si="34"/>
        <v>1309.499104</v>
      </c>
      <c r="L919" s="1">
        <f t="shared" si="35"/>
        <v>3591.3208959999997</v>
      </c>
    </row>
    <row r="920" spans="1:12" x14ac:dyDescent="0.35">
      <c r="A920" s="1">
        <v>1918</v>
      </c>
      <c r="B920" s="2">
        <v>45298</v>
      </c>
      <c r="C920" s="1" t="s">
        <v>21</v>
      </c>
      <c r="D920" s="1" t="s">
        <v>53</v>
      </c>
      <c r="E920" s="1" t="s">
        <v>28</v>
      </c>
      <c r="F920" s="1">
        <v>4280.42</v>
      </c>
      <c r="G920" s="1" t="s">
        <v>182</v>
      </c>
      <c r="H920" s="2">
        <v>24719</v>
      </c>
      <c r="I920" s="2">
        <v>45300</v>
      </c>
      <c r="J920" s="1">
        <v>45.87</v>
      </c>
      <c r="K920" s="1">
        <f t="shared" si="34"/>
        <v>1963.4286540000001</v>
      </c>
      <c r="L920" s="1">
        <f t="shared" si="35"/>
        <v>2316.9913459999998</v>
      </c>
    </row>
    <row r="921" spans="1:12" x14ac:dyDescent="0.35">
      <c r="A921" s="1">
        <v>1919</v>
      </c>
      <c r="B921" s="2">
        <v>44270</v>
      </c>
      <c r="C921" s="1" t="s">
        <v>14</v>
      </c>
      <c r="D921" s="1" t="s">
        <v>22</v>
      </c>
      <c r="E921" s="1" t="s">
        <v>19</v>
      </c>
      <c r="F921" s="1">
        <v>651.54</v>
      </c>
      <c r="G921" s="1" t="s">
        <v>217</v>
      </c>
      <c r="H921" s="2">
        <v>36951</v>
      </c>
      <c r="I921" s="2">
        <v>44273</v>
      </c>
      <c r="J921" s="1">
        <v>13.56</v>
      </c>
      <c r="K921" s="1">
        <f t="shared" si="34"/>
        <v>88.348823999999993</v>
      </c>
      <c r="L921" s="1">
        <f t="shared" si="35"/>
        <v>563.19117599999993</v>
      </c>
    </row>
    <row r="922" spans="1:12" x14ac:dyDescent="0.35">
      <c r="A922" s="1">
        <v>1920</v>
      </c>
      <c r="B922" s="2">
        <v>45806</v>
      </c>
      <c r="C922" s="1" t="s">
        <v>26</v>
      </c>
      <c r="D922" s="1" t="s">
        <v>40</v>
      </c>
      <c r="E922" s="1" t="s">
        <v>16</v>
      </c>
      <c r="F922" s="1">
        <v>1915.59</v>
      </c>
      <c r="G922" s="1" t="s">
        <v>194</v>
      </c>
      <c r="H922" s="2">
        <v>22210</v>
      </c>
      <c r="I922" s="2">
        <v>45810</v>
      </c>
      <c r="J922" s="1">
        <v>31.63</v>
      </c>
      <c r="K922" s="1">
        <f t="shared" si="34"/>
        <v>605.90111699999989</v>
      </c>
      <c r="L922" s="1">
        <f t="shared" si="35"/>
        <v>1309.688883</v>
      </c>
    </row>
    <row r="923" spans="1:12" x14ac:dyDescent="0.35">
      <c r="A923" s="1">
        <v>1921</v>
      </c>
      <c r="B923" s="2">
        <v>45361</v>
      </c>
      <c r="C923" s="1" t="s">
        <v>10</v>
      </c>
      <c r="D923" s="1" t="s">
        <v>69</v>
      </c>
      <c r="E923" s="1" t="s">
        <v>12</v>
      </c>
      <c r="F923" s="1">
        <v>106.78</v>
      </c>
      <c r="G923" s="1" t="s">
        <v>323</v>
      </c>
      <c r="H923" s="2">
        <v>33840</v>
      </c>
      <c r="I923" s="2">
        <v>45373</v>
      </c>
      <c r="J923" s="1">
        <v>44.76</v>
      </c>
      <c r="K923" s="1">
        <f t="shared" si="34"/>
        <v>47.794727999999999</v>
      </c>
      <c r="L923" s="1">
        <f t="shared" si="35"/>
        <v>58.985272000000002</v>
      </c>
    </row>
    <row r="924" spans="1:12" x14ac:dyDescent="0.35">
      <c r="A924" s="1">
        <v>1922</v>
      </c>
      <c r="B924" s="2">
        <v>45034</v>
      </c>
      <c r="C924" s="1" t="s">
        <v>35</v>
      </c>
      <c r="D924" s="1" t="s">
        <v>88</v>
      </c>
      <c r="E924" s="1" t="s">
        <v>16</v>
      </c>
      <c r="F924" s="1">
        <v>3524.42</v>
      </c>
      <c r="G924" s="1" t="s">
        <v>180</v>
      </c>
      <c r="H924" s="2">
        <v>25163</v>
      </c>
      <c r="I924" s="2">
        <v>45040</v>
      </c>
      <c r="J924" s="1">
        <v>47.61</v>
      </c>
      <c r="K924" s="1">
        <f t="shared" si="34"/>
        <v>1677.9763619999999</v>
      </c>
      <c r="L924" s="1">
        <f t="shared" si="35"/>
        <v>1846.4436380000002</v>
      </c>
    </row>
    <row r="925" spans="1:12" x14ac:dyDescent="0.35">
      <c r="A925" s="1">
        <v>1923</v>
      </c>
      <c r="B925" s="2">
        <v>44304</v>
      </c>
      <c r="C925" s="1" t="s">
        <v>21</v>
      </c>
      <c r="D925" s="1" t="s">
        <v>18</v>
      </c>
      <c r="E925" s="1" t="s">
        <v>19</v>
      </c>
      <c r="F925" s="1">
        <v>1287.42</v>
      </c>
      <c r="G925" s="1" t="s">
        <v>196</v>
      </c>
      <c r="H925" s="2">
        <v>26300</v>
      </c>
      <c r="I925" s="2">
        <v>44313</v>
      </c>
      <c r="J925" s="1">
        <v>1.5</v>
      </c>
      <c r="K925" s="1">
        <f t="shared" si="34"/>
        <v>19.311299999999999</v>
      </c>
      <c r="L925" s="1">
        <f t="shared" si="35"/>
        <v>1268.1087</v>
      </c>
    </row>
    <row r="926" spans="1:12" x14ac:dyDescent="0.35">
      <c r="A926" s="1">
        <v>1924</v>
      </c>
      <c r="B926" s="2">
        <v>44516</v>
      </c>
      <c r="C926" s="1" t="s">
        <v>26</v>
      </c>
      <c r="D926" s="1" t="s">
        <v>38</v>
      </c>
      <c r="E926" s="1" t="s">
        <v>28</v>
      </c>
      <c r="F926" s="1">
        <v>391.23</v>
      </c>
      <c r="G926" s="1" t="s">
        <v>255</v>
      </c>
      <c r="H926" s="2">
        <v>22646</v>
      </c>
      <c r="I926" s="2">
        <v>44517</v>
      </c>
      <c r="J926" s="1">
        <v>7.7</v>
      </c>
      <c r="K926" s="1">
        <f t="shared" si="34"/>
        <v>30.12471</v>
      </c>
      <c r="L926" s="1">
        <f t="shared" si="35"/>
        <v>361.10529000000002</v>
      </c>
    </row>
    <row r="927" spans="1:12" x14ac:dyDescent="0.35">
      <c r="A927" s="1">
        <v>1925</v>
      </c>
      <c r="B927" s="2">
        <v>45846</v>
      </c>
      <c r="C927" s="1" t="s">
        <v>26</v>
      </c>
      <c r="D927" s="1" t="s">
        <v>18</v>
      </c>
      <c r="E927" s="1" t="s">
        <v>19</v>
      </c>
      <c r="F927" s="1">
        <v>1569.98</v>
      </c>
      <c r="G927" s="1" t="s">
        <v>315</v>
      </c>
      <c r="H927" s="2">
        <v>32330</v>
      </c>
      <c r="I927" s="2">
        <v>45848</v>
      </c>
      <c r="J927" s="1">
        <v>49.99</v>
      </c>
      <c r="K927" s="1">
        <f t="shared" si="34"/>
        <v>784.83300200000008</v>
      </c>
      <c r="L927" s="1">
        <f t="shared" si="35"/>
        <v>785.14699799999994</v>
      </c>
    </row>
    <row r="928" spans="1:12" x14ac:dyDescent="0.35">
      <c r="A928" s="1">
        <v>1926</v>
      </c>
      <c r="B928" s="2">
        <v>44778</v>
      </c>
      <c r="C928" s="1" t="s">
        <v>35</v>
      </c>
      <c r="D928" s="1" t="s">
        <v>73</v>
      </c>
      <c r="E928" s="1" t="s">
        <v>28</v>
      </c>
      <c r="F928" s="1">
        <v>4978.8</v>
      </c>
      <c r="G928" s="1" t="s">
        <v>252</v>
      </c>
      <c r="H928" s="2">
        <v>34209</v>
      </c>
      <c r="I928" s="2">
        <v>44790</v>
      </c>
      <c r="J928" s="1">
        <v>19.88</v>
      </c>
      <c r="K928" s="1">
        <f t="shared" si="34"/>
        <v>989.78543999999988</v>
      </c>
      <c r="L928" s="1">
        <f t="shared" si="35"/>
        <v>3989.0145600000005</v>
      </c>
    </row>
    <row r="929" spans="1:12" x14ac:dyDescent="0.35">
      <c r="A929" s="1">
        <v>1927</v>
      </c>
      <c r="B929" s="2">
        <v>44664</v>
      </c>
      <c r="C929" s="1" t="s">
        <v>14</v>
      </c>
      <c r="D929" s="1" t="s">
        <v>15</v>
      </c>
      <c r="E929" s="1" t="s">
        <v>16</v>
      </c>
      <c r="F929" s="1">
        <v>4206.6099999999997</v>
      </c>
      <c r="G929" s="1" t="s">
        <v>274</v>
      </c>
      <c r="H929" s="2">
        <v>34557</v>
      </c>
      <c r="I929" s="2">
        <v>44670</v>
      </c>
      <c r="J929" s="1">
        <v>26.31</v>
      </c>
      <c r="K929" s="1">
        <f t="shared" si="34"/>
        <v>1106.7590909999999</v>
      </c>
      <c r="L929" s="1">
        <f t="shared" si="35"/>
        <v>3099.8509089999998</v>
      </c>
    </row>
    <row r="930" spans="1:12" x14ac:dyDescent="0.35">
      <c r="A930" s="1">
        <v>1928</v>
      </c>
      <c r="B930" s="2">
        <v>45402</v>
      </c>
      <c r="C930" s="1" t="s">
        <v>35</v>
      </c>
      <c r="D930" s="1" t="s">
        <v>73</v>
      </c>
      <c r="E930" s="1" t="s">
        <v>28</v>
      </c>
      <c r="F930" s="1">
        <v>3917.77</v>
      </c>
      <c r="G930" s="1" t="s">
        <v>29</v>
      </c>
      <c r="H930" s="2">
        <v>24033</v>
      </c>
      <c r="I930" s="2">
        <v>45403</v>
      </c>
      <c r="J930" s="1">
        <v>18.149999999999999</v>
      </c>
      <c r="K930" s="1">
        <f t="shared" si="34"/>
        <v>711.07525499999997</v>
      </c>
      <c r="L930" s="1">
        <f t="shared" si="35"/>
        <v>3206.6947449999998</v>
      </c>
    </row>
    <row r="931" spans="1:12" x14ac:dyDescent="0.35">
      <c r="A931" s="1">
        <v>1929</v>
      </c>
      <c r="B931" s="2">
        <v>45169</v>
      </c>
      <c r="C931" s="1" t="s">
        <v>10</v>
      </c>
      <c r="D931" s="1" t="s">
        <v>73</v>
      </c>
      <c r="E931" s="1" t="s">
        <v>28</v>
      </c>
      <c r="F931" s="1">
        <v>1214.76</v>
      </c>
      <c r="G931" s="1" t="s">
        <v>325</v>
      </c>
      <c r="H931" s="2">
        <v>28731</v>
      </c>
      <c r="I931" s="2">
        <v>45176</v>
      </c>
      <c r="J931" s="1">
        <v>34.880000000000003</v>
      </c>
      <c r="K931" s="1">
        <f t="shared" si="34"/>
        <v>423.70828799999998</v>
      </c>
      <c r="L931" s="1">
        <f t="shared" si="35"/>
        <v>791.05171199999995</v>
      </c>
    </row>
    <row r="932" spans="1:12" x14ac:dyDescent="0.35">
      <c r="A932" s="1">
        <v>1930</v>
      </c>
      <c r="B932" s="2">
        <v>45578</v>
      </c>
      <c r="C932" s="1" t="s">
        <v>26</v>
      </c>
      <c r="D932" s="1" t="s">
        <v>73</v>
      </c>
      <c r="E932" s="1" t="s">
        <v>28</v>
      </c>
      <c r="F932" s="1">
        <v>3782.03</v>
      </c>
      <c r="G932" s="1" t="s">
        <v>161</v>
      </c>
      <c r="H932" s="2">
        <v>29386</v>
      </c>
      <c r="I932" s="2">
        <v>45590</v>
      </c>
      <c r="J932" s="1">
        <v>10.24</v>
      </c>
      <c r="K932" s="1">
        <f t="shared" si="34"/>
        <v>387.27987200000001</v>
      </c>
      <c r="L932" s="1">
        <f t="shared" si="35"/>
        <v>3394.7501280000001</v>
      </c>
    </row>
    <row r="933" spans="1:12" x14ac:dyDescent="0.35">
      <c r="A933" s="1">
        <v>1931</v>
      </c>
      <c r="B933" s="2">
        <v>45036</v>
      </c>
      <c r="C933" s="1" t="s">
        <v>10</v>
      </c>
      <c r="D933" s="1" t="s">
        <v>61</v>
      </c>
      <c r="E933" s="1" t="s">
        <v>19</v>
      </c>
      <c r="F933" s="1">
        <v>1401.86</v>
      </c>
      <c r="G933" s="1" t="s">
        <v>235</v>
      </c>
      <c r="H933" s="2">
        <v>36760</v>
      </c>
      <c r="I933" s="2">
        <v>45050</v>
      </c>
      <c r="J933" s="1">
        <v>40.04</v>
      </c>
      <c r="K933" s="1">
        <f t="shared" si="34"/>
        <v>561.30474399999991</v>
      </c>
      <c r="L933" s="1">
        <f t="shared" si="35"/>
        <v>840.55525599999999</v>
      </c>
    </row>
    <row r="934" spans="1:12" x14ac:dyDescent="0.35">
      <c r="A934" s="1">
        <v>1932</v>
      </c>
      <c r="B934" s="2">
        <v>44067</v>
      </c>
      <c r="C934" s="1" t="s">
        <v>14</v>
      </c>
      <c r="D934" s="1" t="s">
        <v>22</v>
      </c>
      <c r="E934" s="1" t="s">
        <v>19</v>
      </c>
      <c r="F934" s="1">
        <v>4472.6000000000004</v>
      </c>
      <c r="G934" s="1" t="s">
        <v>235</v>
      </c>
      <c r="H934" s="2">
        <v>36760</v>
      </c>
      <c r="I934" s="2">
        <v>44072</v>
      </c>
      <c r="J934" s="1">
        <v>17.690000000000001</v>
      </c>
      <c r="K934" s="1">
        <f t="shared" si="34"/>
        <v>791.20294000000013</v>
      </c>
      <c r="L934" s="1">
        <f t="shared" si="35"/>
        <v>3681.3970600000002</v>
      </c>
    </row>
    <row r="935" spans="1:12" x14ac:dyDescent="0.35">
      <c r="A935" s="1">
        <v>1933</v>
      </c>
      <c r="B935" s="2">
        <v>44864</v>
      </c>
      <c r="C935" s="1" t="s">
        <v>35</v>
      </c>
      <c r="D935" s="1" t="s">
        <v>71</v>
      </c>
      <c r="E935" s="1" t="s">
        <v>31</v>
      </c>
      <c r="F935" s="1">
        <v>2128.62</v>
      </c>
      <c r="G935" s="1" t="s">
        <v>248</v>
      </c>
      <c r="H935" s="2">
        <v>32685</v>
      </c>
      <c r="I935" s="2">
        <v>44878</v>
      </c>
      <c r="J935" s="1">
        <v>40.1</v>
      </c>
      <c r="K935" s="1">
        <f t="shared" si="34"/>
        <v>853.57662000000005</v>
      </c>
      <c r="L935" s="1">
        <f t="shared" si="35"/>
        <v>1275.0433799999998</v>
      </c>
    </row>
    <row r="936" spans="1:12" x14ac:dyDescent="0.35">
      <c r="A936" s="1">
        <v>1934</v>
      </c>
      <c r="B936" s="2">
        <v>44178</v>
      </c>
      <c r="C936" s="1" t="s">
        <v>26</v>
      </c>
      <c r="D936" s="1" t="s">
        <v>15</v>
      </c>
      <c r="E936" s="1" t="s">
        <v>16</v>
      </c>
      <c r="F936" s="1">
        <v>314.91000000000003</v>
      </c>
      <c r="G936" s="1" t="s">
        <v>286</v>
      </c>
      <c r="H936" s="2">
        <v>33430</v>
      </c>
      <c r="I936" s="2">
        <v>44182</v>
      </c>
      <c r="J936" s="1">
        <v>19.690000000000001</v>
      </c>
      <c r="K936" s="1">
        <f t="shared" si="34"/>
        <v>62.005779000000011</v>
      </c>
      <c r="L936" s="1">
        <f t="shared" si="35"/>
        <v>252.90422100000001</v>
      </c>
    </row>
    <row r="937" spans="1:12" x14ac:dyDescent="0.35">
      <c r="A937" s="1">
        <v>1935</v>
      </c>
      <c r="B937" s="2">
        <v>45710</v>
      </c>
      <c r="C937" s="1" t="s">
        <v>26</v>
      </c>
      <c r="D937" s="1" t="s">
        <v>49</v>
      </c>
      <c r="E937" s="1" t="s">
        <v>12</v>
      </c>
      <c r="F937" s="1">
        <v>3345.99</v>
      </c>
      <c r="G937" s="1" t="s">
        <v>97</v>
      </c>
      <c r="H937" s="2">
        <v>24706</v>
      </c>
      <c r="I937" s="2">
        <v>45721</v>
      </c>
      <c r="J937" s="1">
        <v>38.380000000000003</v>
      </c>
      <c r="K937" s="1">
        <f t="shared" si="34"/>
        <v>1284.1909620000001</v>
      </c>
      <c r="L937" s="1">
        <f t="shared" si="35"/>
        <v>2061.7990379999997</v>
      </c>
    </row>
    <row r="938" spans="1:12" x14ac:dyDescent="0.35">
      <c r="A938" s="1">
        <v>1936</v>
      </c>
      <c r="B938" s="2">
        <v>45607</v>
      </c>
      <c r="C938" s="1" t="s">
        <v>21</v>
      </c>
      <c r="D938" s="1" t="s">
        <v>40</v>
      </c>
      <c r="E938" s="1" t="s">
        <v>16</v>
      </c>
      <c r="F938" s="1">
        <v>489.14</v>
      </c>
      <c r="G938" s="1" t="s">
        <v>178</v>
      </c>
      <c r="H938" s="2">
        <v>23890</v>
      </c>
      <c r="I938" s="2">
        <v>45608</v>
      </c>
      <c r="J938" s="1">
        <v>21.66</v>
      </c>
      <c r="K938" s="1">
        <f t="shared" si="34"/>
        <v>105.94772400000001</v>
      </c>
      <c r="L938" s="1">
        <f t="shared" si="35"/>
        <v>383.19227599999999</v>
      </c>
    </row>
    <row r="939" spans="1:12" x14ac:dyDescent="0.35">
      <c r="A939" s="1">
        <v>1937</v>
      </c>
      <c r="B939" s="2">
        <v>44704</v>
      </c>
      <c r="C939" s="1" t="s">
        <v>10</v>
      </c>
      <c r="D939" s="1" t="s">
        <v>36</v>
      </c>
      <c r="E939" s="1" t="s">
        <v>28</v>
      </c>
      <c r="F939" s="1">
        <v>4141.28</v>
      </c>
      <c r="G939" s="1" t="s">
        <v>239</v>
      </c>
      <c r="H939" s="2">
        <v>38442</v>
      </c>
      <c r="I939" s="2">
        <v>44713</v>
      </c>
      <c r="J939" s="1">
        <v>45.35</v>
      </c>
      <c r="K939" s="1">
        <f t="shared" si="34"/>
        <v>1878.0704799999999</v>
      </c>
      <c r="L939" s="1">
        <f t="shared" si="35"/>
        <v>2263.2095199999999</v>
      </c>
    </row>
    <row r="940" spans="1:12" x14ac:dyDescent="0.35">
      <c r="A940" s="1">
        <v>1938</v>
      </c>
      <c r="B940" s="2">
        <v>45162</v>
      </c>
      <c r="C940" s="1" t="s">
        <v>10</v>
      </c>
      <c r="D940" s="1" t="s">
        <v>22</v>
      </c>
      <c r="E940" s="1" t="s">
        <v>19</v>
      </c>
      <c r="F940" s="1">
        <v>3591.8</v>
      </c>
      <c r="G940" s="1" t="s">
        <v>219</v>
      </c>
      <c r="H940" s="2">
        <v>25321</v>
      </c>
      <c r="I940" s="2">
        <v>45171</v>
      </c>
      <c r="J940" s="1">
        <v>14.86</v>
      </c>
      <c r="K940" s="1">
        <f t="shared" si="34"/>
        <v>533.74147999999991</v>
      </c>
      <c r="L940" s="1">
        <f t="shared" si="35"/>
        <v>3058.0585200000005</v>
      </c>
    </row>
    <row r="941" spans="1:12" x14ac:dyDescent="0.35">
      <c r="A941" s="1">
        <v>1939</v>
      </c>
      <c r="B941" s="2">
        <v>44974</v>
      </c>
      <c r="C941" s="1" t="s">
        <v>14</v>
      </c>
      <c r="D941" s="1" t="s">
        <v>61</v>
      </c>
      <c r="E941" s="1" t="s">
        <v>19</v>
      </c>
      <c r="F941" s="1">
        <v>4649.03</v>
      </c>
      <c r="G941" s="1" t="s">
        <v>70</v>
      </c>
      <c r="H941" s="2">
        <v>30887</v>
      </c>
      <c r="I941" s="2">
        <v>44983</v>
      </c>
      <c r="J941" s="1">
        <v>18.34</v>
      </c>
      <c r="K941" s="1">
        <f t="shared" si="34"/>
        <v>852.63210200000003</v>
      </c>
      <c r="L941" s="1">
        <f t="shared" si="35"/>
        <v>3796.3978979999997</v>
      </c>
    </row>
    <row r="942" spans="1:12" x14ac:dyDescent="0.35">
      <c r="A942" s="1">
        <v>1940</v>
      </c>
      <c r="B942" s="2">
        <v>44896</v>
      </c>
      <c r="C942" s="1" t="s">
        <v>26</v>
      </c>
      <c r="D942" s="1" t="s">
        <v>73</v>
      </c>
      <c r="E942" s="1" t="s">
        <v>28</v>
      </c>
      <c r="F942" s="1">
        <v>2701.12</v>
      </c>
      <c r="G942" s="1" t="s">
        <v>41</v>
      </c>
      <c r="H942" s="2">
        <v>35818</v>
      </c>
      <c r="I942" s="2">
        <v>44902</v>
      </c>
      <c r="J942" s="1">
        <v>4.6500000000000004</v>
      </c>
      <c r="K942" s="1">
        <f t="shared" si="34"/>
        <v>125.60208000000002</v>
      </c>
      <c r="L942" s="1">
        <f t="shared" si="35"/>
        <v>2575.5179199999998</v>
      </c>
    </row>
    <row r="943" spans="1:12" x14ac:dyDescent="0.35">
      <c r="A943" s="1">
        <v>1941</v>
      </c>
      <c r="B943" s="2">
        <v>45776</v>
      </c>
      <c r="C943" s="1" t="s">
        <v>14</v>
      </c>
      <c r="D943" s="1" t="s">
        <v>61</v>
      </c>
      <c r="E943" s="1" t="s">
        <v>19</v>
      </c>
      <c r="F943" s="1">
        <v>1951.11</v>
      </c>
      <c r="G943" s="1" t="s">
        <v>188</v>
      </c>
      <c r="H943" s="2">
        <v>31467</v>
      </c>
      <c r="I943" s="2">
        <v>45781</v>
      </c>
      <c r="J943" s="1">
        <v>32.76</v>
      </c>
      <c r="K943" s="1">
        <f t="shared" si="34"/>
        <v>639.18363599999998</v>
      </c>
      <c r="L943" s="1">
        <f t="shared" si="35"/>
        <v>1311.9263639999999</v>
      </c>
    </row>
    <row r="944" spans="1:12" x14ac:dyDescent="0.35">
      <c r="A944" s="1">
        <v>1942</v>
      </c>
      <c r="B944" s="2">
        <v>44399</v>
      </c>
      <c r="C944" s="1" t="s">
        <v>21</v>
      </c>
      <c r="D944" s="1" t="s">
        <v>40</v>
      </c>
      <c r="E944" s="1" t="s">
        <v>16</v>
      </c>
      <c r="F944" s="1">
        <v>4608.12</v>
      </c>
      <c r="G944" s="1" t="s">
        <v>238</v>
      </c>
      <c r="H944" s="2">
        <v>31880</v>
      </c>
      <c r="I944" s="2">
        <v>44403</v>
      </c>
      <c r="J944" s="1">
        <v>43.95</v>
      </c>
      <c r="K944" s="1">
        <f t="shared" si="34"/>
        <v>2025.26874</v>
      </c>
      <c r="L944" s="1">
        <f t="shared" si="35"/>
        <v>2582.8512599999999</v>
      </c>
    </row>
    <row r="945" spans="1:12" x14ac:dyDescent="0.35">
      <c r="A945" s="1">
        <v>1943</v>
      </c>
      <c r="B945" s="2">
        <v>44656</v>
      </c>
      <c r="C945" s="1" t="s">
        <v>14</v>
      </c>
      <c r="D945" s="1" t="s">
        <v>53</v>
      </c>
      <c r="E945" s="1" t="s">
        <v>28</v>
      </c>
      <c r="F945" s="1">
        <v>2211.34</v>
      </c>
      <c r="G945" s="1" t="s">
        <v>263</v>
      </c>
      <c r="H945" s="2">
        <v>35629</v>
      </c>
      <c r="I945" s="2">
        <v>44662</v>
      </c>
      <c r="J945" s="1">
        <v>10.82</v>
      </c>
      <c r="K945" s="1">
        <f t="shared" si="34"/>
        <v>239.26698800000003</v>
      </c>
      <c r="L945" s="1">
        <f t="shared" si="35"/>
        <v>1972.0730120000001</v>
      </c>
    </row>
    <row r="946" spans="1:12" x14ac:dyDescent="0.35">
      <c r="A946" s="1">
        <v>1944</v>
      </c>
      <c r="B946" s="2">
        <v>44115</v>
      </c>
      <c r="C946" s="1" t="s">
        <v>35</v>
      </c>
      <c r="D946" s="1" t="s">
        <v>38</v>
      </c>
      <c r="E946" s="1" t="s">
        <v>28</v>
      </c>
      <c r="F946" s="1">
        <v>2815.86</v>
      </c>
      <c r="G946" s="1" t="s">
        <v>230</v>
      </c>
      <c r="H946" s="2">
        <v>35642</v>
      </c>
      <c r="I946" s="2">
        <v>44119</v>
      </c>
      <c r="J946" s="1">
        <v>7.31</v>
      </c>
      <c r="K946" s="1">
        <f t="shared" si="34"/>
        <v>205.83936600000001</v>
      </c>
      <c r="L946" s="1">
        <f t="shared" si="35"/>
        <v>2610.020634</v>
      </c>
    </row>
    <row r="947" spans="1:12" x14ac:dyDescent="0.35">
      <c r="A947" s="1">
        <v>1945</v>
      </c>
      <c r="B947" s="2">
        <v>45006</v>
      </c>
      <c r="C947" s="1" t="s">
        <v>10</v>
      </c>
      <c r="D947" s="1" t="s">
        <v>15</v>
      </c>
      <c r="E947" s="1" t="s">
        <v>16</v>
      </c>
      <c r="F947" s="1">
        <v>2209.85</v>
      </c>
      <c r="G947" s="1" t="s">
        <v>326</v>
      </c>
      <c r="H947" s="2">
        <v>25663</v>
      </c>
      <c r="I947" s="2">
        <v>45011</v>
      </c>
      <c r="J947" s="1">
        <v>35.65</v>
      </c>
      <c r="K947" s="1">
        <f t="shared" si="34"/>
        <v>787.81152499999996</v>
      </c>
      <c r="L947" s="1">
        <f t="shared" si="35"/>
        <v>1422.0384749999998</v>
      </c>
    </row>
    <row r="948" spans="1:12" x14ac:dyDescent="0.35">
      <c r="A948" s="1">
        <v>1946</v>
      </c>
      <c r="B948" s="2">
        <v>45032</v>
      </c>
      <c r="C948" s="1" t="s">
        <v>35</v>
      </c>
      <c r="D948" s="1" t="s">
        <v>11</v>
      </c>
      <c r="E948" s="1" t="s">
        <v>12</v>
      </c>
      <c r="F948" s="1">
        <v>3412.98</v>
      </c>
      <c r="G948" s="1" t="s">
        <v>70</v>
      </c>
      <c r="H948" s="2">
        <v>30887</v>
      </c>
      <c r="I948" s="2">
        <v>45041</v>
      </c>
      <c r="J948" s="1">
        <v>43.36</v>
      </c>
      <c r="K948" s="1">
        <f t="shared" si="34"/>
        <v>1479.8681280000001</v>
      </c>
      <c r="L948" s="1">
        <f t="shared" si="35"/>
        <v>1933.1118719999999</v>
      </c>
    </row>
    <row r="949" spans="1:12" x14ac:dyDescent="0.35">
      <c r="A949" s="1">
        <v>1947</v>
      </c>
      <c r="B949" s="2">
        <v>44509</v>
      </c>
      <c r="C949" s="1" t="s">
        <v>21</v>
      </c>
      <c r="D949" s="1" t="s">
        <v>30</v>
      </c>
      <c r="E949" s="1" t="s">
        <v>31</v>
      </c>
      <c r="F949" s="1">
        <v>3690.16</v>
      </c>
      <c r="G949" s="1" t="s">
        <v>316</v>
      </c>
      <c r="H949" s="2">
        <v>36087</v>
      </c>
      <c r="I949" s="2">
        <v>44517</v>
      </c>
      <c r="J949" s="1">
        <v>40.450000000000003</v>
      </c>
      <c r="K949" s="1">
        <f t="shared" si="34"/>
        <v>1492.6697200000001</v>
      </c>
      <c r="L949" s="1">
        <f t="shared" si="35"/>
        <v>2197.49028</v>
      </c>
    </row>
    <row r="950" spans="1:12" x14ac:dyDescent="0.35">
      <c r="A950" s="1">
        <v>1948</v>
      </c>
      <c r="B950" s="2">
        <v>45669</v>
      </c>
      <c r="C950" s="1" t="s">
        <v>14</v>
      </c>
      <c r="D950" s="1" t="s">
        <v>65</v>
      </c>
      <c r="E950" s="1" t="s">
        <v>19</v>
      </c>
      <c r="F950" s="1">
        <v>3714.34</v>
      </c>
      <c r="G950" s="1" t="s">
        <v>78</v>
      </c>
      <c r="H950" s="2">
        <v>25099</v>
      </c>
      <c r="I950" s="2">
        <v>45670</v>
      </c>
      <c r="J950" s="1">
        <v>47.5</v>
      </c>
      <c r="K950" s="1">
        <f t="shared" si="34"/>
        <v>1764.3115</v>
      </c>
      <c r="L950" s="1">
        <f t="shared" si="35"/>
        <v>1950.0285000000001</v>
      </c>
    </row>
    <row r="951" spans="1:12" x14ac:dyDescent="0.35">
      <c r="A951" s="1">
        <v>1949</v>
      </c>
      <c r="B951" s="2">
        <v>44210</v>
      </c>
      <c r="C951" s="1" t="s">
        <v>14</v>
      </c>
      <c r="D951" s="1" t="s">
        <v>55</v>
      </c>
      <c r="E951" s="1" t="s">
        <v>31</v>
      </c>
      <c r="F951" s="1">
        <v>1241.3399999999999</v>
      </c>
      <c r="G951" s="1" t="s">
        <v>74</v>
      </c>
      <c r="H951" s="2">
        <v>31224</v>
      </c>
      <c r="I951" s="2">
        <v>44214</v>
      </c>
      <c r="J951" s="1">
        <v>29.02</v>
      </c>
      <c r="K951" s="1">
        <f t="shared" si="34"/>
        <v>360.23686800000002</v>
      </c>
      <c r="L951" s="1">
        <f t="shared" si="35"/>
        <v>881.10313199999996</v>
      </c>
    </row>
    <row r="952" spans="1:12" x14ac:dyDescent="0.35">
      <c r="A952" s="1">
        <v>1950</v>
      </c>
      <c r="B952" s="2">
        <v>45678</v>
      </c>
      <c r="C952" s="1" t="s">
        <v>10</v>
      </c>
      <c r="D952" s="1" t="s">
        <v>11</v>
      </c>
      <c r="E952" s="1" t="s">
        <v>12</v>
      </c>
      <c r="F952" s="1">
        <v>3443.53</v>
      </c>
      <c r="G952" s="1" t="s">
        <v>138</v>
      </c>
      <c r="H952" s="2">
        <v>25948</v>
      </c>
      <c r="I952" s="2">
        <v>45679</v>
      </c>
      <c r="J952" s="1">
        <v>21.96</v>
      </c>
      <c r="K952" s="1">
        <f t="shared" si="34"/>
        <v>756.19918800000005</v>
      </c>
      <c r="L952" s="1">
        <f t="shared" si="35"/>
        <v>2687.3308120000002</v>
      </c>
    </row>
    <row r="953" spans="1:12" x14ac:dyDescent="0.35">
      <c r="A953" s="1">
        <v>1951</v>
      </c>
      <c r="B953" s="2">
        <v>44071</v>
      </c>
      <c r="C953" s="1" t="s">
        <v>21</v>
      </c>
      <c r="D953" s="1" t="s">
        <v>69</v>
      </c>
      <c r="E953" s="1" t="s">
        <v>12</v>
      </c>
      <c r="F953" s="1">
        <v>3359.09</v>
      </c>
      <c r="G953" s="1" t="s">
        <v>211</v>
      </c>
      <c r="H953" s="2">
        <v>35702</v>
      </c>
      <c r="I953" s="2">
        <v>44074</v>
      </c>
      <c r="J953" s="1">
        <v>26.73</v>
      </c>
      <c r="K953" s="1">
        <f t="shared" si="34"/>
        <v>897.88475699999992</v>
      </c>
      <c r="L953" s="1">
        <f t="shared" si="35"/>
        <v>2461.2052430000003</v>
      </c>
    </row>
    <row r="954" spans="1:12" x14ac:dyDescent="0.35">
      <c r="A954" s="1">
        <v>1952</v>
      </c>
      <c r="B954" s="2">
        <v>45575</v>
      </c>
      <c r="C954" s="1" t="s">
        <v>14</v>
      </c>
      <c r="D954" s="1" t="s">
        <v>49</v>
      </c>
      <c r="E954" s="1" t="s">
        <v>12</v>
      </c>
      <c r="F954" s="1">
        <v>2503.42</v>
      </c>
      <c r="G954" s="1" t="s">
        <v>142</v>
      </c>
      <c r="H954" s="2">
        <v>29541</v>
      </c>
      <c r="I954" s="2">
        <v>45580</v>
      </c>
      <c r="J954" s="1">
        <v>5.45</v>
      </c>
      <c r="K954" s="1">
        <f t="shared" si="34"/>
        <v>136.43639000000002</v>
      </c>
      <c r="L954" s="1">
        <f t="shared" si="35"/>
        <v>2366.9836100000002</v>
      </c>
    </row>
    <row r="955" spans="1:12" x14ac:dyDescent="0.35">
      <c r="A955" s="1">
        <v>1953</v>
      </c>
      <c r="B955" s="2">
        <v>45189</v>
      </c>
      <c r="C955" s="1" t="s">
        <v>26</v>
      </c>
      <c r="D955" s="1" t="s">
        <v>61</v>
      </c>
      <c r="E955" s="1" t="s">
        <v>19</v>
      </c>
      <c r="F955" s="1">
        <v>1687.13</v>
      </c>
      <c r="G955" s="1" t="s">
        <v>160</v>
      </c>
      <c r="H955" s="2">
        <v>35321</v>
      </c>
      <c r="I955" s="2">
        <v>45201</v>
      </c>
      <c r="J955" s="1">
        <v>8.3800000000000008</v>
      </c>
      <c r="K955" s="1">
        <f t="shared" si="34"/>
        <v>141.38149400000003</v>
      </c>
      <c r="L955" s="1">
        <f t="shared" si="35"/>
        <v>1545.7485060000001</v>
      </c>
    </row>
    <row r="956" spans="1:12" x14ac:dyDescent="0.35">
      <c r="A956" s="1">
        <v>1954</v>
      </c>
      <c r="B956" s="2">
        <v>45382</v>
      </c>
      <c r="C956" s="1" t="s">
        <v>14</v>
      </c>
      <c r="D956" s="1" t="s">
        <v>40</v>
      </c>
      <c r="E956" s="1" t="s">
        <v>16</v>
      </c>
      <c r="F956" s="1">
        <v>1612.54</v>
      </c>
      <c r="G956" s="1" t="s">
        <v>224</v>
      </c>
      <c r="H956" s="2">
        <v>35405</v>
      </c>
      <c r="I956" s="2">
        <v>45389</v>
      </c>
      <c r="J956" s="1">
        <v>39.380000000000003</v>
      </c>
      <c r="K956" s="1">
        <f t="shared" si="34"/>
        <v>635.01825200000007</v>
      </c>
      <c r="L956" s="1">
        <f t="shared" si="35"/>
        <v>977.52174799999989</v>
      </c>
    </row>
    <row r="957" spans="1:12" x14ac:dyDescent="0.35">
      <c r="A957" s="1">
        <v>1955</v>
      </c>
      <c r="B957" s="2">
        <v>44402</v>
      </c>
      <c r="C957" s="1" t="s">
        <v>26</v>
      </c>
      <c r="D957" s="1" t="s">
        <v>15</v>
      </c>
      <c r="E957" s="1" t="s">
        <v>16</v>
      </c>
      <c r="F957" s="1">
        <v>1837.14</v>
      </c>
      <c r="G957" s="1" t="s">
        <v>230</v>
      </c>
      <c r="H957" s="2">
        <v>35642</v>
      </c>
      <c r="I957" s="2">
        <v>44412</v>
      </c>
      <c r="J957" s="1">
        <v>26.52</v>
      </c>
      <c r="K957" s="1">
        <f t="shared" si="34"/>
        <v>487.20952800000003</v>
      </c>
      <c r="L957" s="1">
        <f t="shared" si="35"/>
        <v>1349.930472</v>
      </c>
    </row>
    <row r="958" spans="1:12" x14ac:dyDescent="0.35">
      <c r="A958" s="1">
        <v>1956</v>
      </c>
      <c r="B958" s="2">
        <v>44520</v>
      </c>
      <c r="C958" s="1" t="s">
        <v>10</v>
      </c>
      <c r="D958" s="1" t="s">
        <v>11</v>
      </c>
      <c r="E958" s="1" t="s">
        <v>12</v>
      </c>
      <c r="F958" s="1">
        <v>4483.1499999999996</v>
      </c>
      <c r="G958" s="1" t="s">
        <v>170</v>
      </c>
      <c r="H958" s="2">
        <v>34205</v>
      </c>
      <c r="I958" s="2">
        <v>44526</v>
      </c>
      <c r="J958" s="1">
        <v>40.35</v>
      </c>
      <c r="K958" s="1">
        <f t="shared" si="34"/>
        <v>1808.9510250000001</v>
      </c>
      <c r="L958" s="1">
        <f t="shared" si="35"/>
        <v>2674.1989749999993</v>
      </c>
    </row>
    <row r="959" spans="1:12" x14ac:dyDescent="0.35">
      <c r="A959" s="1">
        <v>1957</v>
      </c>
      <c r="B959" s="2">
        <v>44245</v>
      </c>
      <c r="C959" s="1" t="s">
        <v>21</v>
      </c>
      <c r="D959" s="1" t="s">
        <v>49</v>
      </c>
      <c r="E959" s="1" t="s">
        <v>12</v>
      </c>
      <c r="F959" s="1">
        <v>1254.9100000000001</v>
      </c>
      <c r="G959" s="1" t="s">
        <v>242</v>
      </c>
      <c r="H959" s="2">
        <v>21785</v>
      </c>
      <c r="I959" s="2">
        <v>44258</v>
      </c>
      <c r="J959" s="1">
        <v>39.520000000000003</v>
      </c>
      <c r="K959" s="1">
        <f t="shared" si="34"/>
        <v>495.9404320000001</v>
      </c>
      <c r="L959" s="1">
        <f t="shared" si="35"/>
        <v>758.96956799999998</v>
      </c>
    </row>
    <row r="960" spans="1:12" x14ac:dyDescent="0.35">
      <c r="A960" s="1">
        <v>1958</v>
      </c>
      <c r="B960" s="2">
        <v>44353</v>
      </c>
      <c r="C960" s="1" t="s">
        <v>21</v>
      </c>
      <c r="D960" s="1" t="s">
        <v>40</v>
      </c>
      <c r="E960" s="1" t="s">
        <v>16</v>
      </c>
      <c r="F960" s="1">
        <v>2931.39</v>
      </c>
      <c r="G960" s="1" t="s">
        <v>79</v>
      </c>
      <c r="H960" s="2">
        <v>28675</v>
      </c>
      <c r="I960" s="2">
        <v>44356</v>
      </c>
      <c r="J960" s="1">
        <v>41.44</v>
      </c>
      <c r="K960" s="1">
        <f t="shared" si="34"/>
        <v>1214.768016</v>
      </c>
      <c r="L960" s="1">
        <f t="shared" si="35"/>
        <v>1716.6219839999999</v>
      </c>
    </row>
    <row r="961" spans="1:12" x14ac:dyDescent="0.35">
      <c r="A961" s="1">
        <v>1959</v>
      </c>
      <c r="B961" s="2">
        <v>45785</v>
      </c>
      <c r="C961" s="1" t="s">
        <v>26</v>
      </c>
      <c r="D961" s="1" t="s">
        <v>49</v>
      </c>
      <c r="E961" s="1" t="s">
        <v>12</v>
      </c>
      <c r="F961" s="1">
        <v>4482.41</v>
      </c>
      <c r="G961" s="1" t="s">
        <v>131</v>
      </c>
      <c r="H961" s="2">
        <v>38087</v>
      </c>
      <c r="I961" s="2">
        <v>45797</v>
      </c>
      <c r="J961" s="1">
        <v>45.9</v>
      </c>
      <c r="K961" s="1">
        <f t="shared" si="34"/>
        <v>2057.4261899999997</v>
      </c>
      <c r="L961" s="1">
        <f t="shared" si="35"/>
        <v>2424.9838100000002</v>
      </c>
    </row>
    <row r="962" spans="1:12" x14ac:dyDescent="0.35">
      <c r="A962" s="1">
        <v>1960</v>
      </c>
      <c r="B962" s="2">
        <v>45063</v>
      </c>
      <c r="C962" s="1" t="s">
        <v>35</v>
      </c>
      <c r="D962" s="1" t="s">
        <v>69</v>
      </c>
      <c r="E962" s="1" t="s">
        <v>31</v>
      </c>
      <c r="F962" s="1">
        <v>2174.3000000000002</v>
      </c>
      <c r="G962" s="1" t="s">
        <v>326</v>
      </c>
      <c r="H962" s="2">
        <v>25663</v>
      </c>
      <c r="I962" s="2">
        <v>45073</v>
      </c>
      <c r="J962" s="1">
        <v>31.81</v>
      </c>
      <c r="K962" s="1">
        <f t="shared" si="34"/>
        <v>691.64483000000007</v>
      </c>
      <c r="L962" s="1">
        <f t="shared" si="35"/>
        <v>1482.65517</v>
      </c>
    </row>
    <row r="963" spans="1:12" x14ac:dyDescent="0.35">
      <c r="A963" s="1">
        <v>1961</v>
      </c>
      <c r="B963" s="2">
        <v>44600</v>
      </c>
      <c r="C963" s="1" t="s">
        <v>14</v>
      </c>
      <c r="D963" s="1" t="s">
        <v>11</v>
      </c>
      <c r="E963" s="1" t="s">
        <v>12</v>
      </c>
      <c r="F963" s="1">
        <v>1709.59</v>
      </c>
      <c r="G963" s="1" t="s">
        <v>128</v>
      </c>
      <c r="H963" s="2">
        <v>37961</v>
      </c>
      <c r="I963" s="2">
        <v>44604</v>
      </c>
      <c r="J963" s="1">
        <v>47.88</v>
      </c>
      <c r="K963" s="1">
        <f t="shared" ref="K963:K1001" si="36">F963*J963%</f>
        <v>818.551692</v>
      </c>
      <c r="L963" s="1">
        <f t="shared" ref="L963:L1001" si="37">F963-K963</f>
        <v>891.03830799999992</v>
      </c>
    </row>
    <row r="964" spans="1:12" x14ac:dyDescent="0.35">
      <c r="A964" s="1">
        <v>1962</v>
      </c>
      <c r="B964" s="2">
        <v>44515</v>
      </c>
      <c r="C964" s="1" t="s">
        <v>26</v>
      </c>
      <c r="D964" s="1" t="s">
        <v>18</v>
      </c>
      <c r="E964" s="1" t="s">
        <v>19</v>
      </c>
      <c r="F964" s="1">
        <v>3171.06</v>
      </c>
      <c r="G964" s="1" t="s">
        <v>298</v>
      </c>
      <c r="H964" s="2">
        <v>30410</v>
      </c>
      <c r="I964" s="2">
        <v>44529</v>
      </c>
      <c r="J964" s="1">
        <v>47.15</v>
      </c>
      <c r="K964" s="1">
        <f t="shared" si="36"/>
        <v>1495.1547899999998</v>
      </c>
      <c r="L964" s="1">
        <f t="shared" si="37"/>
        <v>1675.9052100000001</v>
      </c>
    </row>
    <row r="965" spans="1:12" x14ac:dyDescent="0.35">
      <c r="A965" s="1">
        <v>1963</v>
      </c>
      <c r="B965" s="2">
        <v>44608</v>
      </c>
      <c r="C965" s="1" t="s">
        <v>35</v>
      </c>
      <c r="D965" s="1" t="s">
        <v>55</v>
      </c>
      <c r="E965" s="1" t="s">
        <v>31</v>
      </c>
      <c r="F965" s="1">
        <v>4888.68</v>
      </c>
      <c r="G965" s="1" t="s">
        <v>158</v>
      </c>
      <c r="H965" s="2">
        <v>34871</v>
      </c>
      <c r="I965" s="2">
        <v>44619</v>
      </c>
      <c r="J965" s="1">
        <v>38.729999999999997</v>
      </c>
      <c r="K965" s="1">
        <f t="shared" si="36"/>
        <v>1893.3857640000001</v>
      </c>
      <c r="L965" s="1">
        <f t="shared" si="37"/>
        <v>2995.2942360000002</v>
      </c>
    </row>
    <row r="966" spans="1:12" x14ac:dyDescent="0.35">
      <c r="A966" s="1">
        <v>1964</v>
      </c>
      <c r="B966" s="2">
        <v>44421</v>
      </c>
      <c r="C966" s="1" t="s">
        <v>10</v>
      </c>
      <c r="D966" s="1" t="s">
        <v>71</v>
      </c>
      <c r="E966" s="1" t="s">
        <v>31</v>
      </c>
      <c r="F966" s="1">
        <v>1024.3699999999999</v>
      </c>
      <c r="G966" s="1" t="s">
        <v>260</v>
      </c>
      <c r="H966" s="2">
        <v>38628</v>
      </c>
      <c r="I966" s="2">
        <v>44430</v>
      </c>
      <c r="J966" s="1">
        <v>41.87</v>
      </c>
      <c r="K966" s="1">
        <f t="shared" si="36"/>
        <v>428.90371899999991</v>
      </c>
      <c r="L966" s="1">
        <f t="shared" si="37"/>
        <v>595.46628099999998</v>
      </c>
    </row>
    <row r="967" spans="1:12" x14ac:dyDescent="0.35">
      <c r="A967" s="1">
        <v>1965</v>
      </c>
      <c r="B967" s="2">
        <v>44788</v>
      </c>
      <c r="C967" s="1" t="s">
        <v>21</v>
      </c>
      <c r="D967" s="1" t="s">
        <v>61</v>
      </c>
      <c r="E967" s="1" t="s">
        <v>19</v>
      </c>
      <c r="F967" s="1">
        <v>4581.2299999999996</v>
      </c>
      <c r="G967" s="1" t="s">
        <v>163</v>
      </c>
      <c r="H967" s="2">
        <v>30364</v>
      </c>
      <c r="I967" s="2">
        <v>44793</v>
      </c>
      <c r="J967" s="1">
        <v>47.09</v>
      </c>
      <c r="K967" s="1">
        <f t="shared" si="36"/>
        <v>2157.301207</v>
      </c>
      <c r="L967" s="1">
        <f t="shared" si="37"/>
        <v>2423.9287929999996</v>
      </c>
    </row>
    <row r="968" spans="1:12" x14ac:dyDescent="0.35">
      <c r="A968" s="1">
        <v>1966</v>
      </c>
      <c r="B968" s="2">
        <v>44086</v>
      </c>
      <c r="C968" s="1" t="s">
        <v>26</v>
      </c>
      <c r="D968" s="1" t="s">
        <v>65</v>
      </c>
      <c r="E968" s="1" t="s">
        <v>19</v>
      </c>
      <c r="F968" s="1">
        <v>2299.33</v>
      </c>
      <c r="G968" s="1" t="s">
        <v>84</v>
      </c>
      <c r="H968" s="2">
        <v>26472</v>
      </c>
      <c r="I968" s="2">
        <v>44095</v>
      </c>
      <c r="J968" s="1">
        <v>27.15</v>
      </c>
      <c r="K968" s="1">
        <f t="shared" si="36"/>
        <v>624.2680949999999</v>
      </c>
      <c r="L968" s="1">
        <f t="shared" si="37"/>
        <v>1675.061905</v>
      </c>
    </row>
    <row r="969" spans="1:12" x14ac:dyDescent="0.35">
      <c r="A969" s="1">
        <v>1967</v>
      </c>
      <c r="B969" s="2">
        <v>44316</v>
      </c>
      <c r="C969" s="1" t="s">
        <v>21</v>
      </c>
      <c r="D969" s="1" t="s">
        <v>15</v>
      </c>
      <c r="E969" s="1" t="s">
        <v>16</v>
      </c>
      <c r="F969" s="1">
        <v>2148.19</v>
      </c>
      <c r="G969" s="1" t="s">
        <v>223</v>
      </c>
      <c r="H969" s="2">
        <v>35407</v>
      </c>
      <c r="I969" s="2">
        <v>44324</v>
      </c>
      <c r="J969" s="1">
        <v>31.44</v>
      </c>
      <c r="K969" s="1">
        <f t="shared" si="36"/>
        <v>675.39093600000001</v>
      </c>
      <c r="L969" s="1">
        <f t="shared" si="37"/>
        <v>1472.799064</v>
      </c>
    </row>
    <row r="970" spans="1:12" x14ac:dyDescent="0.35">
      <c r="A970" s="1">
        <v>1968</v>
      </c>
      <c r="B970" s="2">
        <v>44287</v>
      </c>
      <c r="C970" s="1" t="s">
        <v>10</v>
      </c>
      <c r="D970" s="1" t="s">
        <v>22</v>
      </c>
      <c r="E970" s="1" t="s">
        <v>19</v>
      </c>
      <c r="F970" s="1">
        <v>4578.1099999999997</v>
      </c>
      <c r="G970" s="1" t="s">
        <v>23</v>
      </c>
      <c r="H970" s="2">
        <v>38378</v>
      </c>
      <c r="I970" s="2">
        <v>44289</v>
      </c>
      <c r="J970" s="1">
        <v>32.28</v>
      </c>
      <c r="K970" s="1">
        <f t="shared" si="36"/>
        <v>1477.8139080000001</v>
      </c>
      <c r="L970" s="1">
        <f t="shared" si="37"/>
        <v>3100.2960919999996</v>
      </c>
    </row>
    <row r="971" spans="1:12" x14ac:dyDescent="0.35">
      <c r="A971" s="1">
        <v>1969</v>
      </c>
      <c r="B971" s="2">
        <v>45483</v>
      </c>
      <c r="C971" s="1" t="s">
        <v>10</v>
      </c>
      <c r="D971" s="1" t="s">
        <v>71</v>
      </c>
      <c r="E971" s="1" t="s">
        <v>31</v>
      </c>
      <c r="F971" s="1">
        <v>1321.82</v>
      </c>
      <c r="G971" s="1" t="s">
        <v>254</v>
      </c>
      <c r="H971" s="2">
        <v>29366</v>
      </c>
      <c r="I971" s="2">
        <v>45497</v>
      </c>
      <c r="J971" s="1">
        <v>8.65</v>
      </c>
      <c r="K971" s="1">
        <f t="shared" si="36"/>
        <v>114.33743</v>
      </c>
      <c r="L971" s="1">
        <f t="shared" si="37"/>
        <v>1207.4825699999999</v>
      </c>
    </row>
    <row r="972" spans="1:12" x14ac:dyDescent="0.35">
      <c r="A972" s="1">
        <v>1970</v>
      </c>
      <c r="B972" s="2">
        <v>44111</v>
      </c>
      <c r="C972" s="1" t="s">
        <v>10</v>
      </c>
      <c r="D972" s="1" t="s">
        <v>58</v>
      </c>
      <c r="E972" s="1" t="s">
        <v>31</v>
      </c>
      <c r="F972" s="1">
        <v>4786.34</v>
      </c>
      <c r="G972" s="1" t="s">
        <v>327</v>
      </c>
      <c r="H972" s="2">
        <v>35343</v>
      </c>
      <c r="I972" s="2">
        <v>44115</v>
      </c>
      <c r="J972" s="1">
        <v>34.32</v>
      </c>
      <c r="K972" s="1">
        <f t="shared" si="36"/>
        <v>1642.6718880000001</v>
      </c>
      <c r="L972" s="1">
        <f t="shared" si="37"/>
        <v>3143.6681120000003</v>
      </c>
    </row>
    <row r="973" spans="1:12" x14ac:dyDescent="0.35">
      <c r="A973" s="1">
        <v>1971</v>
      </c>
      <c r="B973" s="2">
        <v>45884</v>
      </c>
      <c r="C973" s="1" t="s">
        <v>26</v>
      </c>
      <c r="D973" s="1" t="s">
        <v>44</v>
      </c>
      <c r="E973" s="1" t="s">
        <v>16</v>
      </c>
      <c r="F973" s="1">
        <v>3228.56</v>
      </c>
      <c r="G973" s="1" t="s">
        <v>37</v>
      </c>
      <c r="H973" s="2">
        <v>27534</v>
      </c>
      <c r="I973" s="2">
        <v>45890</v>
      </c>
      <c r="J973" s="1">
        <v>48.72</v>
      </c>
      <c r="K973" s="1">
        <f t="shared" si="36"/>
        <v>1572.9544319999998</v>
      </c>
      <c r="L973" s="1">
        <f t="shared" si="37"/>
        <v>1655.6055680000002</v>
      </c>
    </row>
    <row r="974" spans="1:12" x14ac:dyDescent="0.35">
      <c r="A974" s="1">
        <v>1972</v>
      </c>
      <c r="B974" s="2">
        <v>44421</v>
      </c>
      <c r="C974" s="1" t="s">
        <v>21</v>
      </c>
      <c r="D974" s="1" t="s">
        <v>40</v>
      </c>
      <c r="E974" s="1" t="s">
        <v>16</v>
      </c>
      <c r="F974" s="1">
        <v>2697.91</v>
      </c>
      <c r="G974" s="1" t="s">
        <v>80</v>
      </c>
      <c r="H974" s="2">
        <v>31578</v>
      </c>
      <c r="I974" s="2">
        <v>44431</v>
      </c>
      <c r="J974" s="1">
        <v>40.82</v>
      </c>
      <c r="K974" s="1">
        <f t="shared" si="36"/>
        <v>1101.2868619999999</v>
      </c>
      <c r="L974" s="1">
        <f t="shared" si="37"/>
        <v>1596.6231379999999</v>
      </c>
    </row>
    <row r="975" spans="1:12" x14ac:dyDescent="0.35">
      <c r="A975" s="1">
        <v>1973</v>
      </c>
      <c r="B975" s="2">
        <v>44350</v>
      </c>
      <c r="C975" s="1" t="s">
        <v>21</v>
      </c>
      <c r="D975" s="1" t="s">
        <v>40</v>
      </c>
      <c r="E975" s="1" t="s">
        <v>16</v>
      </c>
      <c r="F975" s="1">
        <v>3250.71</v>
      </c>
      <c r="G975" s="1" t="s">
        <v>205</v>
      </c>
      <c r="H975" s="2">
        <v>27526</v>
      </c>
      <c r="I975" s="2">
        <v>44352</v>
      </c>
      <c r="J975" s="1">
        <v>38.67</v>
      </c>
      <c r="K975" s="1">
        <f t="shared" si="36"/>
        <v>1257.049557</v>
      </c>
      <c r="L975" s="1">
        <f t="shared" si="37"/>
        <v>1993.660443</v>
      </c>
    </row>
    <row r="976" spans="1:12" x14ac:dyDescent="0.35">
      <c r="A976" s="1">
        <v>1974</v>
      </c>
      <c r="B976" s="2">
        <v>44959</v>
      </c>
      <c r="C976" s="1" t="s">
        <v>21</v>
      </c>
      <c r="D976" s="1" t="s">
        <v>24</v>
      </c>
      <c r="E976" s="1" t="s">
        <v>19</v>
      </c>
      <c r="F976" s="1">
        <v>1777.81</v>
      </c>
      <c r="G976" s="1" t="s">
        <v>70</v>
      </c>
      <c r="H976" s="2">
        <v>30887</v>
      </c>
      <c r="I976" s="2">
        <v>44966</v>
      </c>
      <c r="J976" s="1">
        <v>36.43</v>
      </c>
      <c r="K976" s="1">
        <f t="shared" si="36"/>
        <v>647.65618300000006</v>
      </c>
      <c r="L976" s="1">
        <f t="shared" si="37"/>
        <v>1130.1538169999999</v>
      </c>
    </row>
    <row r="977" spans="1:12" x14ac:dyDescent="0.35">
      <c r="A977" s="1">
        <v>1975</v>
      </c>
      <c r="B977" s="2">
        <v>45826</v>
      </c>
      <c r="C977" s="1" t="s">
        <v>26</v>
      </c>
      <c r="D977" s="1" t="s">
        <v>11</v>
      </c>
      <c r="E977" s="1" t="s">
        <v>12</v>
      </c>
      <c r="F977" s="1">
        <v>3112.42</v>
      </c>
      <c r="G977" s="1" t="s">
        <v>124</v>
      </c>
      <c r="H977" s="2">
        <v>30786</v>
      </c>
      <c r="I977" s="2">
        <v>45830</v>
      </c>
      <c r="J977" s="1">
        <v>38.31</v>
      </c>
      <c r="K977" s="1">
        <f t="shared" si="36"/>
        <v>1192.3681019999999</v>
      </c>
      <c r="L977" s="1">
        <f t="shared" si="37"/>
        <v>1920.0518980000002</v>
      </c>
    </row>
    <row r="978" spans="1:12" x14ac:dyDescent="0.35">
      <c r="A978" s="1">
        <v>1976</v>
      </c>
      <c r="B978" s="2">
        <v>45528</v>
      </c>
      <c r="C978" s="1" t="s">
        <v>14</v>
      </c>
      <c r="D978" s="1" t="s">
        <v>30</v>
      </c>
      <c r="E978" s="1" t="s">
        <v>31</v>
      </c>
      <c r="F978" s="1">
        <v>1607.63</v>
      </c>
      <c r="G978" s="1" t="s">
        <v>328</v>
      </c>
      <c r="H978" s="2">
        <v>28863</v>
      </c>
      <c r="I978" s="2">
        <v>45536</v>
      </c>
      <c r="J978" s="1">
        <v>25.29</v>
      </c>
      <c r="K978" s="1">
        <f t="shared" si="36"/>
        <v>406.56962700000003</v>
      </c>
      <c r="L978" s="1">
        <f t="shared" si="37"/>
        <v>1201.060373</v>
      </c>
    </row>
    <row r="979" spans="1:12" x14ac:dyDescent="0.35">
      <c r="A979" s="1">
        <v>1977</v>
      </c>
      <c r="B979" s="2">
        <v>44608</v>
      </c>
      <c r="C979" s="1" t="s">
        <v>35</v>
      </c>
      <c r="D979" s="1" t="s">
        <v>38</v>
      </c>
      <c r="E979" s="1" t="s">
        <v>28</v>
      </c>
      <c r="F979" s="1">
        <v>4210.1099999999997</v>
      </c>
      <c r="G979" s="1" t="s">
        <v>93</v>
      </c>
      <c r="H979" s="2">
        <v>33984</v>
      </c>
      <c r="I979" s="2">
        <v>44611</v>
      </c>
      <c r="J979" s="1">
        <v>24.74</v>
      </c>
      <c r="K979" s="1">
        <f t="shared" si="36"/>
        <v>1041.5812139999998</v>
      </c>
      <c r="L979" s="1">
        <f t="shared" si="37"/>
        <v>3168.5287859999999</v>
      </c>
    </row>
    <row r="980" spans="1:12" x14ac:dyDescent="0.35">
      <c r="A980" s="1">
        <v>1978</v>
      </c>
      <c r="B980" s="2">
        <v>44677</v>
      </c>
      <c r="C980" s="1" t="s">
        <v>35</v>
      </c>
      <c r="D980" s="1" t="s">
        <v>22</v>
      </c>
      <c r="E980" s="1" t="s">
        <v>19</v>
      </c>
      <c r="F980" s="1">
        <v>1140.3699999999999</v>
      </c>
      <c r="G980" s="1" t="s">
        <v>327</v>
      </c>
      <c r="H980" s="2">
        <v>35343</v>
      </c>
      <c r="I980" s="2">
        <v>44680</v>
      </c>
      <c r="J980" s="1">
        <v>23.17</v>
      </c>
      <c r="K980" s="1">
        <f t="shared" si="36"/>
        <v>264.22372899999999</v>
      </c>
      <c r="L980" s="1">
        <f t="shared" si="37"/>
        <v>876.14627099999984</v>
      </c>
    </row>
    <row r="981" spans="1:12" x14ac:dyDescent="0.35">
      <c r="A981" s="1">
        <v>1979</v>
      </c>
      <c r="B981" s="2">
        <v>45714</v>
      </c>
      <c r="C981" s="1" t="s">
        <v>10</v>
      </c>
      <c r="D981" s="1" t="s">
        <v>55</v>
      </c>
      <c r="E981" s="1" t="s">
        <v>31</v>
      </c>
      <c r="F981" s="1">
        <v>3651.65</v>
      </c>
      <c r="G981" s="1" t="s">
        <v>295</v>
      </c>
      <c r="H981" s="2">
        <v>23369</v>
      </c>
      <c r="I981" s="2">
        <v>45723</v>
      </c>
      <c r="J981" s="1">
        <v>17.829999999999998</v>
      </c>
      <c r="K981" s="1">
        <f t="shared" si="36"/>
        <v>651.08919500000002</v>
      </c>
      <c r="L981" s="1">
        <f t="shared" si="37"/>
        <v>3000.5608050000001</v>
      </c>
    </row>
    <row r="982" spans="1:12" x14ac:dyDescent="0.35">
      <c r="A982" s="1">
        <v>1980</v>
      </c>
      <c r="B982" s="2">
        <v>44666</v>
      </c>
      <c r="C982" s="1" t="s">
        <v>21</v>
      </c>
      <c r="D982" s="1" t="s">
        <v>65</v>
      </c>
      <c r="E982" s="1" t="s">
        <v>19</v>
      </c>
      <c r="F982" s="1">
        <v>2249.48</v>
      </c>
      <c r="G982" s="1" t="s">
        <v>240</v>
      </c>
      <c r="H982" s="2">
        <v>38478</v>
      </c>
      <c r="I982" s="2">
        <v>44671</v>
      </c>
      <c r="J982" s="1">
        <v>8.68</v>
      </c>
      <c r="K982" s="1">
        <f t="shared" si="36"/>
        <v>195.254864</v>
      </c>
      <c r="L982" s="1">
        <f t="shared" si="37"/>
        <v>2054.225136</v>
      </c>
    </row>
    <row r="983" spans="1:12" x14ac:dyDescent="0.35">
      <c r="A983" s="1">
        <v>1981</v>
      </c>
      <c r="B983" s="2">
        <v>44517</v>
      </c>
      <c r="C983" s="1" t="s">
        <v>10</v>
      </c>
      <c r="D983" s="1" t="s">
        <v>58</v>
      </c>
      <c r="E983" s="1" t="s">
        <v>31</v>
      </c>
      <c r="F983" s="1">
        <v>572.61</v>
      </c>
      <c r="G983" s="1" t="s">
        <v>228</v>
      </c>
      <c r="H983" s="2">
        <v>25811</v>
      </c>
      <c r="I983" s="2">
        <v>44521</v>
      </c>
      <c r="J983" s="1">
        <v>17.8</v>
      </c>
      <c r="K983" s="1">
        <f t="shared" si="36"/>
        <v>101.92458000000002</v>
      </c>
      <c r="L983" s="1">
        <f t="shared" si="37"/>
        <v>470.68542000000002</v>
      </c>
    </row>
    <row r="984" spans="1:12" x14ac:dyDescent="0.35">
      <c r="A984" s="1">
        <v>1982</v>
      </c>
      <c r="B984" s="2">
        <v>44780</v>
      </c>
      <c r="C984" s="1" t="s">
        <v>21</v>
      </c>
      <c r="D984" s="1" t="s">
        <v>24</v>
      </c>
      <c r="E984" s="1" t="s">
        <v>19</v>
      </c>
      <c r="F984" s="1">
        <v>3738.45</v>
      </c>
      <c r="G984" s="1" t="s">
        <v>287</v>
      </c>
      <c r="H984" s="2">
        <v>36329</v>
      </c>
      <c r="I984" s="2">
        <v>44783</v>
      </c>
      <c r="J984" s="1">
        <v>40.39</v>
      </c>
      <c r="K984" s="1">
        <f t="shared" si="36"/>
        <v>1509.9599549999998</v>
      </c>
      <c r="L984" s="1">
        <f t="shared" si="37"/>
        <v>2228.490045</v>
      </c>
    </row>
    <row r="985" spans="1:12" x14ac:dyDescent="0.35">
      <c r="A985" s="1">
        <v>1983</v>
      </c>
      <c r="B985" s="2">
        <v>45556</v>
      </c>
      <c r="C985" s="1" t="s">
        <v>10</v>
      </c>
      <c r="D985" s="1" t="s">
        <v>47</v>
      </c>
      <c r="E985" s="1" t="s">
        <v>12</v>
      </c>
      <c r="F985" s="1">
        <v>2860.02</v>
      </c>
      <c r="G985" s="1" t="s">
        <v>309</v>
      </c>
      <c r="H985" s="2">
        <v>23838</v>
      </c>
      <c r="I985" s="2">
        <v>45568</v>
      </c>
      <c r="J985" s="1">
        <v>9.4600000000000009</v>
      </c>
      <c r="K985" s="1">
        <f t="shared" si="36"/>
        <v>270.55789199999998</v>
      </c>
      <c r="L985" s="1">
        <f t="shared" si="37"/>
        <v>2589.4621080000002</v>
      </c>
    </row>
    <row r="986" spans="1:12" x14ac:dyDescent="0.35">
      <c r="A986" s="1">
        <v>1984</v>
      </c>
      <c r="B986" s="2">
        <v>44207</v>
      </c>
      <c r="C986" s="1" t="s">
        <v>10</v>
      </c>
      <c r="D986" s="1" t="s">
        <v>24</v>
      </c>
      <c r="E986" s="1" t="s">
        <v>19</v>
      </c>
      <c r="F986" s="1">
        <v>2382.77</v>
      </c>
      <c r="G986" s="1" t="s">
        <v>269</v>
      </c>
      <c r="H986" s="2">
        <v>30976</v>
      </c>
      <c r="I986" s="2">
        <v>44210</v>
      </c>
      <c r="J986" s="1">
        <v>28.79</v>
      </c>
      <c r="K986" s="1">
        <f t="shared" si="36"/>
        <v>685.99948299999994</v>
      </c>
      <c r="L986" s="1">
        <f t="shared" si="37"/>
        <v>1696.7705169999999</v>
      </c>
    </row>
    <row r="987" spans="1:12" x14ac:dyDescent="0.35">
      <c r="A987" s="1">
        <v>1985</v>
      </c>
      <c r="B987" s="2">
        <v>45108</v>
      </c>
      <c r="C987" s="1" t="s">
        <v>14</v>
      </c>
      <c r="D987" s="1" t="s">
        <v>24</v>
      </c>
      <c r="E987" s="1" t="s">
        <v>19</v>
      </c>
      <c r="F987" s="1">
        <v>2464.46</v>
      </c>
      <c r="G987" s="1" t="s">
        <v>304</v>
      </c>
      <c r="H987" s="2">
        <v>36246</v>
      </c>
      <c r="I987" s="2">
        <v>45111</v>
      </c>
      <c r="J987" s="1">
        <v>20.329999999999998</v>
      </c>
      <c r="K987" s="1">
        <f t="shared" si="36"/>
        <v>501.02471799999995</v>
      </c>
      <c r="L987" s="1">
        <f t="shared" si="37"/>
        <v>1963.4352820000001</v>
      </c>
    </row>
    <row r="988" spans="1:12" x14ac:dyDescent="0.35">
      <c r="A988" s="1">
        <v>1986</v>
      </c>
      <c r="B988" s="2">
        <v>45000</v>
      </c>
      <c r="C988" s="1" t="s">
        <v>21</v>
      </c>
      <c r="D988" s="1" t="s">
        <v>102</v>
      </c>
      <c r="E988" s="1" t="s">
        <v>12</v>
      </c>
      <c r="F988" s="1">
        <v>468.69</v>
      </c>
      <c r="G988" s="1" t="s">
        <v>216</v>
      </c>
      <c r="H988" s="2">
        <v>31419</v>
      </c>
      <c r="I988" s="2">
        <v>45014</v>
      </c>
      <c r="J988" s="1">
        <v>46.49</v>
      </c>
      <c r="K988" s="1">
        <f t="shared" si="36"/>
        <v>217.89398100000003</v>
      </c>
      <c r="L988" s="1">
        <f t="shared" si="37"/>
        <v>250.79601899999997</v>
      </c>
    </row>
    <row r="989" spans="1:12" x14ac:dyDescent="0.35">
      <c r="A989" s="1">
        <v>1987</v>
      </c>
      <c r="B989" s="2">
        <v>45619</v>
      </c>
      <c r="C989" s="1" t="s">
        <v>35</v>
      </c>
      <c r="D989" s="1" t="s">
        <v>71</v>
      </c>
      <c r="E989" s="1" t="s">
        <v>31</v>
      </c>
      <c r="F989" s="1">
        <v>677.56</v>
      </c>
      <c r="G989" s="1" t="s">
        <v>139</v>
      </c>
      <c r="H989" s="2">
        <v>29381</v>
      </c>
      <c r="I989" s="2">
        <v>45621</v>
      </c>
      <c r="J989" s="1">
        <v>37.049999999999997</v>
      </c>
      <c r="K989" s="1">
        <f t="shared" si="36"/>
        <v>251.03597999999997</v>
      </c>
      <c r="L989" s="1">
        <f t="shared" si="37"/>
        <v>426.52401999999995</v>
      </c>
    </row>
    <row r="990" spans="1:12" x14ac:dyDescent="0.35">
      <c r="A990" s="1">
        <v>1988</v>
      </c>
      <c r="B990" s="2">
        <v>44777</v>
      </c>
      <c r="C990" s="1" t="s">
        <v>21</v>
      </c>
      <c r="D990" s="1" t="s">
        <v>88</v>
      </c>
      <c r="E990" s="1" t="s">
        <v>16</v>
      </c>
      <c r="F990" s="1">
        <v>2122.41</v>
      </c>
      <c r="G990" s="1" t="s">
        <v>173</v>
      </c>
      <c r="H990" s="2">
        <v>22016</v>
      </c>
      <c r="I990" s="2">
        <v>44791</v>
      </c>
      <c r="J990" s="1">
        <v>16.09</v>
      </c>
      <c r="K990" s="1">
        <f t="shared" si="36"/>
        <v>341.49576899999994</v>
      </c>
      <c r="L990" s="1">
        <f t="shared" si="37"/>
        <v>1780.914231</v>
      </c>
    </row>
    <row r="991" spans="1:12" x14ac:dyDescent="0.35">
      <c r="A991" s="1">
        <v>1989</v>
      </c>
      <c r="B991" s="2">
        <v>45091</v>
      </c>
      <c r="C991" s="1" t="s">
        <v>10</v>
      </c>
      <c r="D991" s="1" t="s">
        <v>102</v>
      </c>
      <c r="E991" s="1" t="s">
        <v>12</v>
      </c>
      <c r="F991" s="1">
        <v>3431.74</v>
      </c>
      <c r="G991" s="1" t="s">
        <v>151</v>
      </c>
      <c r="H991" s="2">
        <v>34427</v>
      </c>
      <c r="I991" s="2">
        <v>45093</v>
      </c>
      <c r="J991" s="1">
        <v>31.94</v>
      </c>
      <c r="K991" s="1">
        <f t="shared" si="36"/>
        <v>1096.0977559999999</v>
      </c>
      <c r="L991" s="1">
        <f t="shared" si="37"/>
        <v>2335.6422439999997</v>
      </c>
    </row>
    <row r="992" spans="1:12" x14ac:dyDescent="0.35">
      <c r="A992" s="1">
        <v>1990</v>
      </c>
      <c r="B992" s="2">
        <v>45222</v>
      </c>
      <c r="C992" s="1" t="s">
        <v>10</v>
      </c>
      <c r="D992" s="1" t="s">
        <v>53</v>
      </c>
      <c r="E992" s="1" t="s">
        <v>28</v>
      </c>
      <c r="F992" s="1">
        <v>4273.12</v>
      </c>
      <c r="G992" s="1" t="s">
        <v>244</v>
      </c>
      <c r="H992" s="2">
        <v>30356</v>
      </c>
      <c r="I992" s="2">
        <v>45232</v>
      </c>
      <c r="J992" s="1">
        <v>36.299999999999997</v>
      </c>
      <c r="K992" s="1">
        <f t="shared" si="36"/>
        <v>1551.14256</v>
      </c>
      <c r="L992" s="1">
        <f t="shared" si="37"/>
        <v>2721.9774399999997</v>
      </c>
    </row>
    <row r="993" spans="1:12" x14ac:dyDescent="0.35">
      <c r="A993" s="1">
        <v>1991</v>
      </c>
      <c r="B993" s="2">
        <v>44469</v>
      </c>
      <c r="C993" s="1" t="s">
        <v>14</v>
      </c>
      <c r="D993" s="1" t="s">
        <v>47</v>
      </c>
      <c r="E993" s="1" t="s">
        <v>12</v>
      </c>
      <c r="F993" s="1">
        <v>1021.17</v>
      </c>
      <c r="G993" s="1" t="s">
        <v>62</v>
      </c>
      <c r="H993" s="2">
        <v>22870</v>
      </c>
      <c r="I993" s="2">
        <v>44478</v>
      </c>
      <c r="J993" s="1">
        <v>22.08</v>
      </c>
      <c r="K993" s="1">
        <f t="shared" si="36"/>
        <v>225.47433599999999</v>
      </c>
      <c r="L993" s="1">
        <f t="shared" si="37"/>
        <v>795.69566399999997</v>
      </c>
    </row>
    <row r="994" spans="1:12" x14ac:dyDescent="0.35">
      <c r="A994" s="1">
        <v>1992</v>
      </c>
      <c r="B994" s="2">
        <v>45185</v>
      </c>
      <c r="C994" s="1" t="s">
        <v>21</v>
      </c>
      <c r="D994" s="1" t="s">
        <v>27</v>
      </c>
      <c r="E994" s="1" t="s">
        <v>28</v>
      </c>
      <c r="F994" s="1">
        <v>810.89</v>
      </c>
      <c r="G994" s="1" t="s">
        <v>198</v>
      </c>
      <c r="H994" s="2">
        <v>31598</v>
      </c>
      <c r="I994" s="2">
        <v>45196</v>
      </c>
      <c r="J994" s="1">
        <v>1.1100000000000001</v>
      </c>
      <c r="K994" s="1">
        <f t="shared" si="36"/>
        <v>9.0008789999999994</v>
      </c>
      <c r="L994" s="1">
        <f t="shared" si="37"/>
        <v>801.88912099999993</v>
      </c>
    </row>
    <row r="995" spans="1:12" x14ac:dyDescent="0.35">
      <c r="A995" s="1">
        <v>1993</v>
      </c>
      <c r="B995" s="2">
        <v>44395</v>
      </c>
      <c r="C995" s="1" t="s">
        <v>21</v>
      </c>
      <c r="D995" s="1" t="s">
        <v>58</v>
      </c>
      <c r="E995" s="1" t="s">
        <v>31</v>
      </c>
      <c r="F995" s="1">
        <v>2747.73</v>
      </c>
      <c r="G995" s="1" t="s">
        <v>193</v>
      </c>
      <c r="H995" s="2">
        <v>26082</v>
      </c>
      <c r="I995" s="2">
        <v>44409</v>
      </c>
      <c r="J995" s="1">
        <v>27.71</v>
      </c>
      <c r="K995" s="1">
        <f t="shared" si="36"/>
        <v>761.395983</v>
      </c>
      <c r="L995" s="1">
        <f t="shared" si="37"/>
        <v>1986.3340170000001</v>
      </c>
    </row>
    <row r="996" spans="1:12" x14ac:dyDescent="0.35">
      <c r="A996" s="1">
        <v>1994</v>
      </c>
      <c r="B996" s="2">
        <v>44922</v>
      </c>
      <c r="C996" s="1" t="s">
        <v>35</v>
      </c>
      <c r="D996" s="1" t="s">
        <v>69</v>
      </c>
      <c r="E996" s="1" t="s">
        <v>31</v>
      </c>
      <c r="F996" s="1">
        <v>3679.17</v>
      </c>
      <c r="G996" s="1" t="s">
        <v>202</v>
      </c>
      <c r="H996" s="2">
        <v>24802</v>
      </c>
      <c r="I996" s="2">
        <v>44936</v>
      </c>
      <c r="J996" s="1">
        <v>11.92</v>
      </c>
      <c r="K996" s="1">
        <f t="shared" si="36"/>
        <v>438.55706400000003</v>
      </c>
      <c r="L996" s="1">
        <f t="shared" si="37"/>
        <v>3240.612936</v>
      </c>
    </row>
    <row r="997" spans="1:12" x14ac:dyDescent="0.35">
      <c r="A997" s="1">
        <v>1995</v>
      </c>
      <c r="B997" s="2">
        <v>44137</v>
      </c>
      <c r="C997" s="1" t="s">
        <v>14</v>
      </c>
      <c r="D997" s="1" t="s">
        <v>38</v>
      </c>
      <c r="E997" s="1" t="s">
        <v>28</v>
      </c>
      <c r="F997" s="1">
        <v>2082.8000000000002</v>
      </c>
      <c r="G997" s="1" t="s">
        <v>75</v>
      </c>
      <c r="H997" s="2">
        <v>25853</v>
      </c>
      <c r="I997" s="2">
        <v>44146</v>
      </c>
      <c r="J997" s="1">
        <v>30.49</v>
      </c>
      <c r="K997" s="1">
        <f t="shared" si="36"/>
        <v>635.04572000000007</v>
      </c>
      <c r="L997" s="1">
        <f t="shared" si="37"/>
        <v>1447.7542800000001</v>
      </c>
    </row>
    <row r="998" spans="1:12" x14ac:dyDescent="0.35">
      <c r="A998" s="1">
        <v>1996</v>
      </c>
      <c r="B998" s="2">
        <v>45720</v>
      </c>
      <c r="C998" s="1" t="s">
        <v>21</v>
      </c>
      <c r="D998" s="1" t="s">
        <v>65</v>
      </c>
      <c r="E998" s="1" t="s">
        <v>19</v>
      </c>
      <c r="F998" s="1">
        <v>339.6</v>
      </c>
      <c r="G998" s="1" t="s">
        <v>66</v>
      </c>
      <c r="H998" s="2">
        <v>33192</v>
      </c>
      <c r="I998" s="2">
        <v>45730</v>
      </c>
      <c r="J998" s="1">
        <v>41.36</v>
      </c>
      <c r="K998" s="1">
        <f t="shared" si="36"/>
        <v>140.45856000000001</v>
      </c>
      <c r="L998" s="1">
        <f t="shared" si="37"/>
        <v>199.14144000000002</v>
      </c>
    </row>
    <row r="999" spans="1:12" x14ac:dyDescent="0.35">
      <c r="A999" s="1">
        <v>1997</v>
      </c>
      <c r="B999" s="2">
        <v>44735</v>
      </c>
      <c r="C999" s="1" t="s">
        <v>26</v>
      </c>
      <c r="D999" s="1" t="s">
        <v>49</v>
      </c>
      <c r="E999" s="1" t="s">
        <v>12</v>
      </c>
      <c r="F999" s="1">
        <v>3798.58</v>
      </c>
      <c r="G999" s="1" t="s">
        <v>256</v>
      </c>
      <c r="H999" s="2">
        <v>34537</v>
      </c>
      <c r="I999" s="2">
        <v>44746</v>
      </c>
      <c r="J999" s="1">
        <v>1.3</v>
      </c>
      <c r="K999" s="1">
        <f t="shared" si="36"/>
        <v>49.381540000000001</v>
      </c>
      <c r="L999" s="1">
        <f t="shared" si="37"/>
        <v>3749.1984600000001</v>
      </c>
    </row>
    <row r="1000" spans="1:12" x14ac:dyDescent="0.35">
      <c r="A1000" s="1">
        <v>1998</v>
      </c>
      <c r="B1000" s="2">
        <v>45399</v>
      </c>
      <c r="C1000" s="1" t="s">
        <v>14</v>
      </c>
      <c r="D1000" s="1" t="s">
        <v>18</v>
      </c>
      <c r="E1000" s="1" t="s">
        <v>19</v>
      </c>
      <c r="F1000" s="1">
        <v>2405.3000000000002</v>
      </c>
      <c r="G1000" s="1" t="s">
        <v>20</v>
      </c>
      <c r="H1000" s="2">
        <v>24232</v>
      </c>
      <c r="I1000" s="2">
        <v>45405</v>
      </c>
      <c r="J1000" s="1">
        <v>14.82</v>
      </c>
      <c r="K1000" s="1">
        <f t="shared" si="36"/>
        <v>356.46546000000001</v>
      </c>
      <c r="L1000" s="1">
        <f t="shared" si="37"/>
        <v>2048.8345400000003</v>
      </c>
    </row>
    <row r="1001" spans="1:12" x14ac:dyDescent="0.35">
      <c r="A1001" s="1">
        <v>1999</v>
      </c>
      <c r="B1001" s="2">
        <v>44652</v>
      </c>
      <c r="C1001" s="1" t="s">
        <v>35</v>
      </c>
      <c r="D1001" s="1" t="s">
        <v>30</v>
      </c>
      <c r="E1001" s="1" t="s">
        <v>31</v>
      </c>
      <c r="F1001" s="1">
        <v>964.49</v>
      </c>
      <c r="G1001" s="1" t="s">
        <v>112</v>
      </c>
      <c r="H1001" s="2">
        <v>38171</v>
      </c>
      <c r="I1001" s="2">
        <v>44664</v>
      </c>
      <c r="J1001" s="1">
        <v>32.28</v>
      </c>
      <c r="K1001" s="1">
        <f t="shared" si="36"/>
        <v>311.33737200000002</v>
      </c>
      <c r="L1001" s="1">
        <f t="shared" si="37"/>
        <v>653.15262800000005</v>
      </c>
    </row>
  </sheetData>
  <mergeCells count="4">
    <mergeCell ref="N1:S2"/>
    <mergeCell ref="N31:S32"/>
    <mergeCell ref="X1:AI1"/>
    <mergeCell ref="N61:S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Agrigation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rathore</dc:creator>
  <cp:lastModifiedBy>Nikhil rathore</cp:lastModifiedBy>
  <dcterms:created xsi:type="dcterms:W3CDTF">2026-01-16T04:15:14Z</dcterms:created>
  <dcterms:modified xsi:type="dcterms:W3CDTF">2026-01-20T04:52:14Z</dcterms:modified>
</cp:coreProperties>
</file>